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liya\Downloads\"/>
    </mc:Choice>
  </mc:AlternateContent>
  <xr:revisionPtr revIDLastSave="0" documentId="13_ncr:1_{46649945-7BBC-4B58-8CCC-D112C46F9B54}" xr6:coauthVersionLast="47" xr6:coauthVersionMax="47" xr10:uidLastSave="{00000000-0000-0000-0000-000000000000}"/>
  <bookViews>
    <workbookView xWindow="-120" yWindow="-120" windowWidth="29040" windowHeight="15720" activeTab="2" xr2:uid="{00000000-000D-0000-FFFF-FFFF00000000}"/>
  </bookViews>
  <sheets>
    <sheet name="Dashboard" sheetId="1" r:id="rId1"/>
    <sheet name="Pantry Inventory" sheetId="2" r:id="rId2"/>
    <sheet name="Storehouse Replenishment Schedu" sheetId="4" r:id="rId3"/>
    <sheet name="Daily Data" sheetId="3" r:id="rId4"/>
    <sheet name="Item Purchases" sheetId="5" r:id="rId5"/>
    <sheet name="Purchase Order" sheetId="6" r:id="rId6"/>
    <sheet name="Accuracy Check" sheetId="7" r:id="rId7"/>
  </sheets>
  <externalReferences>
    <externalReference r:id="rId8"/>
  </externalReferences>
  <definedNames>
    <definedName name="_xlnm._FilterDatabase" localSheetId="3" hidden="1">'Daily Data'!$A$1:$N$676</definedName>
    <definedName name="lstBrand">OFFSET('Daily Data'!$T$2,0,0,1+COUNTIF('Daily Data'!$T$3:$T$29,"?*"),1)</definedName>
    <definedName name="lstCategory">'Daily Data'!$Q$2:$Q$4</definedName>
    <definedName name="lstDate">OFFSET('Daily Data'!$R$2,0,0,1+COUNT('Daily Data'!$R$3:$R$27),1)</definedName>
    <definedName name="lstDay">'Daily Data'!$S$2:$S$9</definedName>
    <definedName name="lstFlavor">'Daily Data'!$V$2:$V$7</definedName>
    <definedName name="lstItem">OFFSET('Daily Data'!$U$2,0,0,1+COUNTIF('Daily Data'!$U$3:$U$29,"?*"),1)</definedName>
    <definedName name="lstWeek">'Daily Data'!$P$2:$P$7</definedName>
    <definedName name="_xlnm.Print_Area" localSheetId="0">Dashboard!$A$1:$DS$118</definedName>
  </definedNames>
  <calcPr calcId="191029"/>
</workbook>
</file>

<file path=xl/calcChain.xml><?xml version="1.0" encoding="utf-8"?>
<calcChain xmlns="http://schemas.openxmlformats.org/spreadsheetml/2006/main">
  <c r="M5" i="5" l="1"/>
  <c r="A54" i="7"/>
  <c r="A53" i="7"/>
  <c r="A52" i="7"/>
  <c r="A51" i="7"/>
  <c r="A50" i="7"/>
  <c r="A49" i="7"/>
  <c r="A48" i="7"/>
  <c r="A47" i="7"/>
  <c r="A46" i="7"/>
  <c r="A45" i="7"/>
  <c r="A44" i="7"/>
  <c r="A43" i="7"/>
  <c r="A42" i="7"/>
  <c r="A41" i="7"/>
  <c r="A40" i="7"/>
  <c r="A39" i="7"/>
  <c r="W39" i="7" s="1"/>
  <c r="A38" i="7"/>
  <c r="A37" i="7"/>
  <c r="A36" i="7"/>
  <c r="A35" i="7"/>
  <c r="A34" i="7"/>
  <c r="A33" i="7"/>
  <c r="A32" i="7"/>
  <c r="A31" i="7"/>
  <c r="A30" i="7"/>
  <c r="A29" i="7"/>
  <c r="A28" i="7"/>
  <c r="B24" i="7"/>
  <c r="U30" i="5"/>
  <c r="Q30" i="5"/>
  <c r="U29" i="5"/>
  <c r="Q29" i="5"/>
  <c r="U28" i="5"/>
  <c r="Q28" i="5"/>
  <c r="U27" i="5"/>
  <c r="Q27" i="5"/>
  <c r="U26" i="5"/>
  <c r="Q26" i="5"/>
  <c r="U25" i="5"/>
  <c r="Q25" i="5"/>
  <c r="U24" i="5"/>
  <c r="Q24" i="5"/>
  <c r="U23" i="5"/>
  <c r="Q23" i="5"/>
  <c r="U22" i="5"/>
  <c r="Q22" i="5"/>
  <c r="U21" i="5"/>
  <c r="Q21" i="5"/>
  <c r="U20" i="5"/>
  <c r="Q20" i="5"/>
  <c r="U19" i="5"/>
  <c r="Q19" i="5"/>
  <c r="U18" i="5"/>
  <c r="Q18" i="5"/>
  <c r="U17" i="5"/>
  <c r="Q17" i="5"/>
  <c r="U16" i="5"/>
  <c r="Q16" i="5"/>
  <c r="U14" i="5"/>
  <c r="Q14" i="5"/>
  <c r="U13" i="5"/>
  <c r="Q13" i="5"/>
  <c r="U12" i="5"/>
  <c r="Q12" i="5"/>
  <c r="U11" i="5"/>
  <c r="Q11" i="5"/>
  <c r="U10" i="5"/>
  <c r="Q10" i="5"/>
  <c r="U9" i="5"/>
  <c r="Q9" i="5"/>
  <c r="U8" i="5"/>
  <c r="Q8" i="5"/>
  <c r="U7" i="5"/>
  <c r="Q7" i="5"/>
  <c r="U6" i="5"/>
  <c r="Q6" i="5"/>
  <c r="U5" i="5"/>
  <c r="Q5" i="5"/>
  <c r="U4" i="5"/>
  <c r="Q4" i="5"/>
  <c r="B9" i="7" s="1"/>
  <c r="D9" i="7" s="1"/>
  <c r="AG676" i="3"/>
  <c r="G676" i="3"/>
  <c r="E676" i="3"/>
  <c r="D676" i="3"/>
  <c r="C676" i="3"/>
  <c r="AG675" i="3"/>
  <c r="J675" i="3"/>
  <c r="H675" i="3"/>
  <c r="G675" i="3"/>
  <c r="F675" i="3"/>
  <c r="E675" i="3"/>
  <c r="D675" i="3"/>
  <c r="C675" i="3"/>
  <c r="G674" i="3"/>
  <c r="F674" i="3"/>
  <c r="E674" i="3"/>
  <c r="D674" i="3"/>
  <c r="C674" i="3"/>
  <c r="E673" i="3"/>
  <c r="D673" i="3"/>
  <c r="C673" i="3"/>
  <c r="E672" i="3"/>
  <c r="D672" i="3"/>
  <c r="C672" i="3"/>
  <c r="E671" i="3"/>
  <c r="D671" i="3"/>
  <c r="C671" i="3"/>
  <c r="E670" i="3"/>
  <c r="D670" i="3"/>
  <c r="C670" i="3"/>
  <c r="E669" i="3"/>
  <c r="D669" i="3"/>
  <c r="C669" i="3"/>
  <c r="AG668" i="3"/>
  <c r="L668" i="3"/>
  <c r="AJ668" i="3" s="1"/>
  <c r="J668" i="3"/>
  <c r="H668" i="3"/>
  <c r="G668" i="3"/>
  <c r="F668" i="3"/>
  <c r="E668" i="3"/>
  <c r="D668" i="3"/>
  <c r="C668" i="3"/>
  <c r="G667" i="3"/>
  <c r="F667" i="3"/>
  <c r="E667" i="3"/>
  <c r="D667" i="3"/>
  <c r="C667" i="3"/>
  <c r="AG666" i="3"/>
  <c r="F666" i="3"/>
  <c r="E666" i="3"/>
  <c r="D666" i="3"/>
  <c r="C666" i="3"/>
  <c r="AG665" i="3"/>
  <c r="H665" i="3"/>
  <c r="L665" i="3" s="1"/>
  <c r="AJ665" i="3" s="1"/>
  <c r="E665" i="3"/>
  <c r="D665" i="3"/>
  <c r="C665" i="3"/>
  <c r="AG664" i="3"/>
  <c r="L664" i="3"/>
  <c r="AJ664" i="3" s="1"/>
  <c r="J664" i="3"/>
  <c r="H664" i="3"/>
  <c r="G664" i="3"/>
  <c r="F664" i="3"/>
  <c r="E664" i="3"/>
  <c r="D664" i="3"/>
  <c r="C664" i="3"/>
  <c r="J663" i="3"/>
  <c r="G663" i="3"/>
  <c r="F663" i="3"/>
  <c r="E663" i="3"/>
  <c r="D663" i="3"/>
  <c r="C663" i="3"/>
  <c r="AG662" i="3"/>
  <c r="J662" i="3"/>
  <c r="F662" i="3"/>
  <c r="E662" i="3"/>
  <c r="D662" i="3"/>
  <c r="C662" i="3"/>
  <c r="AJ661" i="3"/>
  <c r="AG661" i="3"/>
  <c r="I661" i="3"/>
  <c r="AI661" i="3" s="1"/>
  <c r="H661" i="3"/>
  <c r="L661" i="3" s="1"/>
  <c r="E661" i="3"/>
  <c r="D661" i="3"/>
  <c r="C661" i="3"/>
  <c r="AG660" i="3"/>
  <c r="J660" i="3"/>
  <c r="H660" i="3"/>
  <c r="G660" i="3"/>
  <c r="F660" i="3"/>
  <c r="E660" i="3"/>
  <c r="D660" i="3"/>
  <c r="C660" i="3"/>
  <c r="J659" i="3"/>
  <c r="E659" i="3"/>
  <c r="D659" i="3"/>
  <c r="C659" i="3"/>
  <c r="J658" i="3"/>
  <c r="E658" i="3"/>
  <c r="D658" i="3"/>
  <c r="C658" i="3"/>
  <c r="E657" i="3"/>
  <c r="D657" i="3"/>
  <c r="C657" i="3"/>
  <c r="AG656" i="3"/>
  <c r="J656" i="3"/>
  <c r="H656" i="3"/>
  <c r="L656" i="3" s="1"/>
  <c r="AJ656" i="3" s="1"/>
  <c r="G656" i="3"/>
  <c r="F656" i="3"/>
  <c r="E656" i="3"/>
  <c r="D656" i="3"/>
  <c r="C656" i="3"/>
  <c r="E655" i="3"/>
  <c r="D655" i="3"/>
  <c r="C655" i="3"/>
  <c r="E654" i="3"/>
  <c r="D654" i="3"/>
  <c r="C654" i="3"/>
  <c r="E653" i="3"/>
  <c r="D653" i="3"/>
  <c r="C653" i="3"/>
  <c r="AG652" i="3"/>
  <c r="L652" i="3"/>
  <c r="AJ652" i="3" s="1"/>
  <c r="J652" i="3"/>
  <c r="H652" i="3"/>
  <c r="G652" i="3"/>
  <c r="F652" i="3"/>
  <c r="E652" i="3"/>
  <c r="D652" i="3"/>
  <c r="C652" i="3"/>
  <c r="G651" i="3"/>
  <c r="F651" i="3"/>
  <c r="E651" i="3"/>
  <c r="D651" i="3"/>
  <c r="C651" i="3"/>
  <c r="AG650" i="3"/>
  <c r="F650" i="3"/>
  <c r="E650" i="3"/>
  <c r="D650" i="3"/>
  <c r="C650" i="3"/>
  <c r="AG649" i="3"/>
  <c r="H649" i="3"/>
  <c r="E649" i="3"/>
  <c r="D649" i="3"/>
  <c r="C649" i="3"/>
  <c r="AJ648" i="3"/>
  <c r="AG648" i="3"/>
  <c r="L648" i="3"/>
  <c r="J648" i="3"/>
  <c r="H648" i="3"/>
  <c r="G648" i="3"/>
  <c r="F648" i="3"/>
  <c r="E648" i="3"/>
  <c r="D648" i="3"/>
  <c r="C648" i="3"/>
  <c r="J647" i="3"/>
  <c r="G647" i="3"/>
  <c r="F647" i="3"/>
  <c r="E647" i="3"/>
  <c r="D647" i="3"/>
  <c r="C647" i="3"/>
  <c r="AG646" i="3"/>
  <c r="J646" i="3"/>
  <c r="F646" i="3"/>
  <c r="E646" i="3"/>
  <c r="D646" i="3"/>
  <c r="C646" i="3"/>
  <c r="AJ645" i="3"/>
  <c r="AG645" i="3"/>
  <c r="H645" i="3"/>
  <c r="L645" i="3" s="1"/>
  <c r="E645" i="3"/>
  <c r="D645" i="3"/>
  <c r="C645" i="3"/>
  <c r="AG644" i="3"/>
  <c r="J644" i="3"/>
  <c r="H644" i="3"/>
  <c r="G644" i="3"/>
  <c r="F644" i="3"/>
  <c r="E644" i="3"/>
  <c r="D644" i="3"/>
  <c r="C644" i="3"/>
  <c r="J643" i="3"/>
  <c r="E643" i="3"/>
  <c r="D643" i="3"/>
  <c r="C643" i="3"/>
  <c r="J642" i="3"/>
  <c r="E642" i="3"/>
  <c r="D642" i="3"/>
  <c r="C642" i="3"/>
  <c r="E641" i="3"/>
  <c r="D641" i="3"/>
  <c r="C641" i="3"/>
  <c r="AG640" i="3"/>
  <c r="J640" i="3"/>
  <c r="H640" i="3"/>
  <c r="L640" i="3" s="1"/>
  <c r="AJ640" i="3" s="1"/>
  <c r="G640" i="3"/>
  <c r="F640" i="3"/>
  <c r="E640" i="3"/>
  <c r="D640" i="3"/>
  <c r="C640" i="3"/>
  <c r="E639" i="3"/>
  <c r="D639" i="3"/>
  <c r="C639" i="3"/>
  <c r="E638" i="3"/>
  <c r="D638" i="3"/>
  <c r="C638" i="3"/>
  <c r="E637" i="3"/>
  <c r="D637" i="3"/>
  <c r="C637" i="3"/>
  <c r="AG636" i="3"/>
  <c r="L636" i="3"/>
  <c r="AJ636" i="3" s="1"/>
  <c r="J636" i="3"/>
  <c r="H636" i="3"/>
  <c r="G636" i="3"/>
  <c r="F636" i="3"/>
  <c r="E636" i="3"/>
  <c r="D636" i="3"/>
  <c r="C636" i="3"/>
  <c r="G635" i="3"/>
  <c r="F635" i="3"/>
  <c r="E635" i="3"/>
  <c r="D635" i="3"/>
  <c r="C635" i="3"/>
  <c r="AG634" i="3"/>
  <c r="N634" i="3"/>
  <c r="F634" i="3"/>
  <c r="E634" i="3"/>
  <c r="D634" i="3"/>
  <c r="C634" i="3"/>
  <c r="AG633" i="3"/>
  <c r="H633" i="3"/>
  <c r="E633" i="3"/>
  <c r="D633" i="3"/>
  <c r="C633" i="3"/>
  <c r="AG632" i="3"/>
  <c r="L632" i="3"/>
  <c r="AJ632" i="3" s="1"/>
  <c r="J632" i="3"/>
  <c r="H632" i="3"/>
  <c r="G632" i="3"/>
  <c r="F632" i="3"/>
  <c r="E632" i="3"/>
  <c r="D632" i="3"/>
  <c r="C632" i="3"/>
  <c r="J631" i="3"/>
  <c r="G631" i="3"/>
  <c r="F631" i="3"/>
  <c r="E631" i="3"/>
  <c r="D631" i="3"/>
  <c r="C631" i="3"/>
  <c r="AG630" i="3"/>
  <c r="J630" i="3"/>
  <c r="F630" i="3"/>
  <c r="E630" i="3"/>
  <c r="D630" i="3"/>
  <c r="C630" i="3"/>
  <c r="AJ629" i="3"/>
  <c r="AG629" i="3"/>
  <c r="H629" i="3"/>
  <c r="L629" i="3" s="1"/>
  <c r="E629" i="3"/>
  <c r="D629" i="3"/>
  <c r="C629" i="3"/>
  <c r="AG628" i="3"/>
  <c r="J628" i="3"/>
  <c r="H628" i="3"/>
  <c r="G628" i="3"/>
  <c r="F628" i="3"/>
  <c r="E628" i="3"/>
  <c r="D628" i="3"/>
  <c r="C628" i="3"/>
  <c r="J627" i="3"/>
  <c r="E627" i="3"/>
  <c r="D627" i="3"/>
  <c r="C627" i="3"/>
  <c r="J626" i="3"/>
  <c r="E626" i="3"/>
  <c r="D626" i="3"/>
  <c r="C626" i="3"/>
  <c r="E625" i="3"/>
  <c r="D625" i="3"/>
  <c r="C625" i="3"/>
  <c r="AG624" i="3"/>
  <c r="J624" i="3"/>
  <c r="H624" i="3"/>
  <c r="L624" i="3" s="1"/>
  <c r="AJ624" i="3" s="1"/>
  <c r="G624" i="3"/>
  <c r="F624" i="3"/>
  <c r="E624" i="3"/>
  <c r="D624" i="3"/>
  <c r="C624" i="3"/>
  <c r="E623" i="3"/>
  <c r="D623" i="3"/>
  <c r="C623" i="3"/>
  <c r="E622" i="3"/>
  <c r="D622" i="3"/>
  <c r="C622" i="3"/>
  <c r="E621" i="3"/>
  <c r="D621" i="3"/>
  <c r="C621" i="3"/>
  <c r="AI620" i="3"/>
  <c r="AG620" i="3"/>
  <c r="L620" i="3"/>
  <c r="AJ620" i="3" s="1"/>
  <c r="K620" i="3"/>
  <c r="J620" i="3"/>
  <c r="H620" i="3"/>
  <c r="I620" i="3" s="1"/>
  <c r="O620" i="3" s="1"/>
  <c r="G620" i="3"/>
  <c r="F620" i="3"/>
  <c r="E620" i="3"/>
  <c r="D620" i="3"/>
  <c r="C620" i="3"/>
  <c r="G619" i="3"/>
  <c r="F619" i="3"/>
  <c r="E619" i="3"/>
  <c r="D619" i="3"/>
  <c r="C619" i="3"/>
  <c r="AG618" i="3"/>
  <c r="F618" i="3"/>
  <c r="E618" i="3"/>
  <c r="D618" i="3"/>
  <c r="C618" i="3"/>
  <c r="AG617" i="3"/>
  <c r="H617" i="3"/>
  <c r="E617" i="3"/>
  <c r="D617" i="3"/>
  <c r="C617" i="3"/>
  <c r="AJ616" i="3"/>
  <c r="AG616" i="3"/>
  <c r="L616" i="3"/>
  <c r="J616" i="3"/>
  <c r="H616" i="3"/>
  <c r="I616" i="3" s="1"/>
  <c r="O616" i="3" s="1"/>
  <c r="G616" i="3"/>
  <c r="F616" i="3"/>
  <c r="E616" i="3"/>
  <c r="D616" i="3"/>
  <c r="C616" i="3"/>
  <c r="J615" i="3"/>
  <c r="G615" i="3"/>
  <c r="F615" i="3"/>
  <c r="E615" i="3"/>
  <c r="D615" i="3"/>
  <c r="C615" i="3"/>
  <c r="AG614" i="3"/>
  <c r="J614" i="3"/>
  <c r="F614" i="3"/>
  <c r="E614" i="3"/>
  <c r="D614" i="3"/>
  <c r="C614" i="3"/>
  <c r="AJ613" i="3"/>
  <c r="AG613" i="3"/>
  <c r="I613" i="3"/>
  <c r="H613" i="3"/>
  <c r="L613" i="3" s="1"/>
  <c r="E613" i="3"/>
  <c r="D613" i="3"/>
  <c r="C613" i="3"/>
  <c r="AG612" i="3"/>
  <c r="J612" i="3"/>
  <c r="H612" i="3"/>
  <c r="G612" i="3"/>
  <c r="F612" i="3"/>
  <c r="E612" i="3"/>
  <c r="D612" i="3"/>
  <c r="C612" i="3"/>
  <c r="J611" i="3"/>
  <c r="E611" i="3"/>
  <c r="D611" i="3"/>
  <c r="C611" i="3"/>
  <c r="AH610" i="3"/>
  <c r="L610" i="3"/>
  <c r="AJ610" i="3" s="1"/>
  <c r="H610" i="3"/>
  <c r="I610" i="3" s="1"/>
  <c r="G610" i="3"/>
  <c r="E610" i="3"/>
  <c r="D610" i="3"/>
  <c r="C610" i="3"/>
  <c r="AG609" i="3"/>
  <c r="O609" i="3"/>
  <c r="K609" i="3"/>
  <c r="J609" i="3"/>
  <c r="H609" i="3"/>
  <c r="I609" i="3" s="1"/>
  <c r="AI609" i="3" s="1"/>
  <c r="G609" i="3"/>
  <c r="F609" i="3"/>
  <c r="E609" i="3"/>
  <c r="D609" i="3"/>
  <c r="C609" i="3"/>
  <c r="E608" i="3"/>
  <c r="D608" i="3"/>
  <c r="C608" i="3"/>
  <c r="N607" i="3"/>
  <c r="M607" i="3"/>
  <c r="H607" i="3"/>
  <c r="F607" i="3"/>
  <c r="E607" i="3"/>
  <c r="G607" i="3" s="1"/>
  <c r="D607" i="3"/>
  <c r="C607" i="3"/>
  <c r="AH606" i="3"/>
  <c r="L606" i="3"/>
  <c r="AJ606" i="3" s="1"/>
  <c r="H606" i="3"/>
  <c r="I606" i="3" s="1"/>
  <c r="G606" i="3"/>
  <c r="E606" i="3"/>
  <c r="D606" i="3"/>
  <c r="C606" i="3"/>
  <c r="AG605" i="3"/>
  <c r="O605" i="3"/>
  <c r="K605" i="3"/>
  <c r="J605" i="3"/>
  <c r="H605" i="3"/>
  <c r="I605" i="3" s="1"/>
  <c r="AI605" i="3" s="1"/>
  <c r="G605" i="3"/>
  <c r="F605" i="3"/>
  <c r="E605" i="3"/>
  <c r="D605" i="3"/>
  <c r="C605" i="3"/>
  <c r="E604" i="3"/>
  <c r="D604" i="3"/>
  <c r="C604" i="3"/>
  <c r="H603" i="3"/>
  <c r="F603" i="3"/>
  <c r="E603" i="3"/>
  <c r="G603" i="3" s="1"/>
  <c r="D603" i="3"/>
  <c r="C603" i="3"/>
  <c r="AH602" i="3"/>
  <c r="L602" i="3"/>
  <c r="AJ602" i="3" s="1"/>
  <c r="H602" i="3"/>
  <c r="I602" i="3" s="1"/>
  <c r="G602" i="3"/>
  <c r="E602" i="3"/>
  <c r="D602" i="3"/>
  <c r="C602" i="3"/>
  <c r="AG601" i="3"/>
  <c r="O601" i="3"/>
  <c r="K601" i="3"/>
  <c r="J601" i="3"/>
  <c r="H601" i="3"/>
  <c r="I601" i="3" s="1"/>
  <c r="AI601" i="3" s="1"/>
  <c r="G601" i="3"/>
  <c r="F601" i="3"/>
  <c r="E601" i="3"/>
  <c r="D601" i="3"/>
  <c r="C601" i="3"/>
  <c r="E600" i="3"/>
  <c r="D600" i="3"/>
  <c r="C600" i="3"/>
  <c r="H599" i="3"/>
  <c r="F599" i="3"/>
  <c r="E599" i="3"/>
  <c r="G599" i="3" s="1"/>
  <c r="D599" i="3"/>
  <c r="C599" i="3"/>
  <c r="L598" i="3"/>
  <c r="H598" i="3"/>
  <c r="I598" i="3" s="1"/>
  <c r="G598" i="3"/>
  <c r="E598" i="3"/>
  <c r="D598" i="3"/>
  <c r="C598" i="3"/>
  <c r="AG597" i="3"/>
  <c r="O597" i="3"/>
  <c r="K597" i="3"/>
  <c r="J597" i="3"/>
  <c r="H597" i="3"/>
  <c r="I597" i="3" s="1"/>
  <c r="AI597" i="3" s="1"/>
  <c r="G597" i="3"/>
  <c r="F597" i="3"/>
  <c r="E597" i="3"/>
  <c r="D597" i="3"/>
  <c r="C597" i="3"/>
  <c r="E596" i="3"/>
  <c r="D596" i="3"/>
  <c r="C596" i="3"/>
  <c r="H595" i="3"/>
  <c r="F595" i="3"/>
  <c r="E595" i="3"/>
  <c r="G595" i="3" s="1"/>
  <c r="D595" i="3"/>
  <c r="C595" i="3"/>
  <c r="L594" i="3"/>
  <c r="AJ594" i="3" s="1"/>
  <c r="H594" i="3"/>
  <c r="I594" i="3" s="1"/>
  <c r="G594" i="3"/>
  <c r="E594" i="3"/>
  <c r="D594" i="3"/>
  <c r="C594" i="3"/>
  <c r="AG593" i="3"/>
  <c r="O593" i="3"/>
  <c r="K593" i="3"/>
  <c r="J593" i="3"/>
  <c r="H593" i="3"/>
  <c r="I593" i="3" s="1"/>
  <c r="AI593" i="3" s="1"/>
  <c r="G593" i="3"/>
  <c r="F593" i="3"/>
  <c r="E593" i="3"/>
  <c r="D593" i="3"/>
  <c r="C593" i="3"/>
  <c r="E592" i="3"/>
  <c r="D592" i="3"/>
  <c r="C592" i="3"/>
  <c r="H591" i="3"/>
  <c r="F591" i="3"/>
  <c r="E591" i="3"/>
  <c r="G591" i="3" s="1"/>
  <c r="D591" i="3"/>
  <c r="C591" i="3"/>
  <c r="AH590" i="3"/>
  <c r="L590" i="3"/>
  <c r="AJ590" i="3" s="1"/>
  <c r="H590" i="3"/>
  <c r="I590" i="3" s="1"/>
  <c r="G590" i="3"/>
  <c r="E590" i="3"/>
  <c r="D590" i="3"/>
  <c r="C590" i="3"/>
  <c r="AG589" i="3"/>
  <c r="O589" i="3"/>
  <c r="K589" i="3"/>
  <c r="J589" i="3"/>
  <c r="H589" i="3"/>
  <c r="I589" i="3" s="1"/>
  <c r="AI589" i="3" s="1"/>
  <c r="G589" i="3"/>
  <c r="F589" i="3"/>
  <c r="E589" i="3"/>
  <c r="D589" i="3"/>
  <c r="C589" i="3"/>
  <c r="J588" i="3"/>
  <c r="E588" i="3"/>
  <c r="D588" i="3"/>
  <c r="C588" i="3"/>
  <c r="I587" i="3"/>
  <c r="H587" i="3"/>
  <c r="L587" i="3" s="1"/>
  <c r="F587" i="3"/>
  <c r="E587" i="3"/>
  <c r="G587" i="3" s="1"/>
  <c r="D587" i="3"/>
  <c r="C587" i="3"/>
  <c r="AH586" i="3"/>
  <c r="L586" i="3"/>
  <c r="AJ586" i="3" s="1"/>
  <c r="H586" i="3"/>
  <c r="I586" i="3" s="1"/>
  <c r="G586" i="3"/>
  <c r="E586" i="3"/>
  <c r="D586" i="3"/>
  <c r="C586" i="3"/>
  <c r="AG585" i="3"/>
  <c r="O585" i="3"/>
  <c r="K585" i="3"/>
  <c r="J585" i="3"/>
  <c r="H585" i="3"/>
  <c r="I585" i="3" s="1"/>
  <c r="AI585" i="3" s="1"/>
  <c r="G585" i="3"/>
  <c r="F585" i="3"/>
  <c r="E585" i="3"/>
  <c r="D585" i="3"/>
  <c r="C585" i="3"/>
  <c r="E584" i="3"/>
  <c r="D584" i="3"/>
  <c r="C584" i="3"/>
  <c r="H583" i="3"/>
  <c r="F583" i="3"/>
  <c r="E583" i="3"/>
  <c r="G583" i="3" s="1"/>
  <c r="D583" i="3"/>
  <c r="C583" i="3"/>
  <c r="L582" i="3"/>
  <c r="H582" i="3"/>
  <c r="I582" i="3" s="1"/>
  <c r="G582" i="3"/>
  <c r="E582" i="3"/>
  <c r="D582" i="3"/>
  <c r="C582" i="3"/>
  <c r="AG581" i="3"/>
  <c r="O581" i="3"/>
  <c r="K581" i="3"/>
  <c r="J581" i="3"/>
  <c r="H581" i="3"/>
  <c r="I581" i="3" s="1"/>
  <c r="AI581" i="3" s="1"/>
  <c r="G581" i="3"/>
  <c r="F581" i="3"/>
  <c r="E581" i="3"/>
  <c r="D581" i="3"/>
  <c r="C581" i="3"/>
  <c r="N580" i="3"/>
  <c r="E580" i="3"/>
  <c r="D580" i="3"/>
  <c r="C580" i="3"/>
  <c r="J579" i="3"/>
  <c r="G579" i="3"/>
  <c r="F579" i="3"/>
  <c r="E579" i="3"/>
  <c r="D579" i="3"/>
  <c r="C579" i="3"/>
  <c r="F578" i="3"/>
  <c r="E578" i="3"/>
  <c r="J578" i="3" s="1"/>
  <c r="D578" i="3"/>
  <c r="C578" i="3"/>
  <c r="E577" i="3"/>
  <c r="D577" i="3"/>
  <c r="C577" i="3"/>
  <c r="AJ576" i="3"/>
  <c r="AG576" i="3"/>
  <c r="L576" i="3"/>
  <c r="K576" i="3"/>
  <c r="J576" i="3"/>
  <c r="H576" i="3"/>
  <c r="I576" i="3" s="1"/>
  <c r="AI576" i="3" s="1"/>
  <c r="G576" i="3"/>
  <c r="F576" i="3"/>
  <c r="E576" i="3"/>
  <c r="D576" i="3"/>
  <c r="C576" i="3"/>
  <c r="J575" i="3"/>
  <c r="G575" i="3"/>
  <c r="F575" i="3"/>
  <c r="E575" i="3"/>
  <c r="D575" i="3"/>
  <c r="C575" i="3"/>
  <c r="J574" i="3"/>
  <c r="E574" i="3"/>
  <c r="D574" i="3"/>
  <c r="C574" i="3"/>
  <c r="AH573" i="3"/>
  <c r="AG573" i="3"/>
  <c r="L573" i="3"/>
  <c r="AJ573" i="3" s="1"/>
  <c r="I573" i="3"/>
  <c r="H573" i="3"/>
  <c r="E573" i="3"/>
  <c r="D573" i="3"/>
  <c r="C573" i="3"/>
  <c r="AG572" i="3"/>
  <c r="J572" i="3"/>
  <c r="H572" i="3"/>
  <c r="G572" i="3"/>
  <c r="F572" i="3"/>
  <c r="E572" i="3"/>
  <c r="D572" i="3"/>
  <c r="C572" i="3"/>
  <c r="J571" i="3"/>
  <c r="G571" i="3"/>
  <c r="F571" i="3"/>
  <c r="E571" i="3"/>
  <c r="D571" i="3"/>
  <c r="C571" i="3"/>
  <c r="F570" i="3"/>
  <c r="E570" i="3"/>
  <c r="J570" i="3" s="1"/>
  <c r="D570" i="3"/>
  <c r="C570" i="3"/>
  <c r="E569" i="3"/>
  <c r="D569" i="3"/>
  <c r="C569" i="3"/>
  <c r="AJ568" i="3"/>
  <c r="AG568" i="3"/>
  <c r="L568" i="3"/>
  <c r="K568" i="3"/>
  <c r="J568" i="3"/>
  <c r="H568" i="3"/>
  <c r="I568" i="3" s="1"/>
  <c r="AI568" i="3" s="1"/>
  <c r="G568" i="3"/>
  <c r="F568" i="3"/>
  <c r="E568" i="3"/>
  <c r="D568" i="3"/>
  <c r="C568" i="3"/>
  <c r="E567" i="3"/>
  <c r="D567" i="3"/>
  <c r="C567" i="3"/>
  <c r="E566" i="3"/>
  <c r="G566" i="3" s="1"/>
  <c r="D566" i="3"/>
  <c r="C566" i="3"/>
  <c r="H565" i="3"/>
  <c r="G565" i="3"/>
  <c r="E565" i="3"/>
  <c r="D565" i="3"/>
  <c r="C565" i="3"/>
  <c r="AI564" i="3"/>
  <c r="AG564" i="3"/>
  <c r="O564" i="3"/>
  <c r="L564" i="3"/>
  <c r="AJ564" i="3" s="1"/>
  <c r="K564" i="3"/>
  <c r="J564" i="3"/>
  <c r="H564" i="3"/>
  <c r="I564" i="3" s="1"/>
  <c r="G564" i="3"/>
  <c r="F564" i="3"/>
  <c r="E564" i="3"/>
  <c r="D564" i="3"/>
  <c r="C564" i="3"/>
  <c r="J563" i="3"/>
  <c r="F563" i="3"/>
  <c r="E563" i="3"/>
  <c r="D563" i="3"/>
  <c r="C563" i="3"/>
  <c r="J562" i="3"/>
  <c r="E562" i="3"/>
  <c r="D562" i="3"/>
  <c r="C562" i="3"/>
  <c r="H561" i="3"/>
  <c r="L561" i="3" s="1"/>
  <c r="AH561" i="3" s="1"/>
  <c r="G561" i="3"/>
  <c r="E561" i="3"/>
  <c r="D561" i="3"/>
  <c r="C561" i="3"/>
  <c r="AI560" i="3"/>
  <c r="AG560" i="3"/>
  <c r="O560" i="3"/>
  <c r="L560" i="3"/>
  <c r="AJ560" i="3" s="1"/>
  <c r="K560" i="3"/>
  <c r="J560" i="3"/>
  <c r="H560" i="3"/>
  <c r="I560" i="3" s="1"/>
  <c r="G560" i="3"/>
  <c r="F560" i="3"/>
  <c r="E560" i="3"/>
  <c r="D560" i="3"/>
  <c r="C560" i="3"/>
  <c r="J559" i="3"/>
  <c r="F559" i="3"/>
  <c r="E559" i="3"/>
  <c r="D559" i="3"/>
  <c r="C559" i="3"/>
  <c r="J558" i="3"/>
  <c r="E558" i="3"/>
  <c r="D558" i="3"/>
  <c r="C558" i="3"/>
  <c r="H557" i="3"/>
  <c r="L557" i="3" s="1"/>
  <c r="AH557" i="3" s="1"/>
  <c r="G557" i="3"/>
  <c r="E557" i="3"/>
  <c r="D557" i="3"/>
  <c r="C557" i="3"/>
  <c r="AI556" i="3"/>
  <c r="AG556" i="3"/>
  <c r="O556" i="3"/>
  <c r="L556" i="3"/>
  <c r="AJ556" i="3" s="1"/>
  <c r="K556" i="3"/>
  <c r="J556" i="3"/>
  <c r="H556" i="3"/>
  <c r="I556" i="3" s="1"/>
  <c r="G556" i="3"/>
  <c r="F556" i="3"/>
  <c r="E556" i="3"/>
  <c r="D556" i="3"/>
  <c r="C556" i="3"/>
  <c r="J555" i="3"/>
  <c r="F555" i="3"/>
  <c r="E555" i="3"/>
  <c r="D555" i="3"/>
  <c r="C555" i="3"/>
  <c r="J554" i="3"/>
  <c r="E554" i="3"/>
  <c r="D554" i="3"/>
  <c r="C554" i="3"/>
  <c r="M553" i="3"/>
  <c r="H553" i="3"/>
  <c r="L553" i="3" s="1"/>
  <c r="AH553" i="3" s="1"/>
  <c r="G553" i="3"/>
  <c r="E553" i="3"/>
  <c r="D553" i="3"/>
  <c r="C553" i="3"/>
  <c r="AI552" i="3"/>
  <c r="AG552" i="3"/>
  <c r="O552" i="3"/>
  <c r="L552" i="3"/>
  <c r="AJ552" i="3" s="1"/>
  <c r="K552" i="3"/>
  <c r="J552" i="3"/>
  <c r="H552" i="3"/>
  <c r="I552" i="3" s="1"/>
  <c r="G552" i="3"/>
  <c r="F552" i="3"/>
  <c r="E552" i="3"/>
  <c r="D552" i="3"/>
  <c r="C552" i="3"/>
  <c r="J551" i="3"/>
  <c r="F551" i="3"/>
  <c r="E551" i="3"/>
  <c r="D551" i="3"/>
  <c r="C551" i="3"/>
  <c r="J550" i="3"/>
  <c r="E550" i="3"/>
  <c r="D550" i="3"/>
  <c r="C550" i="3"/>
  <c r="H549" i="3"/>
  <c r="L549" i="3" s="1"/>
  <c r="AH549" i="3" s="1"/>
  <c r="G549" i="3"/>
  <c r="E549" i="3"/>
  <c r="D549" i="3"/>
  <c r="C549" i="3"/>
  <c r="AI548" i="3"/>
  <c r="AG548" i="3"/>
  <c r="O548" i="3"/>
  <c r="L548" i="3"/>
  <c r="AJ548" i="3" s="1"/>
  <c r="K548" i="3"/>
  <c r="J548" i="3"/>
  <c r="H548" i="3"/>
  <c r="I548" i="3" s="1"/>
  <c r="G548" i="3"/>
  <c r="F548" i="3"/>
  <c r="E548" i="3"/>
  <c r="D548" i="3"/>
  <c r="C548" i="3"/>
  <c r="J547" i="3"/>
  <c r="F547" i="3"/>
  <c r="E547" i="3"/>
  <c r="D547" i="3"/>
  <c r="C547" i="3"/>
  <c r="J546" i="3"/>
  <c r="E546" i="3"/>
  <c r="D546" i="3"/>
  <c r="C546" i="3"/>
  <c r="H545" i="3"/>
  <c r="L545" i="3" s="1"/>
  <c r="AH545" i="3" s="1"/>
  <c r="G545" i="3"/>
  <c r="E545" i="3"/>
  <c r="D545" i="3"/>
  <c r="C545" i="3"/>
  <c r="AI544" i="3"/>
  <c r="AG544" i="3"/>
  <c r="O544" i="3"/>
  <c r="L544" i="3"/>
  <c r="AJ544" i="3" s="1"/>
  <c r="K544" i="3"/>
  <c r="J544" i="3"/>
  <c r="H544" i="3"/>
  <c r="I544" i="3" s="1"/>
  <c r="G544" i="3"/>
  <c r="F544" i="3"/>
  <c r="E544" i="3"/>
  <c r="D544" i="3"/>
  <c r="C544" i="3"/>
  <c r="J543" i="3"/>
  <c r="F543" i="3"/>
  <c r="E543" i="3"/>
  <c r="D543" i="3"/>
  <c r="C543" i="3"/>
  <c r="J542" i="3"/>
  <c r="E542" i="3"/>
  <c r="D542" i="3"/>
  <c r="C542" i="3"/>
  <c r="H541" i="3"/>
  <c r="L541" i="3" s="1"/>
  <c r="G541" i="3"/>
  <c r="E541" i="3"/>
  <c r="D541" i="3"/>
  <c r="C541" i="3"/>
  <c r="AG540" i="3"/>
  <c r="L540" i="3"/>
  <c r="AJ540" i="3" s="1"/>
  <c r="J540" i="3"/>
  <c r="H540" i="3"/>
  <c r="G540" i="3"/>
  <c r="F540" i="3"/>
  <c r="E540" i="3"/>
  <c r="D540" i="3"/>
  <c r="C540" i="3"/>
  <c r="E539" i="3"/>
  <c r="D539" i="3"/>
  <c r="C539" i="3"/>
  <c r="J538" i="3"/>
  <c r="E538" i="3"/>
  <c r="D538" i="3"/>
  <c r="C538" i="3"/>
  <c r="H537" i="3"/>
  <c r="L537" i="3" s="1"/>
  <c r="G537" i="3"/>
  <c r="E537" i="3"/>
  <c r="D537" i="3"/>
  <c r="C537" i="3"/>
  <c r="AG536" i="3"/>
  <c r="L536" i="3"/>
  <c r="AJ536" i="3" s="1"/>
  <c r="J536" i="3"/>
  <c r="H536" i="3"/>
  <c r="G536" i="3"/>
  <c r="F536" i="3"/>
  <c r="E536" i="3"/>
  <c r="D536" i="3"/>
  <c r="C536" i="3"/>
  <c r="E535" i="3"/>
  <c r="D535" i="3"/>
  <c r="C535" i="3"/>
  <c r="E534" i="3"/>
  <c r="D534" i="3"/>
  <c r="C534" i="3"/>
  <c r="H533" i="3"/>
  <c r="L533" i="3" s="1"/>
  <c r="G533" i="3"/>
  <c r="E533" i="3"/>
  <c r="D533" i="3"/>
  <c r="C533" i="3"/>
  <c r="AG532" i="3"/>
  <c r="L532" i="3"/>
  <c r="AJ532" i="3" s="1"/>
  <c r="J532" i="3"/>
  <c r="H532" i="3"/>
  <c r="G532" i="3"/>
  <c r="F532" i="3"/>
  <c r="E532" i="3"/>
  <c r="D532" i="3"/>
  <c r="C532" i="3"/>
  <c r="J531" i="3"/>
  <c r="E531" i="3"/>
  <c r="D531" i="3"/>
  <c r="C531" i="3"/>
  <c r="E530" i="3"/>
  <c r="D530" i="3"/>
  <c r="C530" i="3"/>
  <c r="H529" i="3"/>
  <c r="L529" i="3" s="1"/>
  <c r="G529" i="3"/>
  <c r="E529" i="3"/>
  <c r="D529" i="3"/>
  <c r="C529" i="3"/>
  <c r="AG528" i="3"/>
  <c r="L528" i="3"/>
  <c r="AJ528" i="3" s="1"/>
  <c r="J528" i="3"/>
  <c r="H528" i="3"/>
  <c r="G528" i="3"/>
  <c r="F528" i="3"/>
  <c r="E528" i="3"/>
  <c r="D528" i="3"/>
  <c r="C528" i="3"/>
  <c r="J527" i="3"/>
  <c r="F527" i="3"/>
  <c r="E527" i="3"/>
  <c r="D527" i="3"/>
  <c r="C527" i="3"/>
  <c r="N526" i="3"/>
  <c r="J526" i="3"/>
  <c r="E526" i="3"/>
  <c r="D526" i="3"/>
  <c r="C526" i="3"/>
  <c r="H525" i="3"/>
  <c r="L525" i="3" s="1"/>
  <c r="G525" i="3"/>
  <c r="E525" i="3"/>
  <c r="D525" i="3"/>
  <c r="C525" i="3"/>
  <c r="AG524" i="3"/>
  <c r="L524" i="3"/>
  <c r="AJ524" i="3" s="1"/>
  <c r="J524" i="3"/>
  <c r="H524" i="3"/>
  <c r="G524" i="3"/>
  <c r="F524" i="3"/>
  <c r="E524" i="3"/>
  <c r="D524" i="3"/>
  <c r="C524" i="3"/>
  <c r="E523" i="3"/>
  <c r="D523" i="3"/>
  <c r="C523" i="3"/>
  <c r="J522" i="3"/>
  <c r="E522" i="3"/>
  <c r="D522" i="3"/>
  <c r="C522" i="3"/>
  <c r="H521" i="3"/>
  <c r="L521" i="3" s="1"/>
  <c r="G521" i="3"/>
  <c r="E521" i="3"/>
  <c r="D521" i="3"/>
  <c r="C521" i="3"/>
  <c r="AG520" i="3"/>
  <c r="L520" i="3"/>
  <c r="AJ520" i="3" s="1"/>
  <c r="J520" i="3"/>
  <c r="H520" i="3"/>
  <c r="G520" i="3"/>
  <c r="F520" i="3"/>
  <c r="E520" i="3"/>
  <c r="D520" i="3"/>
  <c r="C520" i="3"/>
  <c r="E519" i="3"/>
  <c r="D519" i="3"/>
  <c r="C519" i="3"/>
  <c r="E518" i="3"/>
  <c r="D518" i="3"/>
  <c r="C518" i="3"/>
  <c r="H517" i="3"/>
  <c r="G517" i="3"/>
  <c r="E517" i="3"/>
  <c r="D517" i="3"/>
  <c r="C517" i="3"/>
  <c r="AG516" i="3"/>
  <c r="L516" i="3"/>
  <c r="AJ516" i="3" s="1"/>
  <c r="J516" i="3"/>
  <c r="H516" i="3"/>
  <c r="G516" i="3"/>
  <c r="F516" i="3"/>
  <c r="E516" i="3"/>
  <c r="D516" i="3"/>
  <c r="C516" i="3"/>
  <c r="J515" i="3"/>
  <c r="F515" i="3"/>
  <c r="E515" i="3"/>
  <c r="D515" i="3"/>
  <c r="C515" i="3"/>
  <c r="E514" i="3"/>
  <c r="D514" i="3"/>
  <c r="C514" i="3"/>
  <c r="G513" i="3"/>
  <c r="E513" i="3"/>
  <c r="D513" i="3"/>
  <c r="C513" i="3"/>
  <c r="AG512" i="3"/>
  <c r="J512" i="3"/>
  <c r="G512" i="3"/>
  <c r="F512" i="3"/>
  <c r="E512" i="3"/>
  <c r="D512" i="3"/>
  <c r="C512" i="3"/>
  <c r="E511" i="3"/>
  <c r="D511" i="3"/>
  <c r="C511" i="3"/>
  <c r="J510" i="3"/>
  <c r="E510" i="3"/>
  <c r="D510" i="3"/>
  <c r="C510" i="3"/>
  <c r="G509" i="3"/>
  <c r="E509" i="3"/>
  <c r="D509" i="3"/>
  <c r="C509" i="3"/>
  <c r="AG508" i="3"/>
  <c r="J508" i="3"/>
  <c r="G508" i="3"/>
  <c r="F508" i="3"/>
  <c r="E508" i="3"/>
  <c r="D508" i="3"/>
  <c r="C508" i="3"/>
  <c r="J507" i="3"/>
  <c r="F507" i="3"/>
  <c r="E507" i="3"/>
  <c r="D507" i="3"/>
  <c r="C507" i="3"/>
  <c r="E506" i="3"/>
  <c r="D506" i="3"/>
  <c r="C506" i="3"/>
  <c r="G505" i="3"/>
  <c r="E505" i="3"/>
  <c r="D505" i="3"/>
  <c r="C505" i="3"/>
  <c r="AG504" i="3"/>
  <c r="J504" i="3"/>
  <c r="G504" i="3"/>
  <c r="F504" i="3"/>
  <c r="E504" i="3"/>
  <c r="D504" i="3"/>
  <c r="C504" i="3"/>
  <c r="E503" i="3"/>
  <c r="D503" i="3"/>
  <c r="C503" i="3"/>
  <c r="J502" i="3"/>
  <c r="E502" i="3"/>
  <c r="D502" i="3"/>
  <c r="C502" i="3"/>
  <c r="G501" i="3"/>
  <c r="E501" i="3"/>
  <c r="D501" i="3"/>
  <c r="C501" i="3"/>
  <c r="AG500" i="3"/>
  <c r="J500" i="3"/>
  <c r="G500" i="3"/>
  <c r="F500" i="3"/>
  <c r="E500" i="3"/>
  <c r="D500" i="3"/>
  <c r="C500" i="3"/>
  <c r="J499" i="3"/>
  <c r="F499" i="3"/>
  <c r="E499" i="3"/>
  <c r="D499" i="3"/>
  <c r="C499" i="3"/>
  <c r="E498" i="3"/>
  <c r="D498" i="3"/>
  <c r="C498" i="3"/>
  <c r="G497" i="3"/>
  <c r="E497" i="3"/>
  <c r="D497" i="3"/>
  <c r="C497" i="3"/>
  <c r="AG496" i="3"/>
  <c r="J496" i="3"/>
  <c r="G496" i="3"/>
  <c r="F496" i="3"/>
  <c r="E496" i="3"/>
  <c r="D496" i="3"/>
  <c r="C496" i="3"/>
  <c r="E495" i="3"/>
  <c r="D495" i="3"/>
  <c r="C495" i="3"/>
  <c r="J494" i="3"/>
  <c r="E494" i="3"/>
  <c r="D494" i="3"/>
  <c r="C494" i="3"/>
  <c r="G493" i="3"/>
  <c r="E493" i="3"/>
  <c r="D493" i="3"/>
  <c r="C493" i="3"/>
  <c r="AG492" i="3"/>
  <c r="J492" i="3"/>
  <c r="G492" i="3"/>
  <c r="F492" i="3"/>
  <c r="E492" i="3"/>
  <c r="D492" i="3"/>
  <c r="C492" i="3"/>
  <c r="J491" i="3"/>
  <c r="F491" i="3"/>
  <c r="E491" i="3"/>
  <c r="D491" i="3"/>
  <c r="C491" i="3"/>
  <c r="E490" i="3"/>
  <c r="D490" i="3"/>
  <c r="C490" i="3"/>
  <c r="G489" i="3"/>
  <c r="E489" i="3"/>
  <c r="D489" i="3"/>
  <c r="C489" i="3"/>
  <c r="AG488" i="3"/>
  <c r="J488" i="3"/>
  <c r="G488" i="3"/>
  <c r="F488" i="3"/>
  <c r="E488" i="3"/>
  <c r="D488" i="3"/>
  <c r="C488" i="3"/>
  <c r="E487" i="3"/>
  <c r="D487" i="3"/>
  <c r="C487" i="3"/>
  <c r="E486" i="3"/>
  <c r="D486" i="3"/>
  <c r="C486" i="3"/>
  <c r="G485" i="3"/>
  <c r="E485" i="3"/>
  <c r="D485" i="3"/>
  <c r="C485" i="3"/>
  <c r="AG484" i="3"/>
  <c r="J484" i="3"/>
  <c r="G484" i="3"/>
  <c r="F484" i="3"/>
  <c r="E484" i="3"/>
  <c r="D484" i="3"/>
  <c r="C484" i="3"/>
  <c r="J483" i="3"/>
  <c r="F483" i="3"/>
  <c r="E483" i="3"/>
  <c r="D483" i="3"/>
  <c r="C483" i="3"/>
  <c r="E482" i="3"/>
  <c r="D482" i="3"/>
  <c r="C482" i="3"/>
  <c r="G481" i="3"/>
  <c r="E481" i="3"/>
  <c r="D481" i="3"/>
  <c r="C481" i="3"/>
  <c r="AG480" i="3"/>
  <c r="J480" i="3"/>
  <c r="G480" i="3"/>
  <c r="F480" i="3"/>
  <c r="E480" i="3"/>
  <c r="D480" i="3"/>
  <c r="C480" i="3"/>
  <c r="E479" i="3"/>
  <c r="D479" i="3"/>
  <c r="C479" i="3"/>
  <c r="E478" i="3"/>
  <c r="D478" i="3"/>
  <c r="C478" i="3"/>
  <c r="I477" i="3"/>
  <c r="H477" i="3"/>
  <c r="L477" i="3" s="1"/>
  <c r="G477" i="3"/>
  <c r="E477" i="3"/>
  <c r="D477" i="3"/>
  <c r="C477" i="3"/>
  <c r="AG476" i="3"/>
  <c r="J476" i="3"/>
  <c r="G476" i="3"/>
  <c r="F476" i="3"/>
  <c r="E476" i="3"/>
  <c r="D476" i="3"/>
  <c r="C476" i="3"/>
  <c r="J475" i="3"/>
  <c r="F475" i="3"/>
  <c r="E475" i="3"/>
  <c r="D475" i="3"/>
  <c r="C475" i="3"/>
  <c r="J474" i="3"/>
  <c r="E474" i="3"/>
  <c r="D474" i="3"/>
  <c r="C474" i="3"/>
  <c r="H473" i="3"/>
  <c r="L473" i="3" s="1"/>
  <c r="G473" i="3"/>
  <c r="E473" i="3"/>
  <c r="D473" i="3"/>
  <c r="C473" i="3"/>
  <c r="AI472" i="3"/>
  <c r="AG472" i="3"/>
  <c r="O472" i="3"/>
  <c r="N472" i="3"/>
  <c r="L472" i="3"/>
  <c r="AJ472" i="3" s="1"/>
  <c r="K472" i="3"/>
  <c r="J472" i="3"/>
  <c r="H472" i="3"/>
  <c r="I472" i="3" s="1"/>
  <c r="G472" i="3"/>
  <c r="F472" i="3"/>
  <c r="E472" i="3"/>
  <c r="D472" i="3"/>
  <c r="C472" i="3"/>
  <c r="J471" i="3"/>
  <c r="E471" i="3"/>
  <c r="D471" i="3"/>
  <c r="C471" i="3"/>
  <c r="E470" i="3"/>
  <c r="D470" i="3"/>
  <c r="C470" i="3"/>
  <c r="H469" i="3"/>
  <c r="G469" i="3"/>
  <c r="E469" i="3"/>
  <c r="D469" i="3"/>
  <c r="C469" i="3"/>
  <c r="AG468" i="3"/>
  <c r="L468" i="3"/>
  <c r="AJ468" i="3" s="1"/>
  <c r="J468" i="3"/>
  <c r="H468" i="3"/>
  <c r="G468" i="3"/>
  <c r="F468" i="3"/>
  <c r="E468" i="3"/>
  <c r="D468" i="3"/>
  <c r="C468" i="3"/>
  <c r="J467" i="3"/>
  <c r="F467" i="3"/>
  <c r="E467" i="3"/>
  <c r="D467" i="3"/>
  <c r="C467" i="3"/>
  <c r="J466" i="3"/>
  <c r="E466" i="3"/>
  <c r="D466" i="3"/>
  <c r="C466" i="3"/>
  <c r="J465" i="3"/>
  <c r="G465" i="3"/>
  <c r="F465" i="3"/>
  <c r="E465" i="3"/>
  <c r="D465" i="3"/>
  <c r="C465" i="3"/>
  <c r="F464" i="3"/>
  <c r="E464" i="3"/>
  <c r="J464" i="3" s="1"/>
  <c r="D464" i="3"/>
  <c r="C464" i="3"/>
  <c r="E463" i="3"/>
  <c r="D463" i="3"/>
  <c r="C463" i="3"/>
  <c r="AJ462" i="3"/>
  <c r="AG462" i="3"/>
  <c r="L462" i="3"/>
  <c r="J462" i="3"/>
  <c r="H462" i="3"/>
  <c r="G462" i="3"/>
  <c r="F462" i="3"/>
  <c r="E462" i="3"/>
  <c r="D462" i="3"/>
  <c r="C462" i="3"/>
  <c r="J461" i="3"/>
  <c r="G461" i="3"/>
  <c r="F461" i="3"/>
  <c r="E461" i="3"/>
  <c r="D461" i="3"/>
  <c r="C461" i="3"/>
  <c r="J460" i="3"/>
  <c r="E460" i="3"/>
  <c r="D460" i="3"/>
  <c r="C460" i="3"/>
  <c r="AG459" i="3"/>
  <c r="H459" i="3"/>
  <c r="L459" i="3" s="1"/>
  <c r="AJ459" i="3" s="1"/>
  <c r="E459" i="3"/>
  <c r="D459" i="3"/>
  <c r="C459" i="3"/>
  <c r="AG458" i="3"/>
  <c r="J458" i="3"/>
  <c r="G458" i="3"/>
  <c r="F458" i="3"/>
  <c r="E458" i="3"/>
  <c r="D458" i="3"/>
  <c r="C458" i="3"/>
  <c r="J457" i="3"/>
  <c r="G457" i="3"/>
  <c r="F457" i="3"/>
  <c r="E457" i="3"/>
  <c r="D457" i="3"/>
  <c r="C457" i="3"/>
  <c r="E456" i="3"/>
  <c r="D456" i="3"/>
  <c r="C456" i="3"/>
  <c r="E455" i="3"/>
  <c r="D455" i="3"/>
  <c r="C455" i="3"/>
  <c r="AG454" i="3"/>
  <c r="J454" i="3"/>
  <c r="G454" i="3"/>
  <c r="F454" i="3"/>
  <c r="E454" i="3"/>
  <c r="D454" i="3"/>
  <c r="C454" i="3"/>
  <c r="J453" i="3"/>
  <c r="G453" i="3"/>
  <c r="F453" i="3"/>
  <c r="E453" i="3"/>
  <c r="D453" i="3"/>
  <c r="C453" i="3"/>
  <c r="J452" i="3"/>
  <c r="E452" i="3"/>
  <c r="D452" i="3"/>
  <c r="C452" i="3"/>
  <c r="AG451" i="3"/>
  <c r="H451" i="3"/>
  <c r="L451" i="3" s="1"/>
  <c r="AJ451" i="3" s="1"/>
  <c r="E451" i="3"/>
  <c r="D451" i="3"/>
  <c r="C451" i="3"/>
  <c r="AG450" i="3"/>
  <c r="J450" i="3"/>
  <c r="H450" i="3"/>
  <c r="G450" i="3"/>
  <c r="F450" i="3"/>
  <c r="E450" i="3"/>
  <c r="D450" i="3"/>
  <c r="C450" i="3"/>
  <c r="J449" i="3"/>
  <c r="G449" i="3"/>
  <c r="F449" i="3"/>
  <c r="E449" i="3"/>
  <c r="D449" i="3"/>
  <c r="C449" i="3"/>
  <c r="F448" i="3"/>
  <c r="E448" i="3"/>
  <c r="D448" i="3"/>
  <c r="C448" i="3"/>
  <c r="E447" i="3"/>
  <c r="D447" i="3"/>
  <c r="C447" i="3"/>
  <c r="AJ446" i="3"/>
  <c r="AG446" i="3"/>
  <c r="L446" i="3"/>
  <c r="J446" i="3"/>
  <c r="H446" i="3"/>
  <c r="G446" i="3"/>
  <c r="F446" i="3"/>
  <c r="E446" i="3"/>
  <c r="D446" i="3"/>
  <c r="C446" i="3"/>
  <c r="N445" i="3"/>
  <c r="J445" i="3"/>
  <c r="G445" i="3"/>
  <c r="F445" i="3"/>
  <c r="E445" i="3"/>
  <c r="D445" i="3"/>
  <c r="C445" i="3"/>
  <c r="J444" i="3"/>
  <c r="E444" i="3"/>
  <c r="D444" i="3"/>
  <c r="C444" i="3"/>
  <c r="AG443" i="3"/>
  <c r="E443" i="3"/>
  <c r="D443" i="3"/>
  <c r="C443" i="3"/>
  <c r="AG442" i="3"/>
  <c r="J442" i="3"/>
  <c r="G442" i="3"/>
  <c r="F442" i="3"/>
  <c r="E442" i="3"/>
  <c r="D442" i="3"/>
  <c r="C442" i="3"/>
  <c r="J441" i="3"/>
  <c r="G441" i="3"/>
  <c r="F441" i="3"/>
  <c r="E441" i="3"/>
  <c r="D441" i="3"/>
  <c r="C441" i="3"/>
  <c r="E440" i="3"/>
  <c r="D440" i="3"/>
  <c r="C440" i="3"/>
  <c r="H439" i="3"/>
  <c r="L439" i="3" s="1"/>
  <c r="AJ439" i="3" s="1"/>
  <c r="E439" i="3"/>
  <c r="D439" i="3"/>
  <c r="C439" i="3"/>
  <c r="AG438" i="3"/>
  <c r="L438" i="3"/>
  <c r="AJ438" i="3" s="1"/>
  <c r="J438" i="3"/>
  <c r="H438" i="3"/>
  <c r="G438" i="3"/>
  <c r="F438" i="3"/>
  <c r="E438" i="3"/>
  <c r="D438" i="3"/>
  <c r="C438" i="3"/>
  <c r="J437" i="3"/>
  <c r="G437" i="3"/>
  <c r="F437" i="3"/>
  <c r="E437" i="3"/>
  <c r="D437" i="3"/>
  <c r="C437" i="3"/>
  <c r="E436" i="3"/>
  <c r="D436" i="3"/>
  <c r="C436" i="3"/>
  <c r="AG435" i="3"/>
  <c r="E435" i="3"/>
  <c r="D435" i="3"/>
  <c r="C435" i="3"/>
  <c r="AG434" i="3"/>
  <c r="J434" i="3"/>
  <c r="G434" i="3"/>
  <c r="F434" i="3"/>
  <c r="E434" i="3"/>
  <c r="D434" i="3"/>
  <c r="C434" i="3"/>
  <c r="J433" i="3"/>
  <c r="G433" i="3"/>
  <c r="F433" i="3"/>
  <c r="E433" i="3"/>
  <c r="D433" i="3"/>
  <c r="C433" i="3"/>
  <c r="E432" i="3"/>
  <c r="D432" i="3"/>
  <c r="C432" i="3"/>
  <c r="E431" i="3"/>
  <c r="D431" i="3"/>
  <c r="C431" i="3"/>
  <c r="AG430" i="3"/>
  <c r="J430" i="3"/>
  <c r="G430" i="3"/>
  <c r="F430" i="3"/>
  <c r="E430" i="3"/>
  <c r="D430" i="3"/>
  <c r="C430" i="3"/>
  <c r="J429" i="3"/>
  <c r="G429" i="3"/>
  <c r="F429" i="3"/>
  <c r="E429" i="3"/>
  <c r="D429" i="3"/>
  <c r="C429" i="3"/>
  <c r="J428" i="3"/>
  <c r="E428" i="3"/>
  <c r="D428" i="3"/>
  <c r="C428" i="3"/>
  <c r="AG427" i="3"/>
  <c r="E427" i="3"/>
  <c r="D427" i="3"/>
  <c r="C427" i="3"/>
  <c r="AG426" i="3"/>
  <c r="J426" i="3"/>
  <c r="G426" i="3"/>
  <c r="F426" i="3"/>
  <c r="E426" i="3"/>
  <c r="D426" i="3"/>
  <c r="C426" i="3"/>
  <c r="J425" i="3"/>
  <c r="G425" i="3"/>
  <c r="F425" i="3"/>
  <c r="E425" i="3"/>
  <c r="D425" i="3"/>
  <c r="C425" i="3"/>
  <c r="F424" i="3"/>
  <c r="E424" i="3"/>
  <c r="D424" i="3"/>
  <c r="C424" i="3"/>
  <c r="E423" i="3"/>
  <c r="D423" i="3"/>
  <c r="C423" i="3"/>
  <c r="AG422" i="3"/>
  <c r="J422" i="3"/>
  <c r="G422" i="3"/>
  <c r="F422" i="3"/>
  <c r="E422" i="3"/>
  <c r="D422" i="3"/>
  <c r="C422" i="3"/>
  <c r="J421" i="3"/>
  <c r="G421" i="3"/>
  <c r="F421" i="3"/>
  <c r="E421" i="3"/>
  <c r="D421" i="3"/>
  <c r="C421" i="3"/>
  <c r="J420" i="3"/>
  <c r="E420" i="3"/>
  <c r="D420" i="3"/>
  <c r="C420" i="3"/>
  <c r="AG419" i="3"/>
  <c r="E419" i="3"/>
  <c r="D419" i="3"/>
  <c r="C419" i="3"/>
  <c r="AG418" i="3"/>
  <c r="N418" i="3"/>
  <c r="J418" i="3"/>
  <c r="H418" i="3"/>
  <c r="G418" i="3"/>
  <c r="F418" i="3"/>
  <c r="E418" i="3"/>
  <c r="D418" i="3"/>
  <c r="C418" i="3"/>
  <c r="J417" i="3"/>
  <c r="G417" i="3"/>
  <c r="F417" i="3"/>
  <c r="E417" i="3"/>
  <c r="D417" i="3"/>
  <c r="C417" i="3"/>
  <c r="J416" i="3"/>
  <c r="F416" i="3"/>
  <c r="E416" i="3"/>
  <c r="D416" i="3"/>
  <c r="C416" i="3"/>
  <c r="E415" i="3"/>
  <c r="D415" i="3"/>
  <c r="C415" i="3"/>
  <c r="AG414" i="3"/>
  <c r="J414" i="3"/>
  <c r="G414" i="3"/>
  <c r="F414" i="3"/>
  <c r="E414" i="3"/>
  <c r="D414" i="3"/>
  <c r="C414" i="3"/>
  <c r="J413" i="3"/>
  <c r="G413" i="3"/>
  <c r="F413" i="3"/>
  <c r="E413" i="3"/>
  <c r="D413" i="3"/>
  <c r="C413" i="3"/>
  <c r="J412" i="3"/>
  <c r="F412" i="3"/>
  <c r="E412" i="3"/>
  <c r="D412" i="3"/>
  <c r="C412" i="3"/>
  <c r="E411" i="3"/>
  <c r="D411" i="3"/>
  <c r="C411" i="3"/>
  <c r="AG410" i="3"/>
  <c r="J410" i="3"/>
  <c r="G410" i="3"/>
  <c r="F410" i="3"/>
  <c r="E410" i="3"/>
  <c r="D410" i="3"/>
  <c r="C410" i="3"/>
  <c r="J409" i="3"/>
  <c r="G409" i="3"/>
  <c r="F409" i="3"/>
  <c r="E409" i="3"/>
  <c r="D409" i="3"/>
  <c r="C409" i="3"/>
  <c r="J408" i="3"/>
  <c r="F408" i="3"/>
  <c r="E408" i="3"/>
  <c r="D408" i="3"/>
  <c r="C408" i="3"/>
  <c r="E407" i="3"/>
  <c r="D407" i="3"/>
  <c r="C407" i="3"/>
  <c r="AG406" i="3"/>
  <c r="N406" i="3"/>
  <c r="J406" i="3"/>
  <c r="H406" i="3"/>
  <c r="I406" i="3" s="1"/>
  <c r="G406" i="3"/>
  <c r="F406" i="3"/>
  <c r="E406" i="3"/>
  <c r="D406" i="3"/>
  <c r="C406" i="3"/>
  <c r="J405" i="3"/>
  <c r="G405" i="3"/>
  <c r="F405" i="3"/>
  <c r="E405" i="3"/>
  <c r="D405" i="3"/>
  <c r="C405" i="3"/>
  <c r="E404" i="3"/>
  <c r="D404" i="3"/>
  <c r="C404" i="3"/>
  <c r="H403" i="3"/>
  <c r="E403" i="3"/>
  <c r="D403" i="3"/>
  <c r="C403" i="3"/>
  <c r="AG402" i="3"/>
  <c r="L402" i="3"/>
  <c r="AJ402" i="3" s="1"/>
  <c r="J402" i="3"/>
  <c r="H402" i="3"/>
  <c r="G402" i="3"/>
  <c r="F402" i="3"/>
  <c r="E402" i="3"/>
  <c r="D402" i="3"/>
  <c r="C402" i="3"/>
  <c r="J401" i="3"/>
  <c r="G401" i="3"/>
  <c r="F401" i="3"/>
  <c r="E401" i="3"/>
  <c r="D401" i="3"/>
  <c r="C401" i="3"/>
  <c r="J400" i="3"/>
  <c r="E400" i="3"/>
  <c r="D400" i="3"/>
  <c r="C400" i="3"/>
  <c r="AG399" i="3"/>
  <c r="L399" i="3"/>
  <c r="AJ399" i="3" s="1"/>
  <c r="H399" i="3"/>
  <c r="E399" i="3"/>
  <c r="D399" i="3"/>
  <c r="C399" i="3"/>
  <c r="AG398" i="3"/>
  <c r="J398" i="3"/>
  <c r="H398" i="3"/>
  <c r="G398" i="3"/>
  <c r="F398" i="3"/>
  <c r="E398" i="3"/>
  <c r="D398" i="3"/>
  <c r="C398" i="3"/>
  <c r="J397" i="3"/>
  <c r="G397" i="3"/>
  <c r="F397" i="3"/>
  <c r="E397" i="3"/>
  <c r="D397" i="3"/>
  <c r="C397" i="3"/>
  <c r="E396" i="3"/>
  <c r="D396" i="3"/>
  <c r="C396" i="3"/>
  <c r="H395" i="3"/>
  <c r="L395" i="3" s="1"/>
  <c r="AJ395" i="3" s="1"/>
  <c r="E395" i="3"/>
  <c r="D395" i="3"/>
  <c r="C395" i="3"/>
  <c r="AG394" i="3"/>
  <c r="L394" i="3"/>
  <c r="AJ394" i="3" s="1"/>
  <c r="J394" i="3"/>
  <c r="H394" i="3"/>
  <c r="G394" i="3"/>
  <c r="F394" i="3"/>
  <c r="E394" i="3"/>
  <c r="D394" i="3"/>
  <c r="C394" i="3"/>
  <c r="J393" i="3"/>
  <c r="G393" i="3"/>
  <c r="F393" i="3"/>
  <c r="E393" i="3"/>
  <c r="D393" i="3"/>
  <c r="C393" i="3"/>
  <c r="E392" i="3"/>
  <c r="D392" i="3"/>
  <c r="C392" i="3"/>
  <c r="AG391" i="3"/>
  <c r="H391" i="3"/>
  <c r="L391" i="3" s="1"/>
  <c r="E391" i="3"/>
  <c r="D391" i="3"/>
  <c r="C391" i="3"/>
  <c r="AG390" i="3"/>
  <c r="J390" i="3"/>
  <c r="H390" i="3"/>
  <c r="L390" i="3" s="1"/>
  <c r="AJ390" i="3" s="1"/>
  <c r="G390" i="3"/>
  <c r="F390" i="3"/>
  <c r="E390" i="3"/>
  <c r="D390" i="3"/>
  <c r="C390" i="3"/>
  <c r="J389" i="3"/>
  <c r="G389" i="3"/>
  <c r="F389" i="3"/>
  <c r="E389" i="3"/>
  <c r="D389" i="3"/>
  <c r="C389" i="3"/>
  <c r="E388" i="3"/>
  <c r="D388" i="3"/>
  <c r="C388" i="3"/>
  <c r="H387" i="3"/>
  <c r="E387" i="3"/>
  <c r="D387" i="3"/>
  <c r="C387" i="3"/>
  <c r="AG386" i="3"/>
  <c r="L386" i="3"/>
  <c r="AJ386" i="3" s="1"/>
  <c r="J386" i="3"/>
  <c r="H386" i="3"/>
  <c r="G386" i="3"/>
  <c r="F386" i="3"/>
  <c r="E386" i="3"/>
  <c r="D386" i="3"/>
  <c r="C386" i="3"/>
  <c r="J385" i="3"/>
  <c r="G385" i="3"/>
  <c r="F385" i="3"/>
  <c r="E385" i="3"/>
  <c r="D385" i="3"/>
  <c r="C385" i="3"/>
  <c r="J384" i="3"/>
  <c r="E384" i="3"/>
  <c r="D384" i="3"/>
  <c r="C384" i="3"/>
  <c r="AG383" i="3"/>
  <c r="L383" i="3"/>
  <c r="AJ383" i="3" s="1"/>
  <c r="H383" i="3"/>
  <c r="E383" i="3"/>
  <c r="D383" i="3"/>
  <c r="C383" i="3"/>
  <c r="AG382" i="3"/>
  <c r="J382" i="3"/>
  <c r="G382" i="3"/>
  <c r="F382" i="3"/>
  <c r="E382" i="3"/>
  <c r="D382" i="3"/>
  <c r="C382" i="3"/>
  <c r="J381" i="3"/>
  <c r="G381" i="3"/>
  <c r="F381" i="3"/>
  <c r="E381" i="3"/>
  <c r="D381" i="3"/>
  <c r="C381" i="3"/>
  <c r="E380" i="3"/>
  <c r="D380" i="3"/>
  <c r="C380" i="3"/>
  <c r="M379" i="3"/>
  <c r="H379" i="3"/>
  <c r="I379" i="3" s="1"/>
  <c r="E379" i="3"/>
  <c r="D379" i="3"/>
  <c r="C379" i="3"/>
  <c r="AG378" i="3"/>
  <c r="J378" i="3"/>
  <c r="G378" i="3"/>
  <c r="F378" i="3"/>
  <c r="E378" i="3"/>
  <c r="D378" i="3"/>
  <c r="C378" i="3"/>
  <c r="J377" i="3"/>
  <c r="G377" i="3"/>
  <c r="F377" i="3"/>
  <c r="E377" i="3"/>
  <c r="D377" i="3"/>
  <c r="C377" i="3"/>
  <c r="E376" i="3"/>
  <c r="D376" i="3"/>
  <c r="C376" i="3"/>
  <c r="AG375" i="3"/>
  <c r="E375" i="3"/>
  <c r="D375" i="3"/>
  <c r="C375" i="3"/>
  <c r="AG374" i="3"/>
  <c r="J374" i="3"/>
  <c r="H374" i="3"/>
  <c r="L374" i="3" s="1"/>
  <c r="AJ374" i="3" s="1"/>
  <c r="G374" i="3"/>
  <c r="F374" i="3"/>
  <c r="E374" i="3"/>
  <c r="D374" i="3"/>
  <c r="C374" i="3"/>
  <c r="J373" i="3"/>
  <c r="G373" i="3"/>
  <c r="F373" i="3"/>
  <c r="E373" i="3"/>
  <c r="D373" i="3"/>
  <c r="C373" i="3"/>
  <c r="J372" i="3"/>
  <c r="F372" i="3"/>
  <c r="E372" i="3"/>
  <c r="D372" i="3"/>
  <c r="C372" i="3"/>
  <c r="E371" i="3"/>
  <c r="D371" i="3"/>
  <c r="C371" i="3"/>
  <c r="AG370" i="3"/>
  <c r="J370" i="3"/>
  <c r="H370" i="3"/>
  <c r="L370" i="3" s="1"/>
  <c r="AJ370" i="3" s="1"/>
  <c r="G370" i="3"/>
  <c r="F370" i="3"/>
  <c r="E370" i="3"/>
  <c r="D370" i="3"/>
  <c r="C370" i="3"/>
  <c r="J369" i="3"/>
  <c r="G369" i="3"/>
  <c r="F369" i="3"/>
  <c r="E369" i="3"/>
  <c r="D369" i="3"/>
  <c r="C369" i="3"/>
  <c r="J368" i="3"/>
  <c r="F368" i="3"/>
  <c r="E368" i="3"/>
  <c r="D368" i="3"/>
  <c r="C368" i="3"/>
  <c r="AG367" i="3"/>
  <c r="G367" i="3"/>
  <c r="E367" i="3"/>
  <c r="D367" i="3"/>
  <c r="C367" i="3"/>
  <c r="AG366" i="3"/>
  <c r="J366" i="3"/>
  <c r="G366" i="3"/>
  <c r="F366" i="3"/>
  <c r="E366" i="3"/>
  <c r="D366" i="3"/>
  <c r="C366" i="3"/>
  <c r="F365" i="3"/>
  <c r="E365" i="3"/>
  <c r="D365" i="3"/>
  <c r="C365" i="3"/>
  <c r="E364" i="3"/>
  <c r="G364" i="3" s="1"/>
  <c r="D364" i="3"/>
  <c r="C364" i="3"/>
  <c r="L363" i="3"/>
  <c r="AJ363" i="3" s="1"/>
  <c r="H363" i="3"/>
  <c r="G363" i="3"/>
  <c r="E363" i="3"/>
  <c r="D363" i="3"/>
  <c r="C363" i="3"/>
  <c r="AG362" i="3"/>
  <c r="L362" i="3"/>
  <c r="AJ362" i="3" s="1"/>
  <c r="J362" i="3"/>
  <c r="H362" i="3"/>
  <c r="G362" i="3"/>
  <c r="F362" i="3"/>
  <c r="E362" i="3"/>
  <c r="D362" i="3"/>
  <c r="C362" i="3"/>
  <c r="F361" i="3"/>
  <c r="E361" i="3"/>
  <c r="D361" i="3"/>
  <c r="C361" i="3"/>
  <c r="E360" i="3"/>
  <c r="G360" i="3" s="1"/>
  <c r="D360" i="3"/>
  <c r="C360" i="3"/>
  <c r="L359" i="3"/>
  <c r="AJ359" i="3" s="1"/>
  <c r="H359" i="3"/>
  <c r="G359" i="3"/>
  <c r="E359" i="3"/>
  <c r="D359" i="3"/>
  <c r="C359" i="3"/>
  <c r="AG358" i="3"/>
  <c r="L358" i="3"/>
  <c r="AJ358" i="3" s="1"/>
  <c r="J358" i="3"/>
  <c r="H358" i="3"/>
  <c r="G358" i="3"/>
  <c r="F358" i="3"/>
  <c r="E358" i="3"/>
  <c r="D358" i="3"/>
  <c r="C358" i="3"/>
  <c r="F357" i="3"/>
  <c r="E357" i="3"/>
  <c r="D357" i="3"/>
  <c r="C357" i="3"/>
  <c r="E356" i="3"/>
  <c r="G356" i="3" s="1"/>
  <c r="D356" i="3"/>
  <c r="C356" i="3"/>
  <c r="L355" i="3"/>
  <c r="AJ355" i="3" s="1"/>
  <c r="H355" i="3"/>
  <c r="G355" i="3"/>
  <c r="E355" i="3"/>
  <c r="D355" i="3"/>
  <c r="C355" i="3"/>
  <c r="AG354" i="3"/>
  <c r="L354" i="3"/>
  <c r="AJ354" i="3" s="1"/>
  <c r="J354" i="3"/>
  <c r="H354" i="3"/>
  <c r="G354" i="3"/>
  <c r="F354" i="3"/>
  <c r="E354" i="3"/>
  <c r="D354" i="3"/>
  <c r="C354" i="3"/>
  <c r="F353" i="3"/>
  <c r="E353" i="3"/>
  <c r="D353" i="3"/>
  <c r="C353" i="3"/>
  <c r="E352" i="3"/>
  <c r="D352" i="3"/>
  <c r="C352" i="3"/>
  <c r="G351" i="3"/>
  <c r="E351" i="3"/>
  <c r="D351" i="3"/>
  <c r="C351" i="3"/>
  <c r="AG350" i="3"/>
  <c r="J350" i="3"/>
  <c r="G350" i="3"/>
  <c r="F350" i="3"/>
  <c r="E350" i="3"/>
  <c r="D350" i="3"/>
  <c r="C350" i="3"/>
  <c r="F349" i="3"/>
  <c r="E349" i="3"/>
  <c r="D349" i="3"/>
  <c r="C349" i="3"/>
  <c r="AG348" i="3"/>
  <c r="E348" i="3"/>
  <c r="D348" i="3"/>
  <c r="C348" i="3"/>
  <c r="L347" i="3"/>
  <c r="AJ347" i="3" s="1"/>
  <c r="H347" i="3"/>
  <c r="G347" i="3"/>
  <c r="E347" i="3"/>
  <c r="D347" i="3"/>
  <c r="C347" i="3"/>
  <c r="AG346" i="3"/>
  <c r="L346" i="3"/>
  <c r="AJ346" i="3" s="1"/>
  <c r="J346" i="3"/>
  <c r="H346" i="3"/>
  <c r="G346" i="3"/>
  <c r="F346" i="3"/>
  <c r="E346" i="3"/>
  <c r="D346" i="3"/>
  <c r="C346" i="3"/>
  <c r="F345" i="3"/>
  <c r="E345" i="3"/>
  <c r="D345" i="3"/>
  <c r="C345" i="3"/>
  <c r="AG344" i="3"/>
  <c r="J344" i="3"/>
  <c r="E344" i="3"/>
  <c r="D344" i="3"/>
  <c r="C344" i="3"/>
  <c r="L343" i="3"/>
  <c r="AJ343" i="3" s="1"/>
  <c r="H343" i="3"/>
  <c r="G343" i="3"/>
  <c r="E343" i="3"/>
  <c r="D343" i="3"/>
  <c r="C343" i="3"/>
  <c r="AG342" i="3"/>
  <c r="L342" i="3"/>
  <c r="AJ342" i="3" s="1"/>
  <c r="J342" i="3"/>
  <c r="H342" i="3"/>
  <c r="G342" i="3"/>
  <c r="F342" i="3"/>
  <c r="E342" i="3"/>
  <c r="D342" i="3"/>
  <c r="C342" i="3"/>
  <c r="F341" i="3"/>
  <c r="E341" i="3"/>
  <c r="D341" i="3"/>
  <c r="C341" i="3"/>
  <c r="AG340" i="3"/>
  <c r="J340" i="3"/>
  <c r="E340" i="3"/>
  <c r="D340" i="3"/>
  <c r="C340" i="3"/>
  <c r="L339" i="3"/>
  <c r="AJ339" i="3" s="1"/>
  <c r="H339" i="3"/>
  <c r="G339" i="3"/>
  <c r="E339" i="3"/>
  <c r="D339" i="3"/>
  <c r="C339" i="3"/>
  <c r="AG338" i="3"/>
  <c r="L338" i="3"/>
  <c r="AJ338" i="3" s="1"/>
  <c r="J338" i="3"/>
  <c r="H338" i="3"/>
  <c r="G338" i="3"/>
  <c r="F338" i="3"/>
  <c r="E338" i="3"/>
  <c r="D338" i="3"/>
  <c r="C338" i="3"/>
  <c r="N337" i="3"/>
  <c r="F337" i="3"/>
  <c r="E337" i="3"/>
  <c r="M337" i="3" s="1"/>
  <c r="D337" i="3"/>
  <c r="C337" i="3"/>
  <c r="E336" i="3"/>
  <c r="D336" i="3"/>
  <c r="C336" i="3"/>
  <c r="G335" i="3"/>
  <c r="E335" i="3"/>
  <c r="D335" i="3"/>
  <c r="C335" i="3"/>
  <c r="AG334" i="3"/>
  <c r="J334" i="3"/>
  <c r="G334" i="3"/>
  <c r="F334" i="3"/>
  <c r="E334" i="3"/>
  <c r="D334" i="3"/>
  <c r="C334" i="3"/>
  <c r="F333" i="3"/>
  <c r="E333" i="3"/>
  <c r="D333" i="3"/>
  <c r="C333" i="3"/>
  <c r="J332" i="3"/>
  <c r="H332" i="3"/>
  <c r="E332" i="3"/>
  <c r="D332" i="3"/>
  <c r="C332" i="3"/>
  <c r="L331" i="3"/>
  <c r="AJ331" i="3" s="1"/>
  <c r="H331" i="3"/>
  <c r="G331" i="3"/>
  <c r="E331" i="3"/>
  <c r="D331" i="3"/>
  <c r="C331" i="3"/>
  <c r="AG330" i="3"/>
  <c r="L330" i="3"/>
  <c r="AJ330" i="3" s="1"/>
  <c r="J330" i="3"/>
  <c r="H330" i="3"/>
  <c r="G330" i="3"/>
  <c r="F330" i="3"/>
  <c r="E330" i="3"/>
  <c r="D330" i="3"/>
  <c r="C330" i="3"/>
  <c r="E329" i="3"/>
  <c r="D329" i="3"/>
  <c r="C329" i="3"/>
  <c r="E328" i="3"/>
  <c r="D328" i="3"/>
  <c r="C328" i="3"/>
  <c r="L327" i="3"/>
  <c r="H327" i="3"/>
  <c r="G327" i="3"/>
  <c r="E327" i="3"/>
  <c r="D327" i="3"/>
  <c r="C327" i="3"/>
  <c r="AG326" i="3"/>
  <c r="L326" i="3"/>
  <c r="AJ326" i="3" s="1"/>
  <c r="J326" i="3"/>
  <c r="H326" i="3"/>
  <c r="G326" i="3"/>
  <c r="F326" i="3"/>
  <c r="E326" i="3"/>
  <c r="D326" i="3"/>
  <c r="C326" i="3"/>
  <c r="N325" i="3"/>
  <c r="F325" i="3"/>
  <c r="E325" i="3"/>
  <c r="D325" i="3"/>
  <c r="C325" i="3"/>
  <c r="AG324" i="3"/>
  <c r="H324" i="3"/>
  <c r="L324" i="3" s="1"/>
  <c r="AJ324" i="3" s="1"/>
  <c r="E324" i="3"/>
  <c r="J324" i="3" s="1"/>
  <c r="D324" i="3"/>
  <c r="C324" i="3"/>
  <c r="H323" i="3"/>
  <c r="L323" i="3" s="1"/>
  <c r="G323" i="3"/>
  <c r="E323" i="3"/>
  <c r="D323" i="3"/>
  <c r="C323" i="3"/>
  <c r="AG322" i="3"/>
  <c r="L322" i="3"/>
  <c r="AJ322" i="3" s="1"/>
  <c r="J322" i="3"/>
  <c r="H322" i="3"/>
  <c r="G322" i="3"/>
  <c r="F322" i="3"/>
  <c r="E322" i="3"/>
  <c r="D322" i="3"/>
  <c r="C322" i="3"/>
  <c r="J321" i="3"/>
  <c r="F321" i="3"/>
  <c r="E321" i="3"/>
  <c r="D321" i="3"/>
  <c r="C321" i="3"/>
  <c r="AG320" i="3"/>
  <c r="J320" i="3"/>
  <c r="H320" i="3"/>
  <c r="L320" i="3" s="1"/>
  <c r="AJ320" i="3" s="1"/>
  <c r="E320" i="3"/>
  <c r="D320" i="3"/>
  <c r="C320" i="3"/>
  <c r="H319" i="3"/>
  <c r="L319" i="3" s="1"/>
  <c r="G319" i="3"/>
  <c r="E319" i="3"/>
  <c r="D319" i="3"/>
  <c r="C319" i="3"/>
  <c r="AG318" i="3"/>
  <c r="L318" i="3"/>
  <c r="AJ318" i="3" s="1"/>
  <c r="J318" i="3"/>
  <c r="H318" i="3"/>
  <c r="G318" i="3"/>
  <c r="F318" i="3"/>
  <c r="E318" i="3"/>
  <c r="D318" i="3"/>
  <c r="C318" i="3"/>
  <c r="J317" i="3"/>
  <c r="E317" i="3"/>
  <c r="D317" i="3"/>
  <c r="C317" i="3"/>
  <c r="J316" i="3"/>
  <c r="E316" i="3"/>
  <c r="D316" i="3"/>
  <c r="C316" i="3"/>
  <c r="L315" i="3"/>
  <c r="AJ315" i="3" s="1"/>
  <c r="H315" i="3"/>
  <c r="G315" i="3"/>
  <c r="E315" i="3"/>
  <c r="D315" i="3"/>
  <c r="C315" i="3"/>
  <c r="AG314" i="3"/>
  <c r="L314" i="3"/>
  <c r="AJ314" i="3" s="1"/>
  <c r="J314" i="3"/>
  <c r="H314" i="3"/>
  <c r="G314" i="3"/>
  <c r="F314" i="3"/>
  <c r="E314" i="3"/>
  <c r="D314" i="3"/>
  <c r="C314" i="3"/>
  <c r="E313" i="3"/>
  <c r="D313" i="3"/>
  <c r="C313" i="3"/>
  <c r="E312" i="3"/>
  <c r="D312" i="3"/>
  <c r="C312" i="3"/>
  <c r="L311" i="3"/>
  <c r="H311" i="3"/>
  <c r="G311" i="3"/>
  <c r="E311" i="3"/>
  <c r="D311" i="3"/>
  <c r="C311" i="3"/>
  <c r="AI310" i="3"/>
  <c r="AG310" i="3"/>
  <c r="O310" i="3"/>
  <c r="N310" i="3"/>
  <c r="L310" i="3"/>
  <c r="AJ310" i="3" s="1"/>
  <c r="K310" i="3"/>
  <c r="J310" i="3"/>
  <c r="H310" i="3"/>
  <c r="I310" i="3" s="1"/>
  <c r="G310" i="3"/>
  <c r="F310" i="3"/>
  <c r="E310" i="3"/>
  <c r="D310" i="3"/>
  <c r="C310" i="3"/>
  <c r="J309" i="3"/>
  <c r="F309" i="3"/>
  <c r="E309" i="3"/>
  <c r="D309" i="3"/>
  <c r="C309" i="3"/>
  <c r="AG308" i="3"/>
  <c r="J308" i="3"/>
  <c r="H308" i="3"/>
  <c r="L308" i="3" s="1"/>
  <c r="AJ308" i="3" s="1"/>
  <c r="E308" i="3"/>
  <c r="D308" i="3"/>
  <c r="C308" i="3"/>
  <c r="H307" i="3"/>
  <c r="L307" i="3" s="1"/>
  <c r="AJ307" i="3" s="1"/>
  <c r="G307" i="3"/>
  <c r="E307" i="3"/>
  <c r="D307" i="3"/>
  <c r="C307" i="3"/>
  <c r="AG306" i="3"/>
  <c r="L306" i="3"/>
  <c r="AJ306" i="3" s="1"/>
  <c r="J306" i="3"/>
  <c r="H306" i="3"/>
  <c r="G306" i="3"/>
  <c r="F306" i="3"/>
  <c r="E306" i="3"/>
  <c r="D306" i="3"/>
  <c r="C306" i="3"/>
  <c r="E305" i="3"/>
  <c r="D305" i="3"/>
  <c r="C305" i="3"/>
  <c r="E304" i="3"/>
  <c r="D304" i="3"/>
  <c r="C304" i="3"/>
  <c r="L303" i="3"/>
  <c r="H303" i="3"/>
  <c r="G303" i="3"/>
  <c r="E303" i="3"/>
  <c r="D303" i="3"/>
  <c r="C303" i="3"/>
  <c r="AG302" i="3"/>
  <c r="L302" i="3"/>
  <c r="AJ302" i="3" s="1"/>
  <c r="J302" i="3"/>
  <c r="H302" i="3"/>
  <c r="G302" i="3"/>
  <c r="F302" i="3"/>
  <c r="E302" i="3"/>
  <c r="D302" i="3"/>
  <c r="C302" i="3"/>
  <c r="F301" i="3"/>
  <c r="E301" i="3"/>
  <c r="D301" i="3"/>
  <c r="C301" i="3"/>
  <c r="H300" i="3"/>
  <c r="E300" i="3"/>
  <c r="D300" i="3"/>
  <c r="C300" i="3"/>
  <c r="G299" i="3"/>
  <c r="E299" i="3"/>
  <c r="D299" i="3"/>
  <c r="C299" i="3"/>
  <c r="AG298" i="3"/>
  <c r="O298" i="3"/>
  <c r="N298" i="3"/>
  <c r="J298" i="3"/>
  <c r="H298" i="3"/>
  <c r="I298" i="3" s="1"/>
  <c r="AI298" i="3" s="1"/>
  <c r="G298" i="3"/>
  <c r="F298" i="3"/>
  <c r="E298" i="3"/>
  <c r="D298" i="3"/>
  <c r="C298" i="3"/>
  <c r="G297" i="3"/>
  <c r="F297" i="3"/>
  <c r="E297" i="3"/>
  <c r="D297" i="3"/>
  <c r="C297" i="3"/>
  <c r="H296" i="3"/>
  <c r="F296" i="3"/>
  <c r="E296" i="3"/>
  <c r="G296" i="3" s="1"/>
  <c r="D296" i="3"/>
  <c r="C296" i="3"/>
  <c r="G295" i="3"/>
  <c r="E295" i="3"/>
  <c r="D295" i="3"/>
  <c r="C295" i="3"/>
  <c r="AG294" i="3"/>
  <c r="J294" i="3"/>
  <c r="H294" i="3"/>
  <c r="G294" i="3"/>
  <c r="F294" i="3"/>
  <c r="E294" i="3"/>
  <c r="D294" i="3"/>
  <c r="C294" i="3"/>
  <c r="G293" i="3"/>
  <c r="F293" i="3"/>
  <c r="E293" i="3"/>
  <c r="D293" i="3"/>
  <c r="C293" i="3"/>
  <c r="H292" i="3"/>
  <c r="F292" i="3"/>
  <c r="E292" i="3"/>
  <c r="G292" i="3" s="1"/>
  <c r="D292" i="3"/>
  <c r="C292" i="3"/>
  <c r="G291" i="3"/>
  <c r="E291" i="3"/>
  <c r="D291" i="3"/>
  <c r="C291" i="3"/>
  <c r="AG290" i="3"/>
  <c r="J290" i="3"/>
  <c r="H290" i="3"/>
  <c r="G290" i="3"/>
  <c r="F290" i="3"/>
  <c r="E290" i="3"/>
  <c r="D290" i="3"/>
  <c r="C290" i="3"/>
  <c r="G289" i="3"/>
  <c r="F289" i="3"/>
  <c r="E289" i="3"/>
  <c r="D289" i="3"/>
  <c r="C289" i="3"/>
  <c r="F288" i="3"/>
  <c r="E288" i="3"/>
  <c r="G288" i="3" s="1"/>
  <c r="D288" i="3"/>
  <c r="C288" i="3"/>
  <c r="G287" i="3"/>
  <c r="E287" i="3"/>
  <c r="D287" i="3"/>
  <c r="C287" i="3"/>
  <c r="AG286" i="3"/>
  <c r="J286" i="3"/>
  <c r="H286" i="3"/>
  <c r="G286" i="3"/>
  <c r="F286" i="3"/>
  <c r="E286" i="3"/>
  <c r="D286" i="3"/>
  <c r="C286" i="3"/>
  <c r="G285" i="3"/>
  <c r="F285" i="3"/>
  <c r="E285" i="3"/>
  <c r="D285" i="3"/>
  <c r="C285" i="3"/>
  <c r="F284" i="3"/>
  <c r="E284" i="3"/>
  <c r="G284" i="3" s="1"/>
  <c r="D284" i="3"/>
  <c r="C284" i="3"/>
  <c r="G283" i="3"/>
  <c r="E283" i="3"/>
  <c r="D283" i="3"/>
  <c r="C283" i="3"/>
  <c r="AG282" i="3"/>
  <c r="J282" i="3"/>
  <c r="G282" i="3"/>
  <c r="F282" i="3"/>
  <c r="E282" i="3"/>
  <c r="D282" i="3"/>
  <c r="C282" i="3"/>
  <c r="G281" i="3"/>
  <c r="F281" i="3"/>
  <c r="E281" i="3"/>
  <c r="D281" i="3"/>
  <c r="C281" i="3"/>
  <c r="F280" i="3"/>
  <c r="E280" i="3"/>
  <c r="G280" i="3" s="1"/>
  <c r="D280" i="3"/>
  <c r="C280" i="3"/>
  <c r="G279" i="3"/>
  <c r="E279" i="3"/>
  <c r="D279" i="3"/>
  <c r="C279" i="3"/>
  <c r="AG278" i="3"/>
  <c r="L278" i="3"/>
  <c r="AJ278" i="3" s="1"/>
  <c r="J278" i="3"/>
  <c r="H278" i="3"/>
  <c r="G278" i="3"/>
  <c r="F278" i="3"/>
  <c r="E278" i="3"/>
  <c r="D278" i="3"/>
  <c r="C278" i="3"/>
  <c r="J277" i="3"/>
  <c r="G277" i="3"/>
  <c r="F277" i="3"/>
  <c r="E277" i="3"/>
  <c r="D277" i="3"/>
  <c r="C277" i="3"/>
  <c r="J276" i="3"/>
  <c r="F276" i="3"/>
  <c r="E276" i="3"/>
  <c r="AG276" i="3" s="1"/>
  <c r="D276" i="3"/>
  <c r="C276" i="3"/>
  <c r="E275" i="3"/>
  <c r="D275" i="3"/>
  <c r="C275" i="3"/>
  <c r="AG274" i="3"/>
  <c r="J274" i="3"/>
  <c r="H274" i="3"/>
  <c r="G274" i="3"/>
  <c r="F274" i="3"/>
  <c r="E274" i="3"/>
  <c r="D274" i="3"/>
  <c r="C274" i="3"/>
  <c r="J273" i="3"/>
  <c r="G273" i="3"/>
  <c r="F273" i="3"/>
  <c r="E273" i="3"/>
  <c r="D273" i="3"/>
  <c r="C273" i="3"/>
  <c r="J272" i="3"/>
  <c r="F272" i="3"/>
  <c r="E272" i="3"/>
  <c r="AG272" i="3" s="1"/>
  <c r="D272" i="3"/>
  <c r="C272" i="3"/>
  <c r="M271" i="3"/>
  <c r="E271" i="3"/>
  <c r="D271" i="3"/>
  <c r="C271" i="3"/>
  <c r="AG270" i="3"/>
  <c r="G270" i="3"/>
  <c r="E270" i="3"/>
  <c r="D270" i="3"/>
  <c r="C270" i="3"/>
  <c r="AG269" i="3"/>
  <c r="J269" i="3"/>
  <c r="G269" i="3"/>
  <c r="F269" i="3"/>
  <c r="E269" i="3"/>
  <c r="D269" i="3"/>
  <c r="C269" i="3"/>
  <c r="J268" i="3"/>
  <c r="F268" i="3"/>
  <c r="E268" i="3"/>
  <c r="AG268" i="3" s="1"/>
  <c r="D268" i="3"/>
  <c r="C268" i="3"/>
  <c r="E267" i="3"/>
  <c r="D267" i="3"/>
  <c r="C267" i="3"/>
  <c r="AG266" i="3"/>
  <c r="G266" i="3"/>
  <c r="E266" i="3"/>
  <c r="D266" i="3"/>
  <c r="C266" i="3"/>
  <c r="AG265" i="3"/>
  <c r="J265" i="3"/>
  <c r="G265" i="3"/>
  <c r="F265" i="3"/>
  <c r="E265" i="3"/>
  <c r="D265" i="3"/>
  <c r="C265" i="3"/>
  <c r="J264" i="3"/>
  <c r="F264" i="3"/>
  <c r="E264" i="3"/>
  <c r="AG264" i="3" s="1"/>
  <c r="D264" i="3"/>
  <c r="C264" i="3"/>
  <c r="E263" i="3"/>
  <c r="D263" i="3"/>
  <c r="C263" i="3"/>
  <c r="AG262" i="3"/>
  <c r="G262" i="3"/>
  <c r="E262" i="3"/>
  <c r="D262" i="3"/>
  <c r="C262" i="3"/>
  <c r="AG261" i="3"/>
  <c r="J261" i="3"/>
  <c r="G261" i="3"/>
  <c r="F261" i="3"/>
  <c r="E261" i="3"/>
  <c r="D261" i="3"/>
  <c r="C261" i="3"/>
  <c r="J260" i="3"/>
  <c r="F260" i="3"/>
  <c r="E260" i="3"/>
  <c r="AG260" i="3" s="1"/>
  <c r="D260" i="3"/>
  <c r="C260" i="3"/>
  <c r="E259" i="3"/>
  <c r="D259" i="3"/>
  <c r="C259" i="3"/>
  <c r="AG258" i="3"/>
  <c r="G258" i="3"/>
  <c r="E258" i="3"/>
  <c r="D258" i="3"/>
  <c r="C258" i="3"/>
  <c r="AG257" i="3"/>
  <c r="J257" i="3"/>
  <c r="G257" i="3"/>
  <c r="F257" i="3"/>
  <c r="E257" i="3"/>
  <c r="D257" i="3"/>
  <c r="C257" i="3"/>
  <c r="N256" i="3"/>
  <c r="J256" i="3"/>
  <c r="F256" i="3"/>
  <c r="E256" i="3"/>
  <c r="AG256" i="3" s="1"/>
  <c r="D256" i="3"/>
  <c r="C256" i="3"/>
  <c r="E255" i="3"/>
  <c r="D255" i="3"/>
  <c r="C255" i="3"/>
  <c r="AG254" i="3"/>
  <c r="H254" i="3"/>
  <c r="G254" i="3"/>
  <c r="E254" i="3"/>
  <c r="D254" i="3"/>
  <c r="C254" i="3"/>
  <c r="AG253" i="3"/>
  <c r="J253" i="3"/>
  <c r="H253" i="3"/>
  <c r="G253" i="3"/>
  <c r="F253" i="3"/>
  <c r="E253" i="3"/>
  <c r="D253" i="3"/>
  <c r="C253" i="3"/>
  <c r="J252" i="3"/>
  <c r="F252" i="3"/>
  <c r="E252" i="3"/>
  <c r="AG252" i="3" s="1"/>
  <c r="D252" i="3"/>
  <c r="C252" i="3"/>
  <c r="E251" i="3"/>
  <c r="D251" i="3"/>
  <c r="C251" i="3"/>
  <c r="AG250" i="3"/>
  <c r="H250" i="3"/>
  <c r="G250" i="3"/>
  <c r="E250" i="3"/>
  <c r="D250" i="3"/>
  <c r="C250" i="3"/>
  <c r="AG249" i="3"/>
  <c r="J249" i="3"/>
  <c r="H249" i="3"/>
  <c r="G249" i="3"/>
  <c r="F249" i="3"/>
  <c r="E249" i="3"/>
  <c r="D249" i="3"/>
  <c r="C249" i="3"/>
  <c r="J248" i="3"/>
  <c r="F248" i="3"/>
  <c r="E248" i="3"/>
  <c r="AG248" i="3" s="1"/>
  <c r="D248" i="3"/>
  <c r="C248" i="3"/>
  <c r="E247" i="3"/>
  <c r="D247" i="3"/>
  <c r="C247" i="3"/>
  <c r="AG246" i="3"/>
  <c r="L246" i="3"/>
  <c r="AJ246" i="3" s="1"/>
  <c r="H246" i="3"/>
  <c r="G246" i="3"/>
  <c r="E246" i="3"/>
  <c r="D246" i="3"/>
  <c r="C246" i="3"/>
  <c r="AG245" i="3"/>
  <c r="J245" i="3"/>
  <c r="H245" i="3"/>
  <c r="G245" i="3"/>
  <c r="F245" i="3"/>
  <c r="E245" i="3"/>
  <c r="D245" i="3"/>
  <c r="C245" i="3"/>
  <c r="N244" i="3"/>
  <c r="J244" i="3"/>
  <c r="F244" i="3"/>
  <c r="E244" i="3"/>
  <c r="AG244" i="3" s="1"/>
  <c r="D244" i="3"/>
  <c r="C244" i="3"/>
  <c r="E243" i="3"/>
  <c r="D243" i="3"/>
  <c r="C243" i="3"/>
  <c r="AG242" i="3"/>
  <c r="G242" i="3"/>
  <c r="E242" i="3"/>
  <c r="D242" i="3"/>
  <c r="C242" i="3"/>
  <c r="AG241" i="3"/>
  <c r="J241" i="3"/>
  <c r="H241" i="3"/>
  <c r="G241" i="3"/>
  <c r="F241" i="3"/>
  <c r="E241" i="3"/>
  <c r="D241" i="3"/>
  <c r="C241" i="3"/>
  <c r="J240" i="3"/>
  <c r="F240" i="3"/>
  <c r="E240" i="3"/>
  <c r="AG240" i="3" s="1"/>
  <c r="D240" i="3"/>
  <c r="C240" i="3"/>
  <c r="E239" i="3"/>
  <c r="D239" i="3"/>
  <c r="C239" i="3"/>
  <c r="AG238" i="3"/>
  <c r="H238" i="3"/>
  <c r="G238" i="3"/>
  <c r="E238" i="3"/>
  <c r="D238" i="3"/>
  <c r="C238" i="3"/>
  <c r="AG237" i="3"/>
  <c r="J237" i="3"/>
  <c r="H237" i="3"/>
  <c r="G237" i="3"/>
  <c r="F237" i="3"/>
  <c r="E237" i="3"/>
  <c r="D237" i="3"/>
  <c r="C237" i="3"/>
  <c r="J236" i="3"/>
  <c r="F236" i="3"/>
  <c r="E236" i="3"/>
  <c r="AG236" i="3" s="1"/>
  <c r="D236" i="3"/>
  <c r="C236" i="3"/>
  <c r="E235" i="3"/>
  <c r="D235" i="3"/>
  <c r="C235" i="3"/>
  <c r="AG234" i="3"/>
  <c r="G234" i="3"/>
  <c r="E234" i="3"/>
  <c r="D234" i="3"/>
  <c r="C234" i="3"/>
  <c r="AG233" i="3"/>
  <c r="J233" i="3"/>
  <c r="G233" i="3"/>
  <c r="F233" i="3"/>
  <c r="E233" i="3"/>
  <c r="D233" i="3"/>
  <c r="C233" i="3"/>
  <c r="J232" i="3"/>
  <c r="F232" i="3"/>
  <c r="E232" i="3"/>
  <c r="AG232" i="3" s="1"/>
  <c r="D232" i="3"/>
  <c r="C232" i="3"/>
  <c r="E231" i="3"/>
  <c r="D231" i="3"/>
  <c r="C231" i="3"/>
  <c r="AG230" i="3"/>
  <c r="H230" i="3"/>
  <c r="G230" i="3"/>
  <c r="E230" i="3"/>
  <c r="D230" i="3"/>
  <c r="C230" i="3"/>
  <c r="AG229" i="3"/>
  <c r="N229" i="3"/>
  <c r="J229" i="3"/>
  <c r="H229" i="3"/>
  <c r="I229" i="3" s="1"/>
  <c r="AI229" i="3" s="1"/>
  <c r="G229" i="3"/>
  <c r="F229" i="3"/>
  <c r="E229" i="3"/>
  <c r="D229" i="3"/>
  <c r="C229" i="3"/>
  <c r="J228" i="3"/>
  <c r="F228" i="3"/>
  <c r="E228" i="3"/>
  <c r="AG228" i="3" s="1"/>
  <c r="D228" i="3"/>
  <c r="C228" i="3"/>
  <c r="E227" i="3"/>
  <c r="D227" i="3"/>
  <c r="C227" i="3"/>
  <c r="AG226" i="3"/>
  <c r="G226" i="3"/>
  <c r="E226" i="3"/>
  <c r="D226" i="3"/>
  <c r="C226" i="3"/>
  <c r="AG225" i="3"/>
  <c r="J225" i="3"/>
  <c r="G225" i="3"/>
  <c r="F225" i="3"/>
  <c r="E225" i="3"/>
  <c r="D225" i="3"/>
  <c r="C225" i="3"/>
  <c r="J224" i="3"/>
  <c r="F224" i="3"/>
  <c r="E224" i="3"/>
  <c r="AG224" i="3" s="1"/>
  <c r="D224" i="3"/>
  <c r="C224" i="3"/>
  <c r="E223" i="3"/>
  <c r="D223" i="3"/>
  <c r="C223" i="3"/>
  <c r="AG222" i="3"/>
  <c r="H222" i="3"/>
  <c r="G222" i="3"/>
  <c r="E222" i="3"/>
  <c r="D222" i="3"/>
  <c r="C222" i="3"/>
  <c r="AG221" i="3"/>
  <c r="J221" i="3"/>
  <c r="H221" i="3"/>
  <c r="G221" i="3"/>
  <c r="F221" i="3"/>
  <c r="E221" i="3"/>
  <c r="D221" i="3"/>
  <c r="C221" i="3"/>
  <c r="J220" i="3"/>
  <c r="F220" i="3"/>
  <c r="E220" i="3"/>
  <c r="AG220" i="3" s="1"/>
  <c r="D220" i="3"/>
  <c r="C220" i="3"/>
  <c r="E219" i="3"/>
  <c r="D219" i="3"/>
  <c r="C219" i="3"/>
  <c r="AG218" i="3"/>
  <c r="H218" i="3"/>
  <c r="G218" i="3"/>
  <c r="E218" i="3"/>
  <c r="D218" i="3"/>
  <c r="C218" i="3"/>
  <c r="AG217" i="3"/>
  <c r="N217" i="3"/>
  <c r="K217" i="3"/>
  <c r="J217" i="3"/>
  <c r="H217" i="3"/>
  <c r="I217" i="3" s="1"/>
  <c r="AI217" i="3" s="1"/>
  <c r="G217" i="3"/>
  <c r="F217" i="3"/>
  <c r="E217" i="3"/>
  <c r="D217" i="3"/>
  <c r="C217" i="3"/>
  <c r="J216" i="3"/>
  <c r="F216" i="3"/>
  <c r="E216" i="3"/>
  <c r="AG216" i="3" s="1"/>
  <c r="D216" i="3"/>
  <c r="C216" i="3"/>
  <c r="E215" i="3"/>
  <c r="D215" i="3"/>
  <c r="C215" i="3"/>
  <c r="AG214" i="3"/>
  <c r="L214" i="3"/>
  <c r="AJ214" i="3" s="1"/>
  <c r="H214" i="3"/>
  <c r="G214" i="3"/>
  <c r="E214" i="3"/>
  <c r="D214" i="3"/>
  <c r="C214" i="3"/>
  <c r="AG213" i="3"/>
  <c r="J213" i="3"/>
  <c r="H213" i="3"/>
  <c r="G213" i="3"/>
  <c r="F213" i="3"/>
  <c r="E213" i="3"/>
  <c r="D213" i="3"/>
  <c r="C213" i="3"/>
  <c r="J212" i="3"/>
  <c r="F212" i="3"/>
  <c r="E212" i="3"/>
  <c r="AG212" i="3" s="1"/>
  <c r="D212" i="3"/>
  <c r="C212" i="3"/>
  <c r="E211" i="3"/>
  <c r="D211" i="3"/>
  <c r="C211" i="3"/>
  <c r="AG210" i="3"/>
  <c r="H210" i="3"/>
  <c r="G210" i="3"/>
  <c r="E210" i="3"/>
  <c r="D210" i="3"/>
  <c r="C210" i="3"/>
  <c r="AG209" i="3"/>
  <c r="J209" i="3"/>
  <c r="H209" i="3"/>
  <c r="G209" i="3"/>
  <c r="F209" i="3"/>
  <c r="E209" i="3"/>
  <c r="D209" i="3"/>
  <c r="C209" i="3"/>
  <c r="J208" i="3"/>
  <c r="F208" i="3"/>
  <c r="E208" i="3"/>
  <c r="AG208" i="3" s="1"/>
  <c r="D208" i="3"/>
  <c r="C208" i="3"/>
  <c r="E207" i="3"/>
  <c r="D207" i="3"/>
  <c r="C207" i="3"/>
  <c r="AG206" i="3"/>
  <c r="H206" i="3"/>
  <c r="G206" i="3"/>
  <c r="E206" i="3"/>
  <c r="D206" i="3"/>
  <c r="C206" i="3"/>
  <c r="AG205" i="3"/>
  <c r="J205" i="3"/>
  <c r="H205" i="3"/>
  <c r="G205" i="3"/>
  <c r="F205" i="3"/>
  <c r="E205" i="3"/>
  <c r="D205" i="3"/>
  <c r="C205" i="3"/>
  <c r="J204" i="3"/>
  <c r="F204" i="3"/>
  <c r="E204" i="3"/>
  <c r="AG204" i="3" s="1"/>
  <c r="D204" i="3"/>
  <c r="C204" i="3"/>
  <c r="E203" i="3"/>
  <c r="D203" i="3"/>
  <c r="C203" i="3"/>
  <c r="AG202" i="3"/>
  <c r="H202" i="3"/>
  <c r="I202" i="3" s="1"/>
  <c r="G202" i="3"/>
  <c r="E202" i="3"/>
  <c r="N202" i="3" s="1"/>
  <c r="D202" i="3"/>
  <c r="C202" i="3"/>
  <c r="AG201" i="3"/>
  <c r="J201" i="3"/>
  <c r="H201" i="3"/>
  <c r="G201" i="3"/>
  <c r="F201" i="3"/>
  <c r="E201" i="3"/>
  <c r="D201" i="3"/>
  <c r="C201" i="3"/>
  <c r="J200" i="3"/>
  <c r="F200" i="3"/>
  <c r="E200" i="3"/>
  <c r="AG200" i="3" s="1"/>
  <c r="D200" i="3"/>
  <c r="C200" i="3"/>
  <c r="E199" i="3"/>
  <c r="D199" i="3"/>
  <c r="C199" i="3"/>
  <c r="AG198" i="3"/>
  <c r="L198" i="3"/>
  <c r="AJ198" i="3" s="1"/>
  <c r="H198" i="3"/>
  <c r="G198" i="3"/>
  <c r="E198" i="3"/>
  <c r="D198" i="3"/>
  <c r="C198" i="3"/>
  <c r="AG197" i="3"/>
  <c r="J197" i="3"/>
  <c r="H197" i="3"/>
  <c r="G197" i="3"/>
  <c r="F197" i="3"/>
  <c r="E197" i="3"/>
  <c r="D197" i="3"/>
  <c r="C197" i="3"/>
  <c r="J196" i="3"/>
  <c r="F196" i="3"/>
  <c r="E196" i="3"/>
  <c r="AG196" i="3" s="1"/>
  <c r="D196" i="3"/>
  <c r="C196" i="3"/>
  <c r="E195" i="3"/>
  <c r="D195" i="3"/>
  <c r="C195" i="3"/>
  <c r="AG194" i="3"/>
  <c r="H194" i="3"/>
  <c r="G194" i="3"/>
  <c r="E194" i="3"/>
  <c r="D194" i="3"/>
  <c r="C194" i="3"/>
  <c r="AG193" i="3"/>
  <c r="J193" i="3"/>
  <c r="H193" i="3"/>
  <c r="G193" i="3"/>
  <c r="F193" i="3"/>
  <c r="E193" i="3"/>
  <c r="D193" i="3"/>
  <c r="C193" i="3"/>
  <c r="J192" i="3"/>
  <c r="F192" i="3"/>
  <c r="E192" i="3"/>
  <c r="AG192" i="3" s="1"/>
  <c r="D192" i="3"/>
  <c r="C192" i="3"/>
  <c r="E191" i="3"/>
  <c r="D191" i="3"/>
  <c r="C191" i="3"/>
  <c r="AG190" i="3"/>
  <c r="H190" i="3"/>
  <c r="I190" i="3" s="1"/>
  <c r="G190" i="3"/>
  <c r="E190" i="3"/>
  <c r="N190" i="3" s="1"/>
  <c r="D190" i="3"/>
  <c r="C190" i="3"/>
  <c r="AG189" i="3"/>
  <c r="J189" i="3"/>
  <c r="H189" i="3"/>
  <c r="G189" i="3"/>
  <c r="F189" i="3"/>
  <c r="E189" i="3"/>
  <c r="D189" i="3"/>
  <c r="C189" i="3"/>
  <c r="J188" i="3"/>
  <c r="F188" i="3"/>
  <c r="E188" i="3"/>
  <c r="AG188" i="3" s="1"/>
  <c r="D188" i="3"/>
  <c r="C188" i="3"/>
  <c r="E187" i="3"/>
  <c r="D187" i="3"/>
  <c r="C187" i="3"/>
  <c r="AG186" i="3"/>
  <c r="H186" i="3"/>
  <c r="G186" i="3"/>
  <c r="E186" i="3"/>
  <c r="D186" i="3"/>
  <c r="C186" i="3"/>
  <c r="AG185" i="3"/>
  <c r="J185" i="3"/>
  <c r="H185" i="3"/>
  <c r="G185" i="3"/>
  <c r="F185" i="3"/>
  <c r="E185" i="3"/>
  <c r="D185" i="3"/>
  <c r="C185" i="3"/>
  <c r="J184" i="3"/>
  <c r="F184" i="3"/>
  <c r="E184" i="3"/>
  <c r="AG184" i="3" s="1"/>
  <c r="D184" i="3"/>
  <c r="C184" i="3"/>
  <c r="E183" i="3"/>
  <c r="D183" i="3"/>
  <c r="C183" i="3"/>
  <c r="AG182" i="3"/>
  <c r="L182" i="3"/>
  <c r="AJ182" i="3" s="1"/>
  <c r="H182" i="3"/>
  <c r="G182" i="3"/>
  <c r="E182" i="3"/>
  <c r="D182" i="3"/>
  <c r="C182" i="3"/>
  <c r="AG181" i="3"/>
  <c r="J181" i="3"/>
  <c r="H181" i="3"/>
  <c r="G181" i="3"/>
  <c r="F181" i="3"/>
  <c r="E181" i="3"/>
  <c r="D181" i="3"/>
  <c r="C181" i="3"/>
  <c r="J180" i="3"/>
  <c r="F180" i="3"/>
  <c r="E180" i="3"/>
  <c r="AG180" i="3" s="1"/>
  <c r="D180" i="3"/>
  <c r="C180" i="3"/>
  <c r="E179" i="3"/>
  <c r="D179" i="3"/>
  <c r="C179" i="3"/>
  <c r="AG178" i="3"/>
  <c r="H178" i="3"/>
  <c r="G178" i="3"/>
  <c r="E178" i="3"/>
  <c r="D178" i="3"/>
  <c r="C178" i="3"/>
  <c r="AG177" i="3"/>
  <c r="J177" i="3"/>
  <c r="H177" i="3"/>
  <c r="G177" i="3"/>
  <c r="F177" i="3"/>
  <c r="E177" i="3"/>
  <c r="D177" i="3"/>
  <c r="C177" i="3"/>
  <c r="J176" i="3"/>
  <c r="F176" i="3"/>
  <c r="E176" i="3"/>
  <c r="AG176" i="3" s="1"/>
  <c r="D176" i="3"/>
  <c r="C176" i="3"/>
  <c r="M175" i="3"/>
  <c r="E175" i="3"/>
  <c r="D175" i="3"/>
  <c r="C175" i="3"/>
  <c r="AG174" i="3"/>
  <c r="H174" i="3"/>
  <c r="G174" i="3"/>
  <c r="E174" i="3"/>
  <c r="D174" i="3"/>
  <c r="C174" i="3"/>
  <c r="AG173" i="3"/>
  <c r="J173" i="3"/>
  <c r="H173" i="3"/>
  <c r="G173" i="3"/>
  <c r="F173" i="3"/>
  <c r="E173" i="3"/>
  <c r="D173" i="3"/>
  <c r="C173" i="3"/>
  <c r="J172" i="3"/>
  <c r="F172" i="3"/>
  <c r="E172" i="3"/>
  <c r="AG172" i="3" s="1"/>
  <c r="D172" i="3"/>
  <c r="C172" i="3"/>
  <c r="E171" i="3"/>
  <c r="D171" i="3"/>
  <c r="C171" i="3"/>
  <c r="AG170" i="3"/>
  <c r="H170" i="3"/>
  <c r="G170" i="3"/>
  <c r="E170" i="3"/>
  <c r="D170" i="3"/>
  <c r="C170" i="3"/>
  <c r="AG169" i="3"/>
  <c r="J169" i="3"/>
  <c r="H169" i="3"/>
  <c r="G169" i="3"/>
  <c r="F169" i="3"/>
  <c r="E169" i="3"/>
  <c r="D169" i="3"/>
  <c r="C169" i="3"/>
  <c r="J168" i="3"/>
  <c r="F168" i="3"/>
  <c r="E168" i="3"/>
  <c r="AG168" i="3" s="1"/>
  <c r="D168" i="3"/>
  <c r="C168" i="3"/>
  <c r="E167" i="3"/>
  <c r="D167" i="3"/>
  <c r="C167" i="3"/>
  <c r="AG166" i="3"/>
  <c r="L166" i="3"/>
  <c r="AJ166" i="3" s="1"/>
  <c r="H166" i="3"/>
  <c r="G166" i="3"/>
  <c r="E166" i="3"/>
  <c r="D166" i="3"/>
  <c r="C166" i="3"/>
  <c r="AG165" i="3"/>
  <c r="J165" i="3"/>
  <c r="G165" i="3"/>
  <c r="F165" i="3"/>
  <c r="E165" i="3"/>
  <c r="D165" i="3"/>
  <c r="C165" i="3"/>
  <c r="J164" i="3"/>
  <c r="F164" i="3"/>
  <c r="E164" i="3"/>
  <c r="AG164" i="3" s="1"/>
  <c r="D164" i="3"/>
  <c r="C164" i="3"/>
  <c r="E163" i="3"/>
  <c r="D163" i="3"/>
  <c r="C163" i="3"/>
  <c r="AG162" i="3"/>
  <c r="L162" i="3"/>
  <c r="AJ162" i="3" s="1"/>
  <c r="H162" i="3"/>
  <c r="G162" i="3"/>
  <c r="E162" i="3"/>
  <c r="D162" i="3"/>
  <c r="C162" i="3"/>
  <c r="AG161" i="3"/>
  <c r="J161" i="3"/>
  <c r="H161" i="3"/>
  <c r="G161" i="3"/>
  <c r="F161" i="3"/>
  <c r="E161" i="3"/>
  <c r="D161" i="3"/>
  <c r="C161" i="3"/>
  <c r="J160" i="3"/>
  <c r="F160" i="3"/>
  <c r="E160" i="3"/>
  <c r="AG160" i="3" s="1"/>
  <c r="D160" i="3"/>
  <c r="C160" i="3"/>
  <c r="E159" i="3"/>
  <c r="D159" i="3"/>
  <c r="C159" i="3"/>
  <c r="AG158" i="3"/>
  <c r="H158" i="3"/>
  <c r="G158" i="3"/>
  <c r="E158" i="3"/>
  <c r="D158" i="3"/>
  <c r="C158" i="3"/>
  <c r="AG157" i="3"/>
  <c r="J157" i="3"/>
  <c r="H157" i="3"/>
  <c r="G157" i="3"/>
  <c r="F157" i="3"/>
  <c r="E157" i="3"/>
  <c r="D157" i="3"/>
  <c r="C157" i="3"/>
  <c r="J156" i="3"/>
  <c r="F156" i="3"/>
  <c r="E156" i="3"/>
  <c r="AG156" i="3" s="1"/>
  <c r="D156" i="3"/>
  <c r="C156" i="3"/>
  <c r="E155" i="3"/>
  <c r="D155" i="3"/>
  <c r="C155" i="3"/>
  <c r="AG154" i="3"/>
  <c r="H154" i="3"/>
  <c r="G154" i="3"/>
  <c r="E154" i="3"/>
  <c r="D154" i="3"/>
  <c r="C154" i="3"/>
  <c r="AG153" i="3"/>
  <c r="J153" i="3"/>
  <c r="H153" i="3"/>
  <c r="G153" i="3"/>
  <c r="F153" i="3"/>
  <c r="E153" i="3"/>
  <c r="D153" i="3"/>
  <c r="C153" i="3"/>
  <c r="J152" i="3"/>
  <c r="F152" i="3"/>
  <c r="E152" i="3"/>
  <c r="AG152" i="3" s="1"/>
  <c r="D152" i="3"/>
  <c r="C152" i="3"/>
  <c r="E151" i="3"/>
  <c r="D151" i="3"/>
  <c r="C151" i="3"/>
  <c r="AG150" i="3"/>
  <c r="G150" i="3"/>
  <c r="E150" i="3"/>
  <c r="D150" i="3"/>
  <c r="C150" i="3"/>
  <c r="AG149" i="3"/>
  <c r="J149" i="3"/>
  <c r="H149" i="3"/>
  <c r="G149" i="3"/>
  <c r="F149" i="3"/>
  <c r="E149" i="3"/>
  <c r="D149" i="3"/>
  <c r="C149" i="3"/>
  <c r="N148" i="3"/>
  <c r="J148" i="3"/>
  <c r="F148" i="3"/>
  <c r="E148" i="3"/>
  <c r="AG148" i="3" s="1"/>
  <c r="D148" i="3"/>
  <c r="C148" i="3"/>
  <c r="E147" i="3"/>
  <c r="D147" i="3"/>
  <c r="C147" i="3"/>
  <c r="AG146" i="3"/>
  <c r="L146" i="3"/>
  <c r="AJ146" i="3" s="1"/>
  <c r="H146" i="3"/>
  <c r="G146" i="3"/>
  <c r="E146" i="3"/>
  <c r="D146" i="3"/>
  <c r="C146" i="3"/>
  <c r="AG145" i="3"/>
  <c r="J145" i="3"/>
  <c r="H145" i="3"/>
  <c r="G145" i="3"/>
  <c r="F145" i="3"/>
  <c r="E145" i="3"/>
  <c r="D145" i="3"/>
  <c r="C145" i="3"/>
  <c r="J144" i="3"/>
  <c r="F144" i="3"/>
  <c r="E144" i="3"/>
  <c r="AG144" i="3" s="1"/>
  <c r="D144" i="3"/>
  <c r="C144" i="3"/>
  <c r="E143" i="3"/>
  <c r="D143" i="3"/>
  <c r="C143" i="3"/>
  <c r="AG142" i="3"/>
  <c r="H142" i="3"/>
  <c r="G142" i="3"/>
  <c r="E142" i="3"/>
  <c r="D142" i="3"/>
  <c r="C142" i="3"/>
  <c r="AG141" i="3"/>
  <c r="J141" i="3"/>
  <c r="H141" i="3"/>
  <c r="G141" i="3"/>
  <c r="F141" i="3"/>
  <c r="E141" i="3"/>
  <c r="D141" i="3"/>
  <c r="C141" i="3"/>
  <c r="J140" i="3"/>
  <c r="F140" i="3"/>
  <c r="E140" i="3"/>
  <c r="AG140" i="3" s="1"/>
  <c r="D140" i="3"/>
  <c r="C140" i="3"/>
  <c r="E139" i="3"/>
  <c r="D139" i="3"/>
  <c r="C139" i="3"/>
  <c r="AG138" i="3"/>
  <c r="H138" i="3"/>
  <c r="G138" i="3"/>
  <c r="E138" i="3"/>
  <c r="D138" i="3"/>
  <c r="C138" i="3"/>
  <c r="AG137" i="3"/>
  <c r="J137" i="3"/>
  <c r="G137" i="3"/>
  <c r="F137" i="3"/>
  <c r="E137" i="3"/>
  <c r="D137" i="3"/>
  <c r="C137" i="3"/>
  <c r="N136" i="3"/>
  <c r="J136" i="3"/>
  <c r="F136" i="3"/>
  <c r="E136" i="3"/>
  <c r="AG136" i="3" s="1"/>
  <c r="D136" i="3"/>
  <c r="C136" i="3"/>
  <c r="E135" i="3"/>
  <c r="D135" i="3"/>
  <c r="C135" i="3"/>
  <c r="AG134" i="3"/>
  <c r="G134" i="3"/>
  <c r="E134" i="3"/>
  <c r="D134" i="3"/>
  <c r="C134" i="3"/>
  <c r="AG133" i="3"/>
  <c r="J133" i="3"/>
  <c r="G133" i="3"/>
  <c r="F133" i="3"/>
  <c r="E133" i="3"/>
  <c r="D133" i="3"/>
  <c r="C133" i="3"/>
  <c r="J132" i="3"/>
  <c r="F132" i="3"/>
  <c r="E132" i="3"/>
  <c r="AG132" i="3" s="1"/>
  <c r="D132" i="3"/>
  <c r="C132" i="3"/>
  <c r="E131" i="3"/>
  <c r="D131" i="3"/>
  <c r="C131" i="3"/>
  <c r="AG130" i="3"/>
  <c r="H130" i="3"/>
  <c r="G130" i="3"/>
  <c r="E130" i="3"/>
  <c r="D130" i="3"/>
  <c r="C130" i="3"/>
  <c r="AG129" i="3"/>
  <c r="J129" i="3"/>
  <c r="G129" i="3"/>
  <c r="F129" i="3"/>
  <c r="E129" i="3"/>
  <c r="D129" i="3"/>
  <c r="C129" i="3"/>
  <c r="J128" i="3"/>
  <c r="F128" i="3"/>
  <c r="E128" i="3"/>
  <c r="AG128" i="3" s="1"/>
  <c r="D128" i="3"/>
  <c r="C128" i="3"/>
  <c r="E127" i="3"/>
  <c r="D127" i="3"/>
  <c r="C127" i="3"/>
  <c r="AG126" i="3"/>
  <c r="H126" i="3"/>
  <c r="G126" i="3"/>
  <c r="E126" i="3"/>
  <c r="D126" i="3"/>
  <c r="C126" i="3"/>
  <c r="AG125" i="3"/>
  <c r="J125" i="3"/>
  <c r="G125" i="3"/>
  <c r="F125" i="3"/>
  <c r="E125" i="3"/>
  <c r="D125" i="3"/>
  <c r="C125" i="3"/>
  <c r="J124" i="3"/>
  <c r="F124" i="3"/>
  <c r="E124" i="3"/>
  <c r="AG124" i="3" s="1"/>
  <c r="D124" i="3"/>
  <c r="C124" i="3"/>
  <c r="E123" i="3"/>
  <c r="D123" i="3"/>
  <c r="C123" i="3"/>
  <c r="AG122" i="3"/>
  <c r="G122" i="3"/>
  <c r="E122" i="3"/>
  <c r="D122" i="3"/>
  <c r="C122" i="3"/>
  <c r="AG121" i="3"/>
  <c r="N121" i="3"/>
  <c r="K121" i="3"/>
  <c r="J121" i="3"/>
  <c r="H121" i="3"/>
  <c r="I121" i="3" s="1"/>
  <c r="AI121" i="3" s="1"/>
  <c r="G121" i="3"/>
  <c r="F121" i="3"/>
  <c r="E121" i="3"/>
  <c r="D121" i="3"/>
  <c r="C121" i="3"/>
  <c r="J120" i="3"/>
  <c r="F120" i="3"/>
  <c r="E120" i="3"/>
  <c r="AG120" i="3" s="1"/>
  <c r="D120" i="3"/>
  <c r="C120" i="3"/>
  <c r="E119" i="3"/>
  <c r="D119" i="3"/>
  <c r="C119" i="3"/>
  <c r="AG118" i="3"/>
  <c r="L118" i="3"/>
  <c r="AJ118" i="3" s="1"/>
  <c r="H118" i="3"/>
  <c r="G118" i="3"/>
  <c r="E118" i="3"/>
  <c r="D118" i="3"/>
  <c r="C118" i="3"/>
  <c r="AG117" i="3"/>
  <c r="J117" i="3"/>
  <c r="H117" i="3"/>
  <c r="G117" i="3"/>
  <c r="F117" i="3"/>
  <c r="E117" i="3"/>
  <c r="D117" i="3"/>
  <c r="C117" i="3"/>
  <c r="J116" i="3"/>
  <c r="F116" i="3"/>
  <c r="E116" i="3"/>
  <c r="AG116" i="3" s="1"/>
  <c r="D116" i="3"/>
  <c r="C116" i="3"/>
  <c r="E115" i="3"/>
  <c r="D115" i="3"/>
  <c r="C115" i="3"/>
  <c r="AG114" i="3"/>
  <c r="H114" i="3"/>
  <c r="G114" i="3"/>
  <c r="E114" i="3"/>
  <c r="D114" i="3"/>
  <c r="C114" i="3"/>
  <c r="AG113" i="3"/>
  <c r="J113" i="3"/>
  <c r="H113" i="3"/>
  <c r="G113" i="3"/>
  <c r="F113" i="3"/>
  <c r="E113" i="3"/>
  <c r="D113" i="3"/>
  <c r="C113" i="3"/>
  <c r="J112" i="3"/>
  <c r="F112" i="3"/>
  <c r="E112" i="3"/>
  <c r="AG112" i="3" s="1"/>
  <c r="D112" i="3"/>
  <c r="C112" i="3"/>
  <c r="E111" i="3"/>
  <c r="D111" i="3"/>
  <c r="C111" i="3"/>
  <c r="AG110" i="3"/>
  <c r="H110" i="3"/>
  <c r="G110" i="3"/>
  <c r="E110" i="3"/>
  <c r="D110" i="3"/>
  <c r="C110" i="3"/>
  <c r="AG109" i="3"/>
  <c r="N109" i="3"/>
  <c r="K109" i="3"/>
  <c r="J109" i="3"/>
  <c r="H109" i="3"/>
  <c r="I109" i="3" s="1"/>
  <c r="AI109" i="3" s="1"/>
  <c r="G109" i="3"/>
  <c r="F109" i="3"/>
  <c r="E109" i="3"/>
  <c r="D109" i="3"/>
  <c r="C109" i="3"/>
  <c r="J108" i="3"/>
  <c r="F108" i="3"/>
  <c r="E108" i="3"/>
  <c r="AG108" i="3" s="1"/>
  <c r="D108" i="3"/>
  <c r="C108" i="3"/>
  <c r="E107" i="3"/>
  <c r="D107" i="3"/>
  <c r="C107" i="3"/>
  <c r="AG106" i="3"/>
  <c r="L106" i="3"/>
  <c r="AJ106" i="3" s="1"/>
  <c r="H106" i="3"/>
  <c r="G106" i="3"/>
  <c r="E106" i="3"/>
  <c r="D106" i="3"/>
  <c r="C106" i="3"/>
  <c r="AG105" i="3"/>
  <c r="J105" i="3"/>
  <c r="H105" i="3"/>
  <c r="G105" i="3"/>
  <c r="F105" i="3"/>
  <c r="E105" i="3"/>
  <c r="D105" i="3"/>
  <c r="C105" i="3"/>
  <c r="J104" i="3"/>
  <c r="E104" i="3"/>
  <c r="D104" i="3"/>
  <c r="C104" i="3"/>
  <c r="E103" i="3"/>
  <c r="D103" i="3"/>
  <c r="C103" i="3"/>
  <c r="AG102" i="3"/>
  <c r="H102" i="3"/>
  <c r="G102" i="3"/>
  <c r="E102" i="3"/>
  <c r="D102" i="3"/>
  <c r="C102" i="3"/>
  <c r="AG101" i="3"/>
  <c r="J101" i="3"/>
  <c r="H101" i="3"/>
  <c r="G101" i="3"/>
  <c r="F101" i="3"/>
  <c r="E101" i="3"/>
  <c r="D101" i="3"/>
  <c r="C101" i="3"/>
  <c r="J100" i="3"/>
  <c r="F100" i="3"/>
  <c r="E100" i="3"/>
  <c r="D100" i="3"/>
  <c r="C100" i="3"/>
  <c r="E99" i="3"/>
  <c r="D99" i="3"/>
  <c r="C99" i="3"/>
  <c r="AJ98" i="3"/>
  <c r="AG98" i="3"/>
  <c r="L98" i="3"/>
  <c r="H98" i="3"/>
  <c r="G98" i="3"/>
  <c r="E98" i="3"/>
  <c r="D98" i="3"/>
  <c r="C98" i="3"/>
  <c r="AG97" i="3"/>
  <c r="J97" i="3"/>
  <c r="H97" i="3"/>
  <c r="G97" i="3"/>
  <c r="F97" i="3"/>
  <c r="E97" i="3"/>
  <c r="D97" i="3"/>
  <c r="C97" i="3"/>
  <c r="J96" i="3"/>
  <c r="E96" i="3"/>
  <c r="D96" i="3"/>
  <c r="C96" i="3"/>
  <c r="E95" i="3"/>
  <c r="D95" i="3"/>
  <c r="C95" i="3"/>
  <c r="AG94" i="3"/>
  <c r="O94" i="3"/>
  <c r="H94" i="3"/>
  <c r="I94" i="3" s="1"/>
  <c r="AI94" i="3" s="1"/>
  <c r="G94" i="3"/>
  <c r="E94" i="3"/>
  <c r="N94" i="3" s="1"/>
  <c r="D94" i="3"/>
  <c r="C94" i="3"/>
  <c r="AG93" i="3"/>
  <c r="J93" i="3"/>
  <c r="H93" i="3"/>
  <c r="G93" i="3"/>
  <c r="F93" i="3"/>
  <c r="E93" i="3"/>
  <c r="D93" i="3"/>
  <c r="C93" i="3"/>
  <c r="J92" i="3"/>
  <c r="F92" i="3"/>
  <c r="E92" i="3"/>
  <c r="D92" i="3"/>
  <c r="C92" i="3"/>
  <c r="E91" i="3"/>
  <c r="D91" i="3"/>
  <c r="C91" i="3"/>
  <c r="AJ90" i="3"/>
  <c r="AG90" i="3"/>
  <c r="L90" i="3"/>
  <c r="H90" i="3"/>
  <c r="G90" i="3"/>
  <c r="E90" i="3"/>
  <c r="D90" i="3"/>
  <c r="C90" i="3"/>
  <c r="AG89" i="3"/>
  <c r="J89" i="3"/>
  <c r="H89" i="3"/>
  <c r="G89" i="3"/>
  <c r="F89" i="3"/>
  <c r="E89" i="3"/>
  <c r="D89" i="3"/>
  <c r="C89" i="3"/>
  <c r="J88" i="3"/>
  <c r="E88" i="3"/>
  <c r="D88" i="3"/>
  <c r="C88" i="3"/>
  <c r="E87" i="3"/>
  <c r="D87" i="3"/>
  <c r="C87" i="3"/>
  <c r="AG86" i="3"/>
  <c r="H86" i="3"/>
  <c r="G86" i="3"/>
  <c r="E86" i="3"/>
  <c r="D86" i="3"/>
  <c r="C86" i="3"/>
  <c r="AG85" i="3"/>
  <c r="J85" i="3"/>
  <c r="H85" i="3"/>
  <c r="G85" i="3"/>
  <c r="F85" i="3"/>
  <c r="E85" i="3"/>
  <c r="D85" i="3"/>
  <c r="C85" i="3"/>
  <c r="J84" i="3"/>
  <c r="F84" i="3"/>
  <c r="E84" i="3"/>
  <c r="D84" i="3"/>
  <c r="C84" i="3"/>
  <c r="E83" i="3"/>
  <c r="D83" i="3"/>
  <c r="C83" i="3"/>
  <c r="AJ82" i="3"/>
  <c r="AG82" i="3"/>
  <c r="O82" i="3"/>
  <c r="L82" i="3"/>
  <c r="K82" i="3"/>
  <c r="H82" i="3"/>
  <c r="I82" i="3" s="1"/>
  <c r="AI82" i="3" s="1"/>
  <c r="G82" i="3"/>
  <c r="E82" i="3"/>
  <c r="N82" i="3" s="1"/>
  <c r="D82" i="3"/>
  <c r="C82" i="3"/>
  <c r="AG81" i="3"/>
  <c r="J81" i="3"/>
  <c r="H81" i="3"/>
  <c r="G81" i="3"/>
  <c r="F81" i="3"/>
  <c r="E81" i="3"/>
  <c r="D81" i="3"/>
  <c r="C81" i="3"/>
  <c r="J80" i="3"/>
  <c r="E80" i="3"/>
  <c r="D80" i="3"/>
  <c r="C80" i="3"/>
  <c r="E79" i="3"/>
  <c r="D79" i="3"/>
  <c r="C79" i="3"/>
  <c r="AG78" i="3"/>
  <c r="G78" i="3"/>
  <c r="E78" i="3"/>
  <c r="D78" i="3"/>
  <c r="C78" i="3"/>
  <c r="AG77" i="3"/>
  <c r="J77" i="3"/>
  <c r="H77" i="3"/>
  <c r="G77" i="3"/>
  <c r="F77" i="3"/>
  <c r="E77" i="3"/>
  <c r="D77" i="3"/>
  <c r="C77" i="3"/>
  <c r="F76" i="3"/>
  <c r="E76" i="3"/>
  <c r="J76" i="3" s="1"/>
  <c r="D76" i="3"/>
  <c r="C76" i="3"/>
  <c r="E75" i="3"/>
  <c r="D75" i="3"/>
  <c r="C75" i="3"/>
  <c r="AJ74" i="3"/>
  <c r="AG74" i="3"/>
  <c r="L74" i="3"/>
  <c r="H74" i="3"/>
  <c r="G74" i="3"/>
  <c r="E74" i="3"/>
  <c r="D74" i="3"/>
  <c r="C74" i="3"/>
  <c r="AG73" i="3"/>
  <c r="J73" i="3"/>
  <c r="H73" i="3"/>
  <c r="G73" i="3"/>
  <c r="F73" i="3"/>
  <c r="E73" i="3"/>
  <c r="D73" i="3"/>
  <c r="C73" i="3"/>
  <c r="J72" i="3"/>
  <c r="E72" i="3"/>
  <c r="D72" i="3"/>
  <c r="C72" i="3"/>
  <c r="AG71" i="3"/>
  <c r="L71" i="3"/>
  <c r="AJ71" i="3" s="1"/>
  <c r="H71" i="3"/>
  <c r="E71" i="3"/>
  <c r="D71" i="3"/>
  <c r="C71" i="3"/>
  <c r="AG70" i="3"/>
  <c r="H70" i="3"/>
  <c r="G70" i="3"/>
  <c r="E70" i="3"/>
  <c r="D70" i="3"/>
  <c r="C70" i="3"/>
  <c r="AG69" i="3"/>
  <c r="J69" i="3"/>
  <c r="H69" i="3"/>
  <c r="G69" i="3"/>
  <c r="F69" i="3"/>
  <c r="E69" i="3"/>
  <c r="D69" i="3"/>
  <c r="C69" i="3"/>
  <c r="F68" i="3"/>
  <c r="E68" i="3"/>
  <c r="J68" i="3" s="1"/>
  <c r="D68" i="3"/>
  <c r="C68" i="3"/>
  <c r="E67" i="3"/>
  <c r="D67" i="3"/>
  <c r="C67" i="3"/>
  <c r="AG66" i="3"/>
  <c r="G66" i="3"/>
  <c r="E66" i="3"/>
  <c r="D66" i="3"/>
  <c r="C66" i="3"/>
  <c r="AG65" i="3"/>
  <c r="J65" i="3"/>
  <c r="H65" i="3"/>
  <c r="G65" i="3"/>
  <c r="F65" i="3"/>
  <c r="E65" i="3"/>
  <c r="D65" i="3"/>
  <c r="C65" i="3"/>
  <c r="J64" i="3"/>
  <c r="E64" i="3"/>
  <c r="D64" i="3"/>
  <c r="C64" i="3"/>
  <c r="AG63" i="3"/>
  <c r="E63" i="3"/>
  <c r="D63" i="3"/>
  <c r="C63" i="3"/>
  <c r="AG62" i="3"/>
  <c r="H62" i="3"/>
  <c r="G62" i="3"/>
  <c r="E62" i="3"/>
  <c r="D62" i="3"/>
  <c r="C62" i="3"/>
  <c r="AG61" i="3"/>
  <c r="J61" i="3"/>
  <c r="H61" i="3"/>
  <c r="G61" i="3"/>
  <c r="F61" i="3"/>
  <c r="E61" i="3"/>
  <c r="D61" i="3"/>
  <c r="C61" i="3"/>
  <c r="F60" i="3"/>
  <c r="E60" i="3"/>
  <c r="J60" i="3" s="1"/>
  <c r="D60" i="3"/>
  <c r="C60" i="3"/>
  <c r="E59" i="3"/>
  <c r="D59" i="3"/>
  <c r="C59" i="3"/>
  <c r="AJ58" i="3"/>
  <c r="AG58" i="3"/>
  <c r="L58" i="3"/>
  <c r="H58" i="3"/>
  <c r="G58" i="3"/>
  <c r="E58" i="3"/>
  <c r="D58" i="3"/>
  <c r="C58" i="3"/>
  <c r="AG57" i="3"/>
  <c r="J57" i="3"/>
  <c r="H57" i="3"/>
  <c r="G57" i="3"/>
  <c r="F57" i="3"/>
  <c r="E57" i="3"/>
  <c r="D57" i="3"/>
  <c r="C57" i="3"/>
  <c r="J56" i="3"/>
  <c r="E56" i="3"/>
  <c r="D56" i="3"/>
  <c r="C56" i="3"/>
  <c r="AH55" i="3"/>
  <c r="AG55" i="3"/>
  <c r="L55" i="3"/>
  <c r="AJ55" i="3" s="1"/>
  <c r="I55" i="3"/>
  <c r="H55" i="3"/>
  <c r="E55" i="3"/>
  <c r="D55" i="3"/>
  <c r="C55" i="3"/>
  <c r="AG54" i="3"/>
  <c r="H54" i="3"/>
  <c r="G54" i="3"/>
  <c r="E54" i="3"/>
  <c r="D54" i="3"/>
  <c r="C54" i="3"/>
  <c r="AG53" i="3"/>
  <c r="J53" i="3"/>
  <c r="H53" i="3"/>
  <c r="G53" i="3"/>
  <c r="F53" i="3"/>
  <c r="E53" i="3"/>
  <c r="D53" i="3"/>
  <c r="C53" i="3"/>
  <c r="F52" i="3"/>
  <c r="E52" i="3"/>
  <c r="J52" i="3" s="1"/>
  <c r="D52" i="3"/>
  <c r="C52" i="3"/>
  <c r="E51" i="3"/>
  <c r="D51" i="3"/>
  <c r="C51" i="3"/>
  <c r="AJ50" i="3"/>
  <c r="AG50" i="3"/>
  <c r="L50" i="3"/>
  <c r="H50" i="3"/>
  <c r="G50" i="3"/>
  <c r="E50" i="3"/>
  <c r="D50" i="3"/>
  <c r="C50" i="3"/>
  <c r="AG49" i="3"/>
  <c r="J49" i="3"/>
  <c r="H49" i="3"/>
  <c r="G49" i="3"/>
  <c r="F49" i="3"/>
  <c r="E49" i="3"/>
  <c r="D49" i="3"/>
  <c r="C49" i="3"/>
  <c r="J48" i="3"/>
  <c r="E48" i="3"/>
  <c r="D48" i="3"/>
  <c r="C48" i="3"/>
  <c r="AG47" i="3"/>
  <c r="L47" i="3"/>
  <c r="AJ47" i="3" s="1"/>
  <c r="H47" i="3"/>
  <c r="E47" i="3"/>
  <c r="D47" i="3"/>
  <c r="C47" i="3"/>
  <c r="AG46" i="3"/>
  <c r="H46" i="3"/>
  <c r="G46" i="3"/>
  <c r="E46" i="3"/>
  <c r="D46" i="3"/>
  <c r="C46" i="3"/>
  <c r="AG45" i="3"/>
  <c r="J45" i="3"/>
  <c r="H45" i="3"/>
  <c r="G45" i="3"/>
  <c r="F45" i="3"/>
  <c r="E45" i="3"/>
  <c r="D45" i="3"/>
  <c r="C45" i="3"/>
  <c r="F44" i="3"/>
  <c r="E44" i="3"/>
  <c r="J44" i="3" s="1"/>
  <c r="D44" i="3"/>
  <c r="C44" i="3"/>
  <c r="E43" i="3"/>
  <c r="D43" i="3"/>
  <c r="C43" i="3"/>
  <c r="AJ42" i="3"/>
  <c r="AG42" i="3"/>
  <c r="L42" i="3"/>
  <c r="H42" i="3"/>
  <c r="G42" i="3"/>
  <c r="E42" i="3"/>
  <c r="D42" i="3"/>
  <c r="C42" i="3"/>
  <c r="AG41" i="3"/>
  <c r="J41" i="3"/>
  <c r="G41" i="3"/>
  <c r="F41" i="3"/>
  <c r="E41" i="3"/>
  <c r="D41" i="3"/>
  <c r="C41" i="3"/>
  <c r="N40" i="3"/>
  <c r="J40" i="3"/>
  <c r="F40" i="3"/>
  <c r="E40" i="3"/>
  <c r="D40" i="3"/>
  <c r="C40" i="3"/>
  <c r="AG39" i="3"/>
  <c r="H39" i="3"/>
  <c r="E39" i="3"/>
  <c r="D39" i="3"/>
  <c r="C39" i="3"/>
  <c r="AG38" i="3"/>
  <c r="L38" i="3"/>
  <c r="AJ38" i="3" s="1"/>
  <c r="H38" i="3"/>
  <c r="G38" i="3"/>
  <c r="E38" i="3"/>
  <c r="D38" i="3"/>
  <c r="C38" i="3"/>
  <c r="AG37" i="3"/>
  <c r="J37" i="3"/>
  <c r="G37" i="3"/>
  <c r="F37" i="3"/>
  <c r="E37" i="3"/>
  <c r="D37" i="3"/>
  <c r="C37" i="3"/>
  <c r="J36" i="3"/>
  <c r="E36" i="3"/>
  <c r="D36" i="3"/>
  <c r="C36" i="3"/>
  <c r="AG35" i="3"/>
  <c r="L35" i="3"/>
  <c r="AJ35" i="3" s="1"/>
  <c r="H35" i="3"/>
  <c r="E35" i="3"/>
  <c r="D35" i="3"/>
  <c r="C35" i="3"/>
  <c r="AG34" i="3"/>
  <c r="H34" i="3"/>
  <c r="G34" i="3"/>
  <c r="E34" i="3"/>
  <c r="D34" i="3"/>
  <c r="C34" i="3"/>
  <c r="AG33" i="3"/>
  <c r="J33" i="3"/>
  <c r="H33" i="3"/>
  <c r="G33" i="3"/>
  <c r="F33" i="3"/>
  <c r="E33" i="3"/>
  <c r="D33" i="3"/>
  <c r="C33" i="3"/>
  <c r="F32" i="3"/>
  <c r="E32" i="3"/>
  <c r="J32" i="3" s="1"/>
  <c r="D32" i="3"/>
  <c r="C32" i="3"/>
  <c r="E31" i="3"/>
  <c r="D31" i="3"/>
  <c r="C31" i="3"/>
  <c r="AJ30" i="3"/>
  <c r="AG30" i="3"/>
  <c r="L30" i="3"/>
  <c r="H30" i="3"/>
  <c r="G30" i="3"/>
  <c r="E30" i="3"/>
  <c r="D30" i="3"/>
  <c r="C30" i="3"/>
  <c r="L29" i="3"/>
  <c r="AJ29" i="3" s="1"/>
  <c r="H29" i="3"/>
  <c r="E29" i="3"/>
  <c r="D29" i="3"/>
  <c r="C29" i="3"/>
  <c r="AB28" i="3"/>
  <c r="M28" i="3"/>
  <c r="E28" i="3"/>
  <c r="D28" i="3"/>
  <c r="C28" i="3"/>
  <c r="AB27" i="3"/>
  <c r="F27" i="3"/>
  <c r="E27" i="3"/>
  <c r="D27" i="3"/>
  <c r="C27" i="3"/>
  <c r="AG26" i="3"/>
  <c r="AF26" i="3"/>
  <c r="AB26" i="3"/>
  <c r="Z26" i="3"/>
  <c r="G26" i="3"/>
  <c r="E26" i="3"/>
  <c r="D26" i="3"/>
  <c r="C26" i="3"/>
  <c r="AF25" i="3"/>
  <c r="AB25" i="3"/>
  <c r="Z25" i="3"/>
  <c r="E25" i="3"/>
  <c r="J25" i="3" s="1"/>
  <c r="D25" i="3"/>
  <c r="C25" i="3"/>
  <c r="AB24" i="3"/>
  <c r="Z24" i="3"/>
  <c r="E24" i="3"/>
  <c r="D24" i="3"/>
  <c r="C24" i="3"/>
  <c r="AG23" i="3"/>
  <c r="AB23" i="3"/>
  <c r="Z23" i="3"/>
  <c r="J23" i="3"/>
  <c r="H23" i="3"/>
  <c r="L23" i="3" s="1"/>
  <c r="AJ23" i="3" s="1"/>
  <c r="G23" i="3"/>
  <c r="F23" i="3"/>
  <c r="E23" i="3"/>
  <c r="D23" i="3"/>
  <c r="C23" i="3"/>
  <c r="AF22" i="3"/>
  <c r="AF23" i="3" s="1"/>
  <c r="AF24" i="3" s="1"/>
  <c r="AB22" i="3"/>
  <c r="Z22" i="3"/>
  <c r="J22" i="3"/>
  <c r="G22" i="3"/>
  <c r="F22" i="3"/>
  <c r="E22" i="3"/>
  <c r="D22" i="3"/>
  <c r="C22" i="3"/>
  <c r="AF21" i="3"/>
  <c r="AB21" i="3"/>
  <c r="Z21" i="3"/>
  <c r="J21" i="3"/>
  <c r="F21" i="3"/>
  <c r="E21" i="3"/>
  <c r="D21" i="3"/>
  <c r="C21" i="3"/>
  <c r="AF20" i="3"/>
  <c r="AB20" i="3"/>
  <c r="AC20" i="3" s="1"/>
  <c r="Z20" i="3"/>
  <c r="E20" i="3"/>
  <c r="AG20" i="3" s="1"/>
  <c r="D20" i="3"/>
  <c r="C20" i="3"/>
  <c r="AG19" i="3"/>
  <c r="AF19" i="3"/>
  <c r="AB19" i="3"/>
  <c r="Z19" i="3"/>
  <c r="J19" i="3"/>
  <c r="G19" i="3"/>
  <c r="F19" i="3"/>
  <c r="E19" i="3"/>
  <c r="D19" i="3"/>
  <c r="C19" i="3"/>
  <c r="AF18" i="3"/>
  <c r="AB18" i="3"/>
  <c r="Z18" i="3"/>
  <c r="J18" i="3"/>
  <c r="G18" i="3"/>
  <c r="F18" i="3"/>
  <c r="E18" i="3"/>
  <c r="D18" i="3"/>
  <c r="C18" i="3"/>
  <c r="AF17" i="3"/>
  <c r="AB17" i="3"/>
  <c r="Z17" i="3"/>
  <c r="J17" i="3"/>
  <c r="F17" i="3"/>
  <c r="E17" i="3"/>
  <c r="D17" i="3"/>
  <c r="C17" i="3"/>
  <c r="AF16" i="3"/>
  <c r="AB16" i="3"/>
  <c r="AC16" i="3" s="1"/>
  <c r="Z16" i="3"/>
  <c r="E16" i="3"/>
  <c r="AG16" i="3" s="1"/>
  <c r="D16" i="3"/>
  <c r="C16" i="3"/>
  <c r="AG15" i="3"/>
  <c r="AF15" i="3"/>
  <c r="AB15" i="3"/>
  <c r="Z15" i="3"/>
  <c r="J15" i="3"/>
  <c r="H15" i="3"/>
  <c r="I15" i="3" s="1"/>
  <c r="AI15" i="3" s="1"/>
  <c r="G15" i="3"/>
  <c r="F15" i="3"/>
  <c r="E15" i="3"/>
  <c r="D15" i="3"/>
  <c r="C15" i="3"/>
  <c r="AF14" i="3"/>
  <c r="AB14" i="3"/>
  <c r="Z14" i="3"/>
  <c r="J14" i="3"/>
  <c r="G14" i="3"/>
  <c r="F14" i="3"/>
  <c r="E14" i="3"/>
  <c r="D14" i="3"/>
  <c r="C14" i="3"/>
  <c r="AF13" i="3"/>
  <c r="AD13" i="3"/>
  <c r="AC13" i="3"/>
  <c r="AB13" i="3"/>
  <c r="Z13" i="3"/>
  <c r="A299" i="3" s="1"/>
  <c r="B299" i="3" s="1"/>
  <c r="N13" i="3"/>
  <c r="J13" i="3"/>
  <c r="F13" i="3"/>
  <c r="E13" i="3"/>
  <c r="D13" i="3"/>
  <c r="C13" i="3"/>
  <c r="AF12" i="3"/>
  <c r="AB12" i="3"/>
  <c r="AC12" i="3" s="1"/>
  <c r="Z12" i="3"/>
  <c r="A291" i="3" s="1"/>
  <c r="B291" i="3" s="1"/>
  <c r="E12" i="3"/>
  <c r="AG12" i="3" s="1"/>
  <c r="D12" i="3"/>
  <c r="C12" i="3"/>
  <c r="AG11" i="3"/>
  <c r="AF11" i="3"/>
  <c r="AB11" i="3"/>
  <c r="Z11" i="3"/>
  <c r="J11" i="3"/>
  <c r="G11" i="3"/>
  <c r="F11" i="3"/>
  <c r="E11" i="3"/>
  <c r="D11" i="3"/>
  <c r="C11" i="3"/>
  <c r="AF10" i="3"/>
  <c r="AB10" i="3"/>
  <c r="Z10" i="3"/>
  <c r="J10" i="3"/>
  <c r="G10" i="3"/>
  <c r="F10" i="3"/>
  <c r="E10" i="3"/>
  <c r="D10" i="3"/>
  <c r="C10" i="3"/>
  <c r="AF9" i="3"/>
  <c r="AB9" i="3"/>
  <c r="Z9" i="3"/>
  <c r="A211" i="3" s="1"/>
  <c r="B211" i="3" s="1"/>
  <c r="J9" i="3"/>
  <c r="F9" i="3"/>
  <c r="E9" i="3"/>
  <c r="D9" i="3"/>
  <c r="C9" i="3"/>
  <c r="AF8" i="3"/>
  <c r="AB8" i="3"/>
  <c r="Z8" i="3"/>
  <c r="A183" i="3" s="1"/>
  <c r="B183" i="3" s="1"/>
  <c r="E8" i="3"/>
  <c r="AG8" i="3" s="1"/>
  <c r="D8" i="3"/>
  <c r="C8" i="3"/>
  <c r="AG7" i="3"/>
  <c r="AF7" i="3"/>
  <c r="AB7" i="3"/>
  <c r="Z7" i="3"/>
  <c r="P7" i="3"/>
  <c r="H7" i="3"/>
  <c r="L7" i="3" s="1"/>
  <c r="AJ7" i="3" s="1"/>
  <c r="E7" i="3"/>
  <c r="D7" i="3"/>
  <c r="C7" i="3"/>
  <c r="A7" i="3"/>
  <c r="B7" i="3" s="1"/>
  <c r="AF6" i="3"/>
  <c r="AB6" i="3"/>
  <c r="Z6" i="3"/>
  <c r="P6" i="3"/>
  <c r="E6" i="3"/>
  <c r="AG6" i="3" s="1"/>
  <c r="D6" i="3"/>
  <c r="C6" i="3"/>
  <c r="AF5" i="3"/>
  <c r="AB5" i="3"/>
  <c r="Z5" i="3"/>
  <c r="P5" i="3"/>
  <c r="L5" i="3"/>
  <c r="AJ5" i="3" s="1"/>
  <c r="H5" i="3"/>
  <c r="I5" i="3" s="1"/>
  <c r="E5" i="3"/>
  <c r="D5" i="3"/>
  <c r="C5" i="3"/>
  <c r="AG4" i="3"/>
  <c r="AF4" i="3"/>
  <c r="AB4" i="3"/>
  <c r="AC4" i="3" s="1"/>
  <c r="Z4" i="3"/>
  <c r="R4" i="3"/>
  <c r="P4" i="3"/>
  <c r="E4" i="3"/>
  <c r="D4" i="3"/>
  <c r="C4" i="3"/>
  <c r="AG3" i="3"/>
  <c r="AF3" i="3"/>
  <c r="AB3" i="3"/>
  <c r="Z3" i="3"/>
  <c r="P3" i="3"/>
  <c r="AM27" i="1" s="1"/>
  <c r="H3" i="3"/>
  <c r="L3" i="3" s="1"/>
  <c r="AJ3" i="3" s="1"/>
  <c r="E3" i="3"/>
  <c r="D3" i="3"/>
  <c r="C3" i="3"/>
  <c r="A3" i="3"/>
  <c r="B3" i="3" s="1"/>
  <c r="AG2" i="3"/>
  <c r="AF2" i="3"/>
  <c r="AD2" i="3"/>
  <c r="AB2" i="3"/>
  <c r="AC21" i="3" s="1"/>
  <c r="Z2" i="3"/>
  <c r="R23" i="3" s="1"/>
  <c r="AJ37" i="1" s="1"/>
  <c r="L2" i="3"/>
  <c r="AJ2" i="3" s="1"/>
  <c r="H2" i="3"/>
  <c r="I2" i="3" s="1"/>
  <c r="E2" i="3"/>
  <c r="D2" i="3"/>
  <c r="C2" i="3"/>
  <c r="A2" i="3"/>
  <c r="B2" i="3" s="1"/>
  <c r="C35" i="4"/>
  <c r="CX32" i="4"/>
  <c r="CT30" i="4"/>
  <c r="CU30" i="4" s="1"/>
  <c r="CW30" i="4" s="1"/>
  <c r="CQ30" i="4"/>
  <c r="CP30" i="4"/>
  <c r="BU43" i="1" s="1"/>
  <c r="CC43" i="1" s="1"/>
  <c r="C30" i="4"/>
  <c r="CT29" i="4"/>
  <c r="CU29" i="4" s="1"/>
  <c r="CW29" i="4" s="1"/>
  <c r="CQ29" i="4"/>
  <c r="CP29" i="4"/>
  <c r="C29" i="4"/>
  <c r="CR29" i="4" s="1"/>
  <c r="CT28" i="4"/>
  <c r="CU28" i="4" s="1"/>
  <c r="CW28" i="4" s="1"/>
  <c r="CR28" i="4"/>
  <c r="D28" i="5" s="1"/>
  <c r="CQ28" i="4"/>
  <c r="CP28" i="4"/>
  <c r="C28" i="4"/>
  <c r="CT27" i="4"/>
  <c r="CU27" i="4" s="1"/>
  <c r="CW27" i="4" s="1"/>
  <c r="CQ27" i="4"/>
  <c r="CP27" i="4"/>
  <c r="CR27" i="4" s="1"/>
  <c r="C27" i="4"/>
  <c r="CT26" i="4"/>
  <c r="CU26" i="4" s="1"/>
  <c r="CW26" i="4" s="1"/>
  <c r="CQ26" i="4"/>
  <c r="CP26" i="4"/>
  <c r="CR26" i="4" s="1"/>
  <c r="C26" i="4"/>
  <c r="CT25" i="4"/>
  <c r="CU25" i="4" s="1"/>
  <c r="CW25" i="4" s="1"/>
  <c r="CQ25" i="4"/>
  <c r="CP25" i="4"/>
  <c r="C25" i="4"/>
  <c r="CR25" i="4" s="1"/>
  <c r="CU24" i="4"/>
  <c r="CW24" i="4" s="1"/>
  <c r="CT24" i="4"/>
  <c r="CR24" i="4"/>
  <c r="D24" i="5" s="1"/>
  <c r="CQ24" i="4"/>
  <c r="CP24" i="4"/>
  <c r="C24" i="4"/>
  <c r="CT23" i="4"/>
  <c r="CU23" i="4" s="1"/>
  <c r="CW23" i="4" s="1"/>
  <c r="CQ23" i="4"/>
  <c r="CP23" i="4"/>
  <c r="C23" i="4"/>
  <c r="CR23" i="4" s="1"/>
  <c r="CU22" i="4"/>
  <c r="CW22" i="4" s="1"/>
  <c r="CT22" i="4"/>
  <c r="CQ22" i="4"/>
  <c r="CP22" i="4"/>
  <c r="CR22" i="4" s="1"/>
  <c r="C22" i="4"/>
  <c r="CT21" i="4"/>
  <c r="CU21" i="4" s="1"/>
  <c r="CW21" i="4" s="1"/>
  <c r="CQ21" i="4"/>
  <c r="CP21" i="4"/>
  <c r="C21" i="4"/>
  <c r="CR21" i="4" s="1"/>
  <c r="CT20" i="4"/>
  <c r="CU20" i="4" s="1"/>
  <c r="CW20" i="4" s="1"/>
  <c r="CR20" i="4"/>
  <c r="D20" i="5" s="1"/>
  <c r="CQ20" i="4"/>
  <c r="CP20" i="4"/>
  <c r="CU19" i="4"/>
  <c r="CW19" i="4" s="1"/>
  <c r="CT19" i="4"/>
  <c r="CQ19" i="4"/>
  <c r="CP19" i="4"/>
  <c r="BU32" i="1" s="1"/>
  <c r="CC32" i="1" s="1"/>
  <c r="C19" i="4"/>
  <c r="CT18" i="4"/>
  <c r="CU18" i="4" s="1"/>
  <c r="CW18" i="4" s="1"/>
  <c r="CQ18" i="4"/>
  <c r="CP18" i="4"/>
  <c r="C18" i="4"/>
  <c r="CR18" i="4" s="1"/>
  <c r="CT17" i="4"/>
  <c r="CU17" i="4" s="1"/>
  <c r="CW17" i="4" s="1"/>
  <c r="CR17" i="4"/>
  <c r="D17" i="5" s="1"/>
  <c r="CQ17" i="4"/>
  <c r="CP17" i="4"/>
  <c r="C17" i="4"/>
  <c r="CT16" i="4"/>
  <c r="CU16" i="4" s="1"/>
  <c r="CW16" i="4" s="1"/>
  <c r="CQ16" i="4"/>
  <c r="CP16" i="4"/>
  <c r="C16" i="4"/>
  <c r="CR16" i="4" s="1"/>
  <c r="D16" i="5" s="1"/>
  <c r="CT14" i="4"/>
  <c r="CU14" i="4" s="1"/>
  <c r="CW14" i="4" s="1"/>
  <c r="CQ14" i="4"/>
  <c r="CP14" i="4"/>
  <c r="CR14" i="4" s="1"/>
  <c r="C14" i="4"/>
  <c r="CT13" i="4"/>
  <c r="CU13" i="4" s="1"/>
  <c r="CW13" i="4" s="1"/>
  <c r="CQ13" i="4"/>
  <c r="CP13" i="4"/>
  <c r="C13" i="4"/>
  <c r="CR13" i="4" s="1"/>
  <c r="CU12" i="4"/>
  <c r="CW12" i="4" s="1"/>
  <c r="CT12" i="4"/>
  <c r="CP12" i="4"/>
  <c r="BD12" i="4"/>
  <c r="CQ12" i="4" s="1"/>
  <c r="C12" i="4"/>
  <c r="CR12" i="4" s="1"/>
  <c r="CT11" i="4"/>
  <c r="CU11" i="4" s="1"/>
  <c r="CW11" i="4" s="1"/>
  <c r="CR11" i="4"/>
  <c r="D11" i="5" s="1"/>
  <c r="CQ11" i="4"/>
  <c r="CP11" i="4"/>
  <c r="C11" i="4"/>
  <c r="CU10" i="4"/>
  <c r="CW10" i="4" s="1"/>
  <c r="CT10" i="4"/>
  <c r="CQ10" i="4"/>
  <c r="CP10" i="4"/>
  <c r="C10" i="4"/>
  <c r="CR10" i="4" s="1"/>
  <c r="CT9" i="4"/>
  <c r="CU9" i="4" s="1"/>
  <c r="CW9" i="4" s="1"/>
  <c r="CQ9" i="4"/>
  <c r="CP9" i="4"/>
  <c r="CR9" i="4" s="1"/>
  <c r="D9" i="5" s="1"/>
  <c r="C9" i="4"/>
  <c r="CT8" i="4"/>
  <c r="CU8" i="4" s="1"/>
  <c r="CW8" i="4" s="1"/>
  <c r="CQ8" i="4"/>
  <c r="CP8" i="4"/>
  <c r="C8" i="4"/>
  <c r="CR8" i="4" s="1"/>
  <c r="CT7" i="4"/>
  <c r="CU7" i="4" s="1"/>
  <c r="CW7" i="4" s="1"/>
  <c r="CR7" i="4"/>
  <c r="D7" i="5" s="1"/>
  <c r="CQ7" i="4"/>
  <c r="CP7" i="4"/>
  <c r="C7" i="4"/>
  <c r="CT6" i="4"/>
  <c r="CU6" i="4" s="1"/>
  <c r="CW6" i="4" s="1"/>
  <c r="CQ6" i="4"/>
  <c r="CP6" i="4"/>
  <c r="C6" i="4"/>
  <c r="CR6" i="4" s="1"/>
  <c r="CT5" i="4"/>
  <c r="CU5" i="4" s="1"/>
  <c r="CQ5" i="4"/>
  <c r="CP5" i="4"/>
  <c r="CP32" i="4" s="1"/>
  <c r="C5" i="4"/>
  <c r="CU4" i="4"/>
  <c r="CW4" i="4" s="1"/>
  <c r="CT4" i="4"/>
  <c r="CQ4" i="4"/>
  <c r="CQ32" i="4" s="1"/>
  <c r="CP4" i="4"/>
  <c r="C4" i="4"/>
  <c r="C32" i="4" s="1"/>
  <c r="T161" i="2"/>
  <c r="S161" i="2"/>
  <c r="R161" i="2"/>
  <c r="T160" i="2"/>
  <c r="S160" i="2"/>
  <c r="R160" i="2"/>
  <c r="C160" i="2"/>
  <c r="O160" i="2" s="1"/>
  <c r="U160" i="2" s="1"/>
  <c r="T159" i="2"/>
  <c r="S159" i="2"/>
  <c r="R159" i="2"/>
  <c r="C159" i="2"/>
  <c r="O159" i="2" s="1"/>
  <c r="U159" i="2" s="1"/>
  <c r="T158" i="2"/>
  <c r="S158" i="2"/>
  <c r="R158" i="2"/>
  <c r="C158" i="2"/>
  <c r="O158" i="2" s="1"/>
  <c r="U158" i="2" s="1"/>
  <c r="T157" i="2"/>
  <c r="S157" i="2"/>
  <c r="R157" i="2"/>
  <c r="T156" i="2"/>
  <c r="S156" i="2"/>
  <c r="R156" i="2"/>
  <c r="C156" i="2"/>
  <c r="O156" i="2" s="1"/>
  <c r="U156" i="2" s="1"/>
  <c r="T155" i="2"/>
  <c r="S155" i="2"/>
  <c r="R155" i="2"/>
  <c r="C155" i="2"/>
  <c r="O155" i="2" s="1"/>
  <c r="U155" i="2" s="1"/>
  <c r="T154" i="2"/>
  <c r="S154" i="2"/>
  <c r="R154" i="2"/>
  <c r="C154" i="2"/>
  <c r="O154" i="2" s="1"/>
  <c r="U154" i="2" s="1"/>
  <c r="T153" i="2"/>
  <c r="S153" i="2"/>
  <c r="R153" i="2"/>
  <c r="C153" i="2"/>
  <c r="O153" i="2" s="1"/>
  <c r="U153" i="2" s="1"/>
  <c r="T152" i="2"/>
  <c r="S152" i="2"/>
  <c r="R152" i="2"/>
  <c r="C152" i="2"/>
  <c r="O152" i="2" s="1"/>
  <c r="U152" i="2" s="1"/>
  <c r="T151" i="2"/>
  <c r="S151" i="2"/>
  <c r="R151" i="2"/>
  <c r="O151" i="2"/>
  <c r="U151" i="2" s="1"/>
  <c r="T150" i="2"/>
  <c r="S150" i="2"/>
  <c r="R150" i="2"/>
  <c r="T149" i="2"/>
  <c r="S149" i="2"/>
  <c r="R149" i="2"/>
  <c r="T148" i="2"/>
  <c r="S148" i="2"/>
  <c r="R148" i="2"/>
  <c r="T147" i="2"/>
  <c r="S147" i="2"/>
  <c r="R147" i="2"/>
  <c r="T145" i="2"/>
  <c r="S145" i="2"/>
  <c r="R145" i="2"/>
  <c r="T144" i="2"/>
  <c r="S144" i="2"/>
  <c r="R144" i="2"/>
  <c r="T143" i="2"/>
  <c r="S143" i="2"/>
  <c r="R143" i="2"/>
  <c r="T142" i="2"/>
  <c r="S142" i="2"/>
  <c r="R142" i="2"/>
  <c r="T141" i="2"/>
  <c r="S141" i="2"/>
  <c r="R141" i="2"/>
  <c r="T140" i="2"/>
  <c r="S140" i="2"/>
  <c r="R140" i="2"/>
  <c r="T139" i="2"/>
  <c r="S139" i="2"/>
  <c r="R139" i="2"/>
  <c r="T138" i="2"/>
  <c r="S138" i="2"/>
  <c r="R138" i="2"/>
  <c r="T137" i="2"/>
  <c r="S137" i="2"/>
  <c r="R137" i="2"/>
  <c r="T136" i="2"/>
  <c r="S136" i="2"/>
  <c r="R136" i="2"/>
  <c r="T135" i="2"/>
  <c r="S135" i="2"/>
  <c r="R135" i="2"/>
  <c r="V127" i="2"/>
  <c r="T127" i="2"/>
  <c r="C161" i="2" s="1"/>
  <c r="O161" i="2" s="1"/>
  <c r="U161" i="2" s="1"/>
  <c r="S127" i="2"/>
  <c r="AA31" i="2" s="1"/>
  <c r="AC31" i="2" s="1"/>
  <c r="R127" i="2"/>
  <c r="L127" i="2"/>
  <c r="K127" i="2"/>
  <c r="O127" i="2" s="1"/>
  <c r="I127" i="2"/>
  <c r="E127" i="2"/>
  <c r="T126" i="2"/>
  <c r="S126" i="2"/>
  <c r="R126" i="2"/>
  <c r="N126" i="2"/>
  <c r="H513" i="3" s="1"/>
  <c r="K126" i="2"/>
  <c r="V126" i="2" s="1"/>
  <c r="E126" i="2"/>
  <c r="I126" i="2" s="1"/>
  <c r="I459" i="3" s="1"/>
  <c r="C126" i="2"/>
  <c r="F126" i="2" s="1"/>
  <c r="T125" i="2"/>
  <c r="S125" i="2"/>
  <c r="R125" i="2"/>
  <c r="O125" i="2"/>
  <c r="N125" i="2"/>
  <c r="H512" i="3" s="1"/>
  <c r="L125" i="2"/>
  <c r="K125" i="2"/>
  <c r="H485" i="3" s="1"/>
  <c r="I125" i="2"/>
  <c r="H125" i="2"/>
  <c r="H458" i="3" s="1"/>
  <c r="F125" i="2"/>
  <c r="U125" i="2" s="1"/>
  <c r="E125" i="2"/>
  <c r="H431" i="3" s="1"/>
  <c r="C125" i="2"/>
  <c r="T124" i="2"/>
  <c r="S124" i="2"/>
  <c r="R124" i="2"/>
  <c r="O124" i="2"/>
  <c r="K124" i="2"/>
  <c r="H484" i="3" s="1"/>
  <c r="H124" i="2"/>
  <c r="L124" i="2" s="1"/>
  <c r="E124" i="2"/>
  <c r="H430" i="3" s="1"/>
  <c r="V123" i="2"/>
  <c r="T123" i="2"/>
  <c r="C157" i="2" s="1"/>
  <c r="O157" i="2" s="1"/>
  <c r="S123" i="2"/>
  <c r="R123" i="2"/>
  <c r="I537" i="3" s="1"/>
  <c r="N123" i="2"/>
  <c r="O123" i="2" s="1"/>
  <c r="L123" i="2"/>
  <c r="I123" i="2"/>
  <c r="E123" i="2"/>
  <c r="V122" i="2"/>
  <c r="T122" i="2"/>
  <c r="S122" i="2"/>
  <c r="R122" i="2"/>
  <c r="N122" i="2"/>
  <c r="H509" i="3" s="1"/>
  <c r="L122" i="2"/>
  <c r="I122" i="2"/>
  <c r="E122" i="2"/>
  <c r="T121" i="2"/>
  <c r="S121" i="2"/>
  <c r="O121" i="2"/>
  <c r="N121" i="2"/>
  <c r="H508" i="3" s="1"/>
  <c r="L121" i="2"/>
  <c r="K121" i="2"/>
  <c r="H481" i="3" s="1"/>
  <c r="I121" i="2"/>
  <c r="H121" i="2"/>
  <c r="H454" i="3" s="1"/>
  <c r="F121" i="2"/>
  <c r="E121" i="2"/>
  <c r="H427" i="3" s="1"/>
  <c r="C121" i="2"/>
  <c r="T120" i="2"/>
  <c r="S120" i="2"/>
  <c r="R120" i="2"/>
  <c r="N120" i="2"/>
  <c r="K120" i="2"/>
  <c r="H480" i="3" s="1"/>
  <c r="H120" i="2"/>
  <c r="L120" i="2" s="1"/>
  <c r="E120" i="2"/>
  <c r="H426" i="3" s="1"/>
  <c r="T119" i="2"/>
  <c r="S119" i="2"/>
  <c r="R119" i="2"/>
  <c r="O119" i="2"/>
  <c r="N119" i="2"/>
  <c r="H119" i="2"/>
  <c r="L119" i="2" s="1"/>
  <c r="E119" i="2"/>
  <c r="V119" i="2" s="1"/>
  <c r="V118" i="2"/>
  <c r="T118" i="2"/>
  <c r="S118" i="2"/>
  <c r="R118" i="2"/>
  <c r="N118" i="2"/>
  <c r="H505" i="3" s="1"/>
  <c r="K118" i="2"/>
  <c r="O118" i="2" s="1"/>
  <c r="E118" i="2"/>
  <c r="I118" i="2" s="1"/>
  <c r="T117" i="2"/>
  <c r="S117" i="2"/>
  <c r="N117" i="2"/>
  <c r="H504" i="3" s="1"/>
  <c r="I117" i="2"/>
  <c r="T116" i="2"/>
  <c r="C150" i="2" s="1"/>
  <c r="O150" i="2" s="1"/>
  <c r="U150" i="2" s="1"/>
  <c r="S116" i="2"/>
  <c r="R116" i="2"/>
  <c r="O116" i="2"/>
  <c r="N116" i="2"/>
  <c r="L116" i="2"/>
  <c r="K116" i="2"/>
  <c r="H476" i="3" s="1"/>
  <c r="I116" i="2"/>
  <c r="H116" i="2"/>
  <c r="E116" i="2"/>
  <c r="H422" i="3" s="1"/>
  <c r="C116" i="2"/>
  <c r="F116" i="2" s="1"/>
  <c r="T115" i="2"/>
  <c r="C149" i="2" s="1"/>
  <c r="O149" i="2" s="1"/>
  <c r="U149" i="2" s="1"/>
  <c r="S115" i="2"/>
  <c r="N115" i="2"/>
  <c r="R115" i="2" s="1"/>
  <c r="L115" i="2"/>
  <c r="E115" i="2"/>
  <c r="V115" i="2" s="1"/>
  <c r="T114" i="2"/>
  <c r="C148" i="2" s="1"/>
  <c r="O148" i="2" s="1"/>
  <c r="U148" i="2" s="1"/>
  <c r="S114" i="2"/>
  <c r="N114" i="2"/>
  <c r="H501" i="3" s="1"/>
  <c r="L114" i="2"/>
  <c r="E114" i="2"/>
  <c r="V114" i="2" s="1"/>
  <c r="T113" i="2"/>
  <c r="C147" i="2" s="1"/>
  <c r="O147" i="2" s="1"/>
  <c r="U147" i="2" s="1"/>
  <c r="S113" i="2"/>
  <c r="N113" i="2"/>
  <c r="H500" i="3" s="1"/>
  <c r="L113" i="2"/>
  <c r="E113" i="2"/>
  <c r="H419" i="3" s="1"/>
  <c r="T111" i="2"/>
  <c r="C145" i="2" s="1"/>
  <c r="O145" i="2" s="1"/>
  <c r="U145" i="2" s="1"/>
  <c r="S111" i="2"/>
  <c r="N111" i="2"/>
  <c r="V111" i="2" s="1"/>
  <c r="I111" i="2"/>
  <c r="H111" i="2"/>
  <c r="L111" i="2" s="1"/>
  <c r="F111" i="2"/>
  <c r="E111" i="2"/>
  <c r="C111" i="2"/>
  <c r="V110" i="2"/>
  <c r="T110" i="2"/>
  <c r="C144" i="2" s="1"/>
  <c r="O144" i="2" s="1"/>
  <c r="U144" i="2" s="1"/>
  <c r="S110" i="2"/>
  <c r="R110" i="2"/>
  <c r="N110" i="2"/>
  <c r="H497" i="3" s="1"/>
  <c r="L110" i="2"/>
  <c r="I110" i="2"/>
  <c r="H110" i="2"/>
  <c r="H443" i="3" s="1"/>
  <c r="E110" i="2"/>
  <c r="C110" i="2"/>
  <c r="F110" i="2" s="1"/>
  <c r="T109" i="2"/>
  <c r="C143" i="2" s="1"/>
  <c r="O143" i="2" s="1"/>
  <c r="U143" i="2" s="1"/>
  <c r="S109" i="2"/>
  <c r="N109" i="2"/>
  <c r="H496" i="3" s="1"/>
  <c r="I109" i="2"/>
  <c r="H109" i="2"/>
  <c r="H442" i="3" s="1"/>
  <c r="E109" i="2"/>
  <c r="H415" i="3" s="1"/>
  <c r="V108" i="2"/>
  <c r="T108" i="2"/>
  <c r="C142" i="2" s="1"/>
  <c r="O142" i="2" s="1"/>
  <c r="U142" i="2" s="1"/>
  <c r="S108" i="2"/>
  <c r="R108" i="2"/>
  <c r="N108" i="2"/>
  <c r="O108" i="2" s="1"/>
  <c r="L108" i="2"/>
  <c r="I108" i="2"/>
  <c r="E108" i="2"/>
  <c r="H414" i="3" s="1"/>
  <c r="T107" i="2"/>
  <c r="C141" i="2" s="1"/>
  <c r="O141" i="2" s="1"/>
  <c r="S107" i="2"/>
  <c r="O107" i="2"/>
  <c r="N107" i="2"/>
  <c r="R107" i="2" s="1"/>
  <c r="I521" i="3" s="1"/>
  <c r="L107" i="2"/>
  <c r="E107" i="2"/>
  <c r="V107" i="2" s="1"/>
  <c r="W11" i="2" s="1"/>
  <c r="T106" i="2"/>
  <c r="C140" i="2" s="1"/>
  <c r="O140" i="2" s="1"/>
  <c r="U140" i="2" s="1"/>
  <c r="S106" i="2"/>
  <c r="AA10" i="2" s="1"/>
  <c r="AC10" i="2" s="1"/>
  <c r="R106" i="2"/>
  <c r="O106" i="2"/>
  <c r="N106" i="2"/>
  <c r="H493" i="3" s="1"/>
  <c r="L106" i="2"/>
  <c r="E106" i="2"/>
  <c r="V106" i="2" s="1"/>
  <c r="C106" i="2"/>
  <c r="F106" i="2" s="1"/>
  <c r="T105" i="2"/>
  <c r="C139" i="2" s="1"/>
  <c r="O139" i="2" s="1"/>
  <c r="U139" i="2" s="1"/>
  <c r="S105" i="2"/>
  <c r="N105" i="2"/>
  <c r="H492" i="3" s="1"/>
  <c r="L105" i="2"/>
  <c r="E105" i="2"/>
  <c r="V105" i="2" s="1"/>
  <c r="T104" i="2"/>
  <c r="C138" i="2" s="1"/>
  <c r="O138" i="2" s="1"/>
  <c r="U138" i="2" s="1"/>
  <c r="S104" i="2"/>
  <c r="O104" i="2"/>
  <c r="N104" i="2"/>
  <c r="R104" i="2" s="1"/>
  <c r="L104" i="2"/>
  <c r="E104" i="2"/>
  <c r="H410" i="3" s="1"/>
  <c r="V103" i="2"/>
  <c r="T103" i="2"/>
  <c r="C137" i="2" s="1"/>
  <c r="O137" i="2" s="1"/>
  <c r="U137" i="2" s="1"/>
  <c r="S103" i="2"/>
  <c r="R103" i="2"/>
  <c r="N103" i="2"/>
  <c r="O103" i="2" s="1"/>
  <c r="I103" i="2"/>
  <c r="H103" i="2"/>
  <c r="L103" i="2" s="1"/>
  <c r="E103" i="2"/>
  <c r="T102" i="2"/>
  <c r="C136" i="2" s="1"/>
  <c r="O136" i="2" s="1"/>
  <c r="U136" i="2" s="1"/>
  <c r="S102" i="2"/>
  <c r="N102" i="2"/>
  <c r="H489" i="3" s="1"/>
  <c r="L102" i="2"/>
  <c r="I102" i="2"/>
  <c r="H102" i="2"/>
  <c r="H435" i="3" s="1"/>
  <c r="F102" i="2"/>
  <c r="Z103" i="2" s="1"/>
  <c r="E102" i="2"/>
  <c r="C102" i="2"/>
  <c r="T101" i="2"/>
  <c r="C135" i="2" s="1"/>
  <c r="O135" i="2" s="1"/>
  <c r="U135" i="2" s="1"/>
  <c r="S101" i="2"/>
  <c r="R101" i="2"/>
  <c r="O101" i="2"/>
  <c r="N101" i="2"/>
  <c r="H488" i="3" s="1"/>
  <c r="H101" i="2"/>
  <c r="H434" i="3" s="1"/>
  <c r="E101" i="2"/>
  <c r="H407" i="3" s="1"/>
  <c r="V93" i="2"/>
  <c r="T93" i="2"/>
  <c r="C127" i="2" s="1"/>
  <c r="F127" i="2" s="1"/>
  <c r="U127" i="2" s="1"/>
  <c r="S93" i="2"/>
  <c r="R93" i="2"/>
  <c r="N93" i="2"/>
  <c r="H378" i="3" s="1"/>
  <c r="K93" i="2"/>
  <c r="H351" i="3" s="1"/>
  <c r="I93" i="2"/>
  <c r="V92" i="2"/>
  <c r="T92" i="2"/>
  <c r="S92" i="2"/>
  <c r="R92" i="2"/>
  <c r="L92" i="2"/>
  <c r="K92" i="2"/>
  <c r="H350" i="3" s="1"/>
  <c r="I92" i="2"/>
  <c r="T91" i="2"/>
  <c r="S91" i="2"/>
  <c r="R91" i="2"/>
  <c r="O91" i="2"/>
  <c r="N91" i="2"/>
  <c r="L91" i="2"/>
  <c r="K91" i="2"/>
  <c r="I91" i="2"/>
  <c r="E91" i="2"/>
  <c r="V91" i="2" s="1"/>
  <c r="V90" i="2"/>
  <c r="T90" i="2"/>
  <c r="C124" i="2" s="1"/>
  <c r="F124" i="2" s="1"/>
  <c r="S90" i="2"/>
  <c r="R90" i="2"/>
  <c r="N90" i="2"/>
  <c r="H375" i="3" s="1"/>
  <c r="L90" i="2"/>
  <c r="I90" i="2"/>
  <c r="V89" i="2"/>
  <c r="T89" i="2"/>
  <c r="C123" i="2" s="1"/>
  <c r="F123" i="2" s="1"/>
  <c r="S89" i="2"/>
  <c r="R89" i="2"/>
  <c r="O89" i="2"/>
  <c r="L89" i="2"/>
  <c r="I347" i="3" s="1"/>
  <c r="I89" i="2"/>
  <c r="I320" i="3" s="1"/>
  <c r="C89" i="2"/>
  <c r="F89" i="2" s="1"/>
  <c r="U89" i="2" s="1"/>
  <c r="V88" i="2"/>
  <c r="T88" i="2"/>
  <c r="C122" i="2" s="1"/>
  <c r="F122" i="2" s="1"/>
  <c r="S88" i="2"/>
  <c r="R88" i="2"/>
  <c r="O88" i="2"/>
  <c r="L88" i="2"/>
  <c r="I88" i="2"/>
  <c r="V87" i="2"/>
  <c r="T87" i="2"/>
  <c r="S87" i="2"/>
  <c r="R87" i="2"/>
  <c r="O87" i="2"/>
  <c r="L87" i="2"/>
  <c r="I87" i="2"/>
  <c r="V86" i="2"/>
  <c r="T86" i="2"/>
  <c r="C120" i="2" s="1"/>
  <c r="F120" i="2" s="1"/>
  <c r="S86" i="2"/>
  <c r="R86" i="2"/>
  <c r="O86" i="2"/>
  <c r="L86" i="2"/>
  <c r="I86" i="2"/>
  <c r="V85" i="2"/>
  <c r="T85" i="2"/>
  <c r="C119" i="2" s="1"/>
  <c r="F119" i="2" s="1"/>
  <c r="S85" i="2"/>
  <c r="R85" i="2"/>
  <c r="O85" i="2"/>
  <c r="L85" i="2"/>
  <c r="I343" i="3" s="1"/>
  <c r="I85" i="2"/>
  <c r="S84" i="2"/>
  <c r="Q84" i="2"/>
  <c r="R84" i="2" s="1"/>
  <c r="O84" i="2"/>
  <c r="L84" i="2"/>
  <c r="E84" i="2"/>
  <c r="H288" i="3" s="1"/>
  <c r="C84" i="2"/>
  <c r="F84" i="2" s="1"/>
  <c r="T83" i="2"/>
  <c r="S83" i="2"/>
  <c r="R83" i="2"/>
  <c r="O83" i="2"/>
  <c r="L83" i="2"/>
  <c r="I83" i="2"/>
  <c r="E83" i="2"/>
  <c r="V83" i="2" s="1"/>
  <c r="V82" i="2"/>
  <c r="T82" i="2"/>
  <c r="C115" i="2" s="1"/>
  <c r="F115" i="2" s="1"/>
  <c r="S82" i="2"/>
  <c r="R82" i="2"/>
  <c r="N82" i="2"/>
  <c r="H367" i="3" s="1"/>
  <c r="L82" i="2"/>
  <c r="I82" i="2"/>
  <c r="V81" i="2"/>
  <c r="T81" i="2"/>
  <c r="C114" i="2" s="1"/>
  <c r="F114" i="2" s="1"/>
  <c r="S81" i="2"/>
  <c r="R81" i="2"/>
  <c r="O81" i="2"/>
  <c r="N81" i="2"/>
  <c r="H366" i="3" s="1"/>
  <c r="L81" i="2"/>
  <c r="I339" i="3" s="1"/>
  <c r="I81" i="2"/>
  <c r="V80" i="2"/>
  <c r="T80" i="2"/>
  <c r="C113" i="2" s="1"/>
  <c r="F113" i="2" s="1"/>
  <c r="S80" i="2"/>
  <c r="R80" i="2"/>
  <c r="O80" i="2"/>
  <c r="L80" i="2"/>
  <c r="E80" i="2"/>
  <c r="H284" i="3" s="1"/>
  <c r="T78" i="2"/>
  <c r="S78" i="2"/>
  <c r="R78" i="2"/>
  <c r="O78" i="2"/>
  <c r="I363" i="3" s="1"/>
  <c r="L78" i="2"/>
  <c r="I78" i="2"/>
  <c r="E78" i="2"/>
  <c r="H282" i="3" s="1"/>
  <c r="V77" i="2"/>
  <c r="T77" i="2"/>
  <c r="S77" i="2"/>
  <c r="R77" i="2"/>
  <c r="L77" i="2"/>
  <c r="K77" i="2"/>
  <c r="H335" i="3" s="1"/>
  <c r="I77" i="2"/>
  <c r="I308" i="3" s="1"/>
  <c r="C77" i="2"/>
  <c r="F77" i="2" s="1"/>
  <c r="S76" i="2"/>
  <c r="Q76" i="2"/>
  <c r="T76" i="2" s="1"/>
  <c r="C109" i="2" s="1"/>
  <c r="F109" i="2" s="1"/>
  <c r="L76" i="2"/>
  <c r="K76" i="2"/>
  <c r="H334" i="3" s="1"/>
  <c r="I76" i="2"/>
  <c r="I307" i="3" s="1"/>
  <c r="E76" i="2"/>
  <c r="H280" i="3" s="1"/>
  <c r="V75" i="2"/>
  <c r="T75" i="2"/>
  <c r="C108" i="2" s="1"/>
  <c r="F108" i="2" s="1"/>
  <c r="S75" i="2"/>
  <c r="R75" i="2"/>
  <c r="O75" i="2"/>
  <c r="L75" i="2"/>
  <c r="I75" i="2"/>
  <c r="V74" i="2"/>
  <c r="T74" i="2"/>
  <c r="C107" i="2" s="1"/>
  <c r="F107" i="2" s="1"/>
  <c r="S74" i="2"/>
  <c r="R74" i="2"/>
  <c r="O74" i="2"/>
  <c r="I359" i="3" s="1"/>
  <c r="L74" i="2"/>
  <c r="I74" i="2"/>
  <c r="V73" i="2"/>
  <c r="T73" i="2"/>
  <c r="S73" i="2"/>
  <c r="R73" i="2"/>
  <c r="O73" i="2"/>
  <c r="L73" i="2"/>
  <c r="I331" i="3" s="1"/>
  <c r="I73" i="2"/>
  <c r="V72" i="2"/>
  <c r="T72" i="2"/>
  <c r="C105" i="2" s="1"/>
  <c r="F105" i="2" s="1"/>
  <c r="S72" i="2"/>
  <c r="R72" i="2"/>
  <c r="O72" i="2"/>
  <c r="L72" i="2"/>
  <c r="I72" i="2"/>
  <c r="I303" i="3" s="1"/>
  <c r="V71" i="2"/>
  <c r="T71" i="2"/>
  <c r="C104" i="2" s="1"/>
  <c r="F104" i="2" s="1"/>
  <c r="S71" i="2"/>
  <c r="R71" i="2"/>
  <c r="O71" i="2"/>
  <c r="L71" i="2"/>
  <c r="I71" i="2"/>
  <c r="E71" i="2"/>
  <c r="S70" i="2"/>
  <c r="Q70" i="2"/>
  <c r="H382" i="3" s="1"/>
  <c r="L70" i="2"/>
  <c r="K70" i="2"/>
  <c r="O70" i="2" s="1"/>
  <c r="I355" i="3" s="1"/>
  <c r="I70" i="2"/>
  <c r="C70" i="2"/>
  <c r="F70" i="2" s="1"/>
  <c r="T69" i="2"/>
  <c r="S69" i="2"/>
  <c r="R69" i="2"/>
  <c r="O69" i="2"/>
  <c r="L69" i="2"/>
  <c r="I327" i="3" s="1"/>
  <c r="E69" i="2"/>
  <c r="I69" i="2" s="1"/>
  <c r="T68" i="2"/>
  <c r="C101" i="2" s="1"/>
  <c r="F101" i="2" s="1"/>
  <c r="S68" i="2"/>
  <c r="R68" i="2"/>
  <c r="Q68" i="2"/>
  <c r="O68" i="2"/>
  <c r="L68" i="2"/>
  <c r="E68" i="2"/>
  <c r="V68" i="2" s="1"/>
  <c r="V62" i="2"/>
  <c r="T62" i="2"/>
  <c r="C93" i="2" s="1"/>
  <c r="F93" i="2" s="1"/>
  <c r="S62" i="2"/>
  <c r="R62" i="2"/>
  <c r="Q62" i="2"/>
  <c r="H270" i="3" s="1"/>
  <c r="O62" i="2"/>
  <c r="L62" i="2"/>
  <c r="I62" i="2"/>
  <c r="C62" i="2"/>
  <c r="F62" i="2" s="1"/>
  <c r="U62" i="2" s="1"/>
  <c r="S61" i="2"/>
  <c r="Q61" i="2"/>
  <c r="H269" i="3" s="1"/>
  <c r="N61" i="2"/>
  <c r="H242" i="3" s="1"/>
  <c r="I61" i="2"/>
  <c r="H61" i="2"/>
  <c r="V61" i="2" s="1"/>
  <c r="V60" i="2"/>
  <c r="T60" i="2"/>
  <c r="C91" i="2" s="1"/>
  <c r="F91" i="2" s="1"/>
  <c r="U91" i="2" s="1"/>
  <c r="S60" i="2"/>
  <c r="R60" i="2"/>
  <c r="Q60" i="2"/>
  <c r="O60" i="2"/>
  <c r="L60" i="2"/>
  <c r="I60" i="2"/>
  <c r="S59" i="2"/>
  <c r="Q59" i="2"/>
  <c r="V59" i="2" s="1"/>
  <c r="O59" i="2"/>
  <c r="L59" i="2"/>
  <c r="I59" i="2"/>
  <c r="V58" i="2"/>
  <c r="T58" i="2"/>
  <c r="S58" i="2"/>
  <c r="R58" i="2"/>
  <c r="Q58" i="2"/>
  <c r="H266" i="3" s="1"/>
  <c r="O58" i="2"/>
  <c r="L58" i="2"/>
  <c r="I58" i="2"/>
  <c r="S57" i="2"/>
  <c r="Q57" i="2"/>
  <c r="H265" i="3" s="1"/>
  <c r="O57" i="2"/>
  <c r="L57" i="2"/>
  <c r="I57" i="2"/>
  <c r="V56" i="2"/>
  <c r="T56" i="2"/>
  <c r="C87" i="2" s="1"/>
  <c r="F87" i="2" s="1"/>
  <c r="U87" i="2" s="1"/>
  <c r="S56" i="2"/>
  <c r="R56" i="2"/>
  <c r="Q56" i="2"/>
  <c r="O56" i="2"/>
  <c r="L56" i="2"/>
  <c r="I56" i="2"/>
  <c r="C56" i="2"/>
  <c r="F56" i="2" s="1"/>
  <c r="U56" i="2" s="1"/>
  <c r="S55" i="2"/>
  <c r="Q55" i="2"/>
  <c r="T55" i="2" s="1"/>
  <c r="C86" i="2" s="1"/>
  <c r="F86" i="2" s="1"/>
  <c r="U86" i="2" s="1"/>
  <c r="N55" i="2"/>
  <c r="V55" i="2" s="1"/>
  <c r="L55" i="2"/>
  <c r="I55" i="2"/>
  <c r="C55" i="2"/>
  <c r="F55" i="2" s="1"/>
  <c r="S54" i="2"/>
  <c r="Q54" i="2"/>
  <c r="H262" i="3" s="1"/>
  <c r="O54" i="2"/>
  <c r="L54" i="2"/>
  <c r="I54" i="2"/>
  <c r="V53" i="2"/>
  <c r="T53" i="2"/>
  <c r="S53" i="2"/>
  <c r="R53" i="2"/>
  <c r="Q53" i="2"/>
  <c r="H261" i="3" s="1"/>
  <c r="O53" i="2"/>
  <c r="N53" i="2"/>
  <c r="H234" i="3" s="1"/>
  <c r="L53" i="2"/>
  <c r="I53" i="2"/>
  <c r="T52" i="2"/>
  <c r="C83" i="2" s="1"/>
  <c r="F83" i="2" s="1"/>
  <c r="U83" i="2" s="1"/>
  <c r="S52" i="2"/>
  <c r="R52" i="2"/>
  <c r="Q52" i="2"/>
  <c r="O52" i="2"/>
  <c r="N52" i="2"/>
  <c r="H233" i="3" s="1"/>
  <c r="L52" i="2"/>
  <c r="H52" i="2"/>
  <c r="E52" i="2"/>
  <c r="I52" i="2" s="1"/>
  <c r="T51" i="2"/>
  <c r="C82" i="2" s="1"/>
  <c r="F82" i="2" s="1"/>
  <c r="S51" i="2"/>
  <c r="R51" i="2"/>
  <c r="Q51" i="2"/>
  <c r="O51" i="2"/>
  <c r="L51" i="2"/>
  <c r="E51" i="2"/>
  <c r="V51" i="2" s="1"/>
  <c r="W19" i="2" s="1"/>
  <c r="T50" i="2"/>
  <c r="C81" i="2" s="1"/>
  <c r="F81" i="2" s="1"/>
  <c r="U81" i="2" s="1"/>
  <c r="S50" i="2"/>
  <c r="R50" i="2"/>
  <c r="Q50" i="2"/>
  <c r="H258" i="3" s="1"/>
  <c r="O50" i="2"/>
  <c r="L50" i="2"/>
  <c r="E50" i="2"/>
  <c r="H150" i="3" s="1"/>
  <c r="V49" i="2"/>
  <c r="T49" i="2"/>
  <c r="C80" i="2" s="1"/>
  <c r="F80" i="2" s="1"/>
  <c r="S49" i="2"/>
  <c r="R49" i="2"/>
  <c r="Q49" i="2"/>
  <c r="H257" i="3" s="1"/>
  <c r="O49" i="2"/>
  <c r="I49" i="2"/>
  <c r="H49" i="2"/>
  <c r="L49" i="2" s="1"/>
  <c r="V47" i="2"/>
  <c r="T47" i="2"/>
  <c r="C78" i="2" s="1"/>
  <c r="F78" i="2" s="1"/>
  <c r="U78" i="2" s="1"/>
  <c r="S47" i="2"/>
  <c r="R47" i="2"/>
  <c r="O47" i="2"/>
  <c r="L47" i="2"/>
  <c r="E47" i="2"/>
  <c r="I47" i="2" s="1"/>
  <c r="C47" i="2"/>
  <c r="F47" i="2" s="1"/>
  <c r="V46" i="2"/>
  <c r="T46" i="2"/>
  <c r="S46" i="2"/>
  <c r="R46" i="2"/>
  <c r="O46" i="2"/>
  <c r="L46" i="2"/>
  <c r="I46" i="2"/>
  <c r="C46" i="2"/>
  <c r="F46" i="2" s="1"/>
  <c r="U46" i="2" s="1"/>
  <c r="T45" i="2"/>
  <c r="C76" i="2" s="1"/>
  <c r="F76" i="2" s="1"/>
  <c r="S45" i="2"/>
  <c r="R45" i="2"/>
  <c r="O45" i="2"/>
  <c r="N45" i="2"/>
  <c r="H226" i="3" s="1"/>
  <c r="H45" i="2"/>
  <c r="L45" i="2" s="1"/>
  <c r="V44" i="2"/>
  <c r="T44" i="2"/>
  <c r="C75" i="2" s="1"/>
  <c r="F75" i="2" s="1"/>
  <c r="U75" i="2" s="1"/>
  <c r="S44" i="2"/>
  <c r="R44" i="2"/>
  <c r="O44" i="2"/>
  <c r="N44" i="2"/>
  <c r="H225" i="3" s="1"/>
  <c r="L44" i="2"/>
  <c r="I44" i="2"/>
  <c r="V43" i="2"/>
  <c r="T43" i="2"/>
  <c r="C74" i="2" s="1"/>
  <c r="F74" i="2" s="1"/>
  <c r="U74" i="2" s="1"/>
  <c r="S43" i="2"/>
  <c r="R43" i="2"/>
  <c r="O43" i="2"/>
  <c r="L43" i="2"/>
  <c r="I43" i="2"/>
  <c r="V42" i="2"/>
  <c r="T42" i="2"/>
  <c r="C73" i="2" s="1"/>
  <c r="F73" i="2" s="1"/>
  <c r="U73" i="2" s="1"/>
  <c r="S42" i="2"/>
  <c r="R42" i="2"/>
  <c r="O42" i="2"/>
  <c r="L42" i="2"/>
  <c r="I42" i="2"/>
  <c r="V41" i="2"/>
  <c r="T41" i="2"/>
  <c r="C72" i="2" s="1"/>
  <c r="F72" i="2" s="1"/>
  <c r="U72" i="2" s="1"/>
  <c r="S41" i="2"/>
  <c r="R41" i="2"/>
  <c r="O41" i="2"/>
  <c r="L41" i="2"/>
  <c r="I41" i="2"/>
  <c r="V40" i="2"/>
  <c r="T40" i="2"/>
  <c r="C71" i="2" s="1"/>
  <c r="F71" i="2" s="1"/>
  <c r="U71" i="2" s="1"/>
  <c r="S40" i="2"/>
  <c r="R40" i="2"/>
  <c r="O40" i="2"/>
  <c r="L40" i="2"/>
  <c r="I40" i="2"/>
  <c r="E40" i="2"/>
  <c r="V39" i="2"/>
  <c r="T39" i="2"/>
  <c r="S39" i="2"/>
  <c r="R39" i="2"/>
  <c r="O39" i="2"/>
  <c r="L39" i="2"/>
  <c r="I39" i="2"/>
  <c r="C39" i="2"/>
  <c r="F39" i="2" s="1"/>
  <c r="U39" i="2" s="1"/>
  <c r="T38" i="2"/>
  <c r="C69" i="2" s="1"/>
  <c r="F69" i="2" s="1"/>
  <c r="S38" i="2"/>
  <c r="R38" i="2"/>
  <c r="O38" i="2"/>
  <c r="L38" i="2"/>
  <c r="I38" i="2"/>
  <c r="H38" i="2"/>
  <c r="H165" i="3" s="1"/>
  <c r="V37" i="2"/>
  <c r="T37" i="2"/>
  <c r="C68" i="2" s="1"/>
  <c r="F68" i="2" s="1"/>
  <c r="S37" i="2"/>
  <c r="R37" i="2"/>
  <c r="O37" i="2"/>
  <c r="L37" i="2"/>
  <c r="I37" i="2"/>
  <c r="E37" i="2"/>
  <c r="H137" i="3" s="1"/>
  <c r="V30" i="2"/>
  <c r="W30" i="2" s="1"/>
  <c r="T30" i="2"/>
  <c r="S30" i="2"/>
  <c r="R30" i="2"/>
  <c r="O30" i="2"/>
  <c r="L30" i="2"/>
  <c r="I30" i="2"/>
  <c r="F30" i="2"/>
  <c r="U30" i="2" s="1"/>
  <c r="E30" i="2"/>
  <c r="H27" i="3" s="1"/>
  <c r="L27" i="3" s="1"/>
  <c r="AJ27" i="3" s="1"/>
  <c r="S29" i="2"/>
  <c r="Q29" i="2"/>
  <c r="H134" i="3" s="1"/>
  <c r="O29" i="2"/>
  <c r="L29" i="2"/>
  <c r="I29" i="2"/>
  <c r="F29" i="2"/>
  <c r="E29" i="2"/>
  <c r="H26" i="3" s="1"/>
  <c r="S28" i="2"/>
  <c r="Q28" i="2"/>
  <c r="H133" i="3" s="1"/>
  <c r="L28" i="2"/>
  <c r="K28" i="2"/>
  <c r="O28" i="2" s="1"/>
  <c r="I28" i="2"/>
  <c r="H28" i="2"/>
  <c r="F28" i="2"/>
  <c r="E28" i="2"/>
  <c r="V28" i="2" s="1"/>
  <c r="S27" i="2"/>
  <c r="Q27" i="2"/>
  <c r="R27" i="2" s="1"/>
  <c r="O27" i="2"/>
  <c r="L27" i="2"/>
  <c r="K27" i="2"/>
  <c r="H78" i="3" s="1"/>
  <c r="I27" i="2"/>
  <c r="U27" i="2" s="1"/>
  <c r="F27" i="2"/>
  <c r="V26" i="2"/>
  <c r="W26" i="2" s="1"/>
  <c r="T26" i="2"/>
  <c r="C58" i="2" s="1"/>
  <c r="F58" i="2" s="1"/>
  <c r="U58" i="2" s="1"/>
  <c r="S26" i="2"/>
  <c r="R26" i="2"/>
  <c r="O26" i="2"/>
  <c r="L26" i="2"/>
  <c r="I26" i="2"/>
  <c r="F26" i="2"/>
  <c r="U26" i="2" s="1"/>
  <c r="V25" i="2"/>
  <c r="T25" i="2"/>
  <c r="C57" i="2" s="1"/>
  <c r="F57" i="2" s="1"/>
  <c r="S25" i="2"/>
  <c r="R25" i="2"/>
  <c r="O25" i="2"/>
  <c r="L25" i="2"/>
  <c r="I25" i="2"/>
  <c r="F25" i="2"/>
  <c r="U25" i="2" s="1"/>
  <c r="V24" i="2"/>
  <c r="T24" i="2"/>
  <c r="S24" i="2"/>
  <c r="R24" i="2"/>
  <c r="Q24" i="2"/>
  <c r="H129" i="3" s="1"/>
  <c r="O24" i="2"/>
  <c r="L24" i="2"/>
  <c r="I24" i="2"/>
  <c r="H24" i="2"/>
  <c r="F24" i="2"/>
  <c r="U24" i="2" s="1"/>
  <c r="V23" i="2"/>
  <c r="T23" i="2"/>
  <c r="S23" i="2"/>
  <c r="R23" i="2"/>
  <c r="O23" i="2"/>
  <c r="L23" i="2"/>
  <c r="I23" i="2"/>
  <c r="I47" i="3" s="1"/>
  <c r="F23" i="2"/>
  <c r="U23" i="2" s="1"/>
  <c r="E23" i="2"/>
  <c r="T22" i="2"/>
  <c r="C54" i="2" s="1"/>
  <c r="F54" i="2" s="1"/>
  <c r="S22" i="2"/>
  <c r="R22" i="2"/>
  <c r="O22" i="2"/>
  <c r="L22" i="2"/>
  <c r="E22" i="2"/>
  <c r="H19" i="3" s="1"/>
  <c r="V21" i="2"/>
  <c r="T21" i="2"/>
  <c r="C53" i="2" s="1"/>
  <c r="F53" i="2" s="1"/>
  <c r="U53" i="2" s="1"/>
  <c r="S21" i="2"/>
  <c r="R21" i="2"/>
  <c r="O21" i="2"/>
  <c r="L21" i="2"/>
  <c r="I21" i="2"/>
  <c r="F21" i="2"/>
  <c r="U21" i="2" s="1"/>
  <c r="V20" i="2"/>
  <c r="T20" i="2"/>
  <c r="C52" i="2" s="1"/>
  <c r="F52" i="2" s="1"/>
  <c r="U52" i="2" s="1"/>
  <c r="S20" i="2"/>
  <c r="R20" i="2"/>
  <c r="Q20" i="2"/>
  <c r="H125" i="3" s="1"/>
  <c r="O20" i="2"/>
  <c r="L20" i="2"/>
  <c r="I71" i="3" s="1"/>
  <c r="I20" i="2"/>
  <c r="F20" i="2"/>
  <c r="U20" i="2" s="1"/>
  <c r="X20" i="2" s="1"/>
  <c r="V19" i="2"/>
  <c r="U19" i="2"/>
  <c r="T19" i="2"/>
  <c r="C51" i="2" s="1"/>
  <c r="F51" i="2" s="1"/>
  <c r="S19" i="2"/>
  <c r="R19" i="2"/>
  <c r="O19" i="2"/>
  <c r="L19" i="2"/>
  <c r="I19" i="2"/>
  <c r="F19" i="2"/>
  <c r="V18" i="2"/>
  <c r="T18" i="2"/>
  <c r="C50" i="2" s="1"/>
  <c r="F50" i="2" s="1"/>
  <c r="S18" i="2"/>
  <c r="R18" i="2"/>
  <c r="O18" i="2"/>
  <c r="L18" i="2"/>
  <c r="I18" i="2"/>
  <c r="U18" i="2" s="1"/>
  <c r="F18" i="2"/>
  <c r="S17" i="2"/>
  <c r="Q17" i="2"/>
  <c r="H122" i="3" s="1"/>
  <c r="O17" i="2"/>
  <c r="H17" i="2"/>
  <c r="H41" i="3" s="1"/>
  <c r="F17" i="2"/>
  <c r="T15" i="2"/>
  <c r="S15" i="2"/>
  <c r="R15" i="2"/>
  <c r="O15" i="2"/>
  <c r="K15" i="2"/>
  <c r="H66" i="3" s="1"/>
  <c r="I15" i="2"/>
  <c r="F15" i="2"/>
  <c r="E15" i="2"/>
  <c r="T14" i="2"/>
  <c r="S14" i="2"/>
  <c r="R14" i="2"/>
  <c r="O14" i="2"/>
  <c r="L14" i="2"/>
  <c r="E14" i="2"/>
  <c r="H11" i="3" s="1"/>
  <c r="T13" i="2"/>
  <c r="C45" i="2" s="1"/>
  <c r="F45" i="2" s="1"/>
  <c r="S13" i="2"/>
  <c r="R13" i="2"/>
  <c r="O13" i="2"/>
  <c r="L13" i="2"/>
  <c r="H13" i="2"/>
  <c r="H37" i="3" s="1"/>
  <c r="E13" i="2"/>
  <c r="I13" i="2" s="1"/>
  <c r="V12" i="2"/>
  <c r="W12" i="2" s="1"/>
  <c r="T12" i="2"/>
  <c r="C44" i="2" s="1"/>
  <c r="F44" i="2" s="1"/>
  <c r="U44" i="2" s="1"/>
  <c r="S12" i="2"/>
  <c r="R12" i="2"/>
  <c r="O12" i="2"/>
  <c r="L12" i="2"/>
  <c r="K12" i="2"/>
  <c r="H63" i="3" s="1"/>
  <c r="L63" i="3" s="1"/>
  <c r="AJ63" i="3" s="1"/>
  <c r="I12" i="2"/>
  <c r="F12" i="2"/>
  <c r="U12" i="2" s="1"/>
  <c r="X12" i="2" s="1"/>
  <c r="Y12" i="2" s="1"/>
  <c r="V11" i="2"/>
  <c r="T11" i="2"/>
  <c r="C43" i="2" s="1"/>
  <c r="F43" i="2" s="1"/>
  <c r="U43" i="2" s="1"/>
  <c r="S11" i="2"/>
  <c r="R11" i="2"/>
  <c r="O11" i="2"/>
  <c r="L11" i="2"/>
  <c r="I11" i="2"/>
  <c r="I35" i="3" s="1"/>
  <c r="F11" i="2"/>
  <c r="V10" i="2"/>
  <c r="W10" i="2" s="1"/>
  <c r="T10" i="2"/>
  <c r="C42" i="2" s="1"/>
  <c r="F42" i="2" s="1"/>
  <c r="U42" i="2" s="1"/>
  <c r="S10" i="2"/>
  <c r="R10" i="2"/>
  <c r="O10" i="2"/>
  <c r="L10" i="2"/>
  <c r="I10" i="2"/>
  <c r="F10" i="2"/>
  <c r="U10" i="2" s="1"/>
  <c r="V9" i="2"/>
  <c r="W9" i="2" s="1"/>
  <c r="T9" i="2"/>
  <c r="C41" i="2" s="1"/>
  <c r="F41" i="2" s="1"/>
  <c r="U41" i="2" s="1"/>
  <c r="S9" i="2"/>
  <c r="R9" i="2"/>
  <c r="O9" i="2"/>
  <c r="L9" i="2"/>
  <c r="I9" i="2"/>
  <c r="F9" i="2"/>
  <c r="U9" i="2" s="1"/>
  <c r="V8" i="2"/>
  <c r="T8" i="2"/>
  <c r="C40" i="2" s="1"/>
  <c r="F40" i="2" s="1"/>
  <c r="U40" i="2" s="1"/>
  <c r="S8" i="2"/>
  <c r="R8" i="2"/>
  <c r="O8" i="2"/>
  <c r="L8" i="2"/>
  <c r="I8" i="2"/>
  <c r="F8" i="2"/>
  <c r="U8" i="2" s="1"/>
  <c r="V7" i="2"/>
  <c r="T7" i="2"/>
  <c r="S7" i="2"/>
  <c r="R7" i="2"/>
  <c r="O7" i="2"/>
  <c r="L7" i="2"/>
  <c r="I7" i="2"/>
  <c r="F7" i="2"/>
  <c r="U7" i="2" s="1"/>
  <c r="V6" i="2"/>
  <c r="T6" i="2"/>
  <c r="C38" i="2" s="1"/>
  <c r="F38" i="2" s="1"/>
  <c r="U38" i="2" s="1"/>
  <c r="S6" i="2"/>
  <c r="R6" i="2"/>
  <c r="O6" i="2"/>
  <c r="L6" i="2"/>
  <c r="I6" i="2"/>
  <c r="F6" i="2"/>
  <c r="U6" i="2" s="1"/>
  <c r="V5" i="2"/>
  <c r="T5" i="2"/>
  <c r="C37" i="2" s="1"/>
  <c r="F37" i="2" s="1"/>
  <c r="U37" i="2" s="1"/>
  <c r="S5" i="2"/>
  <c r="R5" i="2"/>
  <c r="L5" i="2"/>
  <c r="K5" i="2"/>
  <c r="O5" i="2" s="1"/>
  <c r="I5" i="2"/>
  <c r="I29" i="3" s="1"/>
  <c r="F5" i="2"/>
  <c r="U5" i="2" s="1"/>
  <c r="B96" i="1"/>
  <c r="B90" i="1"/>
  <c r="CV89" i="1"/>
  <c r="CV88" i="1"/>
  <c r="X74" i="1"/>
  <c r="X73" i="1"/>
  <c r="X72" i="1"/>
  <c r="CG46" i="1"/>
  <c r="CH46" i="1" s="1"/>
  <c r="CH45" i="1"/>
  <c r="CG45" i="1"/>
  <c r="CV44" i="1"/>
  <c r="CG44" i="1"/>
  <c r="CH44" i="1" s="1"/>
  <c r="CV43" i="1"/>
  <c r="CG43" i="1"/>
  <c r="CD43" i="1"/>
  <c r="CB43" i="1"/>
  <c r="BM43" i="1"/>
  <c r="AT43" i="1"/>
  <c r="AP43" i="1"/>
  <c r="CG42" i="1"/>
  <c r="CD42" i="1"/>
  <c r="CB42" i="1"/>
  <c r="BU42" i="1"/>
  <c r="CC42" i="1" s="1"/>
  <c r="BM42" i="1"/>
  <c r="AT42" i="1"/>
  <c r="AP42" i="1"/>
  <c r="CG41" i="1"/>
  <c r="CH41" i="1" s="1"/>
  <c r="CD41" i="1"/>
  <c r="CB41" i="1"/>
  <c r="BU41" i="1"/>
  <c r="CC41" i="1" s="1"/>
  <c r="BM41" i="1"/>
  <c r="AT41" i="1"/>
  <c r="AP41" i="1"/>
  <c r="CG40" i="1"/>
  <c r="CD40" i="1"/>
  <c r="CB40" i="1"/>
  <c r="BU40" i="1"/>
  <c r="CC40" i="1" s="1"/>
  <c r="BM40" i="1"/>
  <c r="AT40" i="1"/>
  <c r="AP40" i="1"/>
  <c r="CG39" i="1"/>
  <c r="CH39" i="1" s="1"/>
  <c r="CD39" i="1"/>
  <c r="CB39" i="1"/>
  <c r="BU39" i="1"/>
  <c r="CC39" i="1" s="1"/>
  <c r="BM39" i="1"/>
  <c r="AT39" i="1"/>
  <c r="AP39" i="1"/>
  <c r="CG38" i="1"/>
  <c r="CD38" i="1"/>
  <c r="CB38" i="1"/>
  <c r="BU38" i="1"/>
  <c r="CC38" i="1" s="1"/>
  <c r="BM38" i="1"/>
  <c r="AT38" i="1"/>
  <c r="AP38" i="1"/>
  <c r="CG37" i="1"/>
  <c r="CH37" i="1" s="1"/>
  <c r="CD37" i="1"/>
  <c r="CB37" i="1"/>
  <c r="BU37" i="1"/>
  <c r="CC37" i="1" s="1"/>
  <c r="BM37" i="1"/>
  <c r="AT37" i="1"/>
  <c r="AP37" i="1"/>
  <c r="CG36" i="1"/>
  <c r="CH36" i="1" s="1"/>
  <c r="CD36" i="1"/>
  <c r="CB36" i="1"/>
  <c r="BU36" i="1"/>
  <c r="CC36" i="1" s="1"/>
  <c r="BM36" i="1"/>
  <c r="AT36" i="1"/>
  <c r="AP36" i="1"/>
  <c r="CG35" i="1"/>
  <c r="CH35" i="1" s="1"/>
  <c r="CD35" i="1"/>
  <c r="CB35" i="1"/>
  <c r="BU35" i="1"/>
  <c r="CC35" i="1" s="1"/>
  <c r="BM35" i="1"/>
  <c r="AT35" i="1"/>
  <c r="AP35" i="1"/>
  <c r="CG34" i="1"/>
  <c r="CH34" i="1" s="1"/>
  <c r="CD34" i="1"/>
  <c r="CB34" i="1"/>
  <c r="BU34" i="1"/>
  <c r="CC34" i="1" s="1"/>
  <c r="BM34" i="1"/>
  <c r="AT34" i="1"/>
  <c r="AP34" i="1"/>
  <c r="CH33" i="1"/>
  <c r="CG33" i="1"/>
  <c r="CD33" i="1"/>
  <c r="CB33" i="1"/>
  <c r="BU33" i="1"/>
  <c r="CC33" i="1" s="1"/>
  <c r="BM33" i="1"/>
  <c r="AP33" i="1"/>
  <c r="CH32" i="1"/>
  <c r="CG32" i="1"/>
  <c r="CD32" i="1"/>
  <c r="CB32" i="1"/>
  <c r="BM32" i="1"/>
  <c r="AP32" i="1"/>
  <c r="CH31" i="1"/>
  <c r="CG31" i="1"/>
  <c r="CD31" i="1"/>
  <c r="CB31" i="1"/>
  <c r="BU31" i="1"/>
  <c r="CC31" i="1" s="1"/>
  <c r="BM31" i="1"/>
  <c r="AT31" i="1"/>
  <c r="AP31" i="1"/>
  <c r="AM31" i="1"/>
  <c r="CH30" i="1"/>
  <c r="CG30" i="1"/>
  <c r="CD30" i="1"/>
  <c r="CB30" i="1"/>
  <c r="BU30" i="1"/>
  <c r="CC30" i="1" s="1"/>
  <c r="BM30" i="1"/>
  <c r="AT30" i="1"/>
  <c r="AP30" i="1"/>
  <c r="AM30" i="1"/>
  <c r="AE30" i="1"/>
  <c r="CG29" i="1"/>
  <c r="CH29" i="1" s="1"/>
  <c r="CD29" i="1"/>
  <c r="CB29" i="1"/>
  <c r="BU29" i="1"/>
  <c r="CC29" i="1" s="1"/>
  <c r="BO29" i="1"/>
  <c r="BM29" i="1"/>
  <c r="AP29" i="1"/>
  <c r="AM29" i="1"/>
  <c r="AF29" i="1"/>
  <c r="AE29" i="1"/>
  <c r="CT28" i="1"/>
  <c r="CU28" i="1" s="1"/>
  <c r="CH28" i="1"/>
  <c r="CG28" i="1"/>
  <c r="CD28" i="1"/>
  <c r="CB28" i="1"/>
  <c r="CA28" i="1"/>
  <c r="BZ28" i="1"/>
  <c r="BV28" i="1"/>
  <c r="BU28" i="1"/>
  <c r="CC28" i="1" s="1"/>
  <c r="BQ28" i="1"/>
  <c r="BP28" i="1"/>
  <c r="BO28" i="1"/>
  <c r="BN28" i="1"/>
  <c r="BM28" i="1"/>
  <c r="AT28" i="1"/>
  <c r="AY28" i="1" s="1"/>
  <c r="AR28" i="1"/>
  <c r="AQ28" i="1"/>
  <c r="AP28" i="1"/>
  <c r="AM28" i="1"/>
  <c r="AE28" i="1"/>
  <c r="CH27" i="1"/>
  <c r="CG27" i="1"/>
  <c r="CD27" i="1"/>
  <c r="CB27" i="1"/>
  <c r="BM27" i="1"/>
  <c r="AT27" i="1"/>
  <c r="AP27" i="1"/>
  <c r="O27" i="1"/>
  <c r="L27" i="1"/>
  <c r="J27" i="1"/>
  <c r="F27" i="1"/>
  <c r="B27" i="1"/>
  <c r="CH26" i="1"/>
  <c r="CG26" i="1"/>
  <c r="CD26" i="1"/>
  <c r="CB26" i="1"/>
  <c r="BU26" i="1"/>
  <c r="CC26" i="1" s="1"/>
  <c r="BM26" i="1"/>
  <c r="AT26" i="1"/>
  <c r="AP26" i="1"/>
  <c r="CG25" i="1"/>
  <c r="CH25" i="1" s="1"/>
  <c r="CD25" i="1"/>
  <c r="CB25" i="1"/>
  <c r="BU25" i="1"/>
  <c r="CC25" i="1" s="1"/>
  <c r="BM25" i="1"/>
  <c r="AP25" i="1"/>
  <c r="CH24" i="1"/>
  <c r="CG24" i="1"/>
  <c r="CD24" i="1"/>
  <c r="CB24" i="1"/>
  <c r="BU24" i="1"/>
  <c r="CC24" i="1" s="1"/>
  <c r="BM24" i="1"/>
  <c r="AT24" i="1"/>
  <c r="AP24" i="1"/>
  <c r="CH23" i="1"/>
  <c r="CG23" i="1"/>
  <c r="CD23" i="1"/>
  <c r="CB23" i="1"/>
  <c r="BU23" i="1"/>
  <c r="BM23" i="1"/>
  <c r="AT23" i="1"/>
  <c r="AP23" i="1"/>
  <c r="CG22" i="1"/>
  <c r="CH22" i="1" s="1"/>
  <c r="CD22" i="1"/>
  <c r="CB22" i="1"/>
  <c r="BO22" i="1"/>
  <c r="BM22" i="1"/>
  <c r="AP22" i="1"/>
  <c r="CH21" i="1"/>
  <c r="CG21" i="1"/>
  <c r="CD21" i="1"/>
  <c r="CB21" i="1"/>
  <c r="BU21" i="1"/>
  <c r="BM21" i="1"/>
  <c r="AT21" i="1"/>
  <c r="AP21" i="1"/>
  <c r="CG20" i="1"/>
  <c r="CH20" i="1" s="1"/>
  <c r="CD20" i="1"/>
  <c r="CB20" i="1"/>
  <c r="BU20" i="1"/>
  <c r="CC20" i="1" s="1"/>
  <c r="BO20" i="1"/>
  <c r="BM20" i="1"/>
  <c r="AP20" i="1"/>
  <c r="CG19" i="1"/>
  <c r="CH19" i="1" s="1"/>
  <c r="CD19" i="1"/>
  <c r="CC19" i="1"/>
  <c r="CB19" i="1"/>
  <c r="BU19" i="1"/>
  <c r="BM19" i="1"/>
  <c r="AP19" i="1"/>
  <c r="CG18" i="1"/>
  <c r="CH18" i="1" s="1"/>
  <c r="CD18" i="1"/>
  <c r="CC18" i="1"/>
  <c r="CB18" i="1"/>
  <c r="BU18" i="1"/>
  <c r="BM18" i="1"/>
  <c r="AP18" i="1"/>
  <c r="AJ18" i="1"/>
  <c r="AH18" i="1" s="1"/>
  <c r="AF18" i="1"/>
  <c r="AE18" i="1"/>
  <c r="CG17" i="1"/>
  <c r="CH17" i="1" s="1"/>
  <c r="CD17" i="1"/>
  <c r="CB17" i="1"/>
  <c r="BU17" i="1"/>
  <c r="CC17" i="1" s="1"/>
  <c r="BM17" i="1"/>
  <c r="AP17" i="1"/>
  <c r="AE17" i="1"/>
  <c r="AA30" i="2" l="1"/>
  <c r="AC30" i="2" s="1"/>
  <c r="C36" i="4"/>
  <c r="C39" i="4" s="1"/>
  <c r="AA24" i="2"/>
  <c r="AC24" i="2" s="1"/>
  <c r="AA5" i="2"/>
  <c r="AC5" i="2" s="1"/>
  <c r="AA9" i="2"/>
  <c r="AC9" i="2" s="1"/>
  <c r="AA14" i="2"/>
  <c r="AC14" i="2" s="1"/>
  <c r="AA18" i="2"/>
  <c r="AC18" i="2" s="1"/>
  <c r="AA19" i="2"/>
  <c r="AC19" i="2" s="1"/>
  <c r="AA20" i="2"/>
  <c r="AC20" i="2" s="1"/>
  <c r="AA6" i="2"/>
  <c r="AC6" i="2" s="1"/>
  <c r="AA12" i="2"/>
  <c r="AC12" i="2" s="1"/>
  <c r="AA21" i="2"/>
  <c r="AC21" i="2" s="1"/>
  <c r="AA23" i="2"/>
  <c r="AC23" i="2" s="1"/>
  <c r="AA8" i="2"/>
  <c r="AC8" i="2" s="1"/>
  <c r="AA7" i="2"/>
  <c r="AC7" i="2" s="1"/>
  <c r="AA17" i="2"/>
  <c r="AC17" i="2" s="1"/>
  <c r="AA26" i="2"/>
  <c r="AC26" i="2" s="1"/>
  <c r="AA27" i="2"/>
  <c r="AC27" i="2" s="1"/>
  <c r="AA22" i="2"/>
  <c r="AC22" i="2" s="1"/>
  <c r="AA25" i="2"/>
  <c r="AC25" i="2" s="1"/>
  <c r="AA11" i="2"/>
  <c r="AC11" i="2" s="1"/>
  <c r="AA15" i="2"/>
  <c r="AC15" i="2" s="1"/>
  <c r="AA28" i="2"/>
  <c r="AC28" i="2" s="1"/>
  <c r="AA29" i="2"/>
  <c r="AC29" i="2" s="1"/>
  <c r="AA13" i="2"/>
  <c r="AC13" i="2" s="1"/>
  <c r="CC21" i="1"/>
  <c r="BY28" i="1"/>
  <c r="BX28" i="1"/>
  <c r="BT28" i="1"/>
  <c r="BS28" i="1"/>
  <c r="BR28" i="1"/>
  <c r="L26" i="3"/>
  <c r="I26" i="3"/>
  <c r="U69" i="2"/>
  <c r="U47" i="2"/>
  <c r="O459" i="3"/>
  <c r="AI459" i="3"/>
  <c r="D6" i="5"/>
  <c r="BO19" i="1"/>
  <c r="D8" i="5"/>
  <c r="BO21" i="1"/>
  <c r="D13" i="5"/>
  <c r="BO26" i="1"/>
  <c r="AI2" i="3"/>
  <c r="O2" i="3"/>
  <c r="AT22" i="1"/>
  <c r="CC23" i="1"/>
  <c r="BW28" i="1"/>
  <c r="O71" i="3"/>
  <c r="AI71" i="3"/>
  <c r="X26" i="2"/>
  <c r="Z109" i="2"/>
  <c r="U108" i="2"/>
  <c r="U123" i="2"/>
  <c r="I629" i="3"/>
  <c r="U141" i="2"/>
  <c r="Z117" i="2"/>
  <c r="U116" i="2"/>
  <c r="D26" i="5"/>
  <c r="BO39" i="1"/>
  <c r="AI5" i="3"/>
  <c r="O5" i="3"/>
  <c r="AT18" i="1"/>
  <c r="AT19" i="1"/>
  <c r="L19" i="3"/>
  <c r="AJ19" i="3" s="1"/>
  <c r="O47" i="3"/>
  <c r="AI47" i="3"/>
  <c r="X24" i="2"/>
  <c r="AI521" i="3"/>
  <c r="O521" i="3"/>
  <c r="I645" i="3"/>
  <c r="U157" i="2"/>
  <c r="D22" i="5"/>
  <c r="BO35" i="1"/>
  <c r="D23" i="5"/>
  <c r="BO36" i="1"/>
  <c r="D25" i="5"/>
  <c r="BO38" i="1"/>
  <c r="D27" i="5"/>
  <c r="BO40" i="1"/>
  <c r="D29" i="5"/>
  <c r="BO42" i="1"/>
  <c r="AH37" i="1"/>
  <c r="O29" i="3"/>
  <c r="AI29" i="3"/>
  <c r="W8" i="2"/>
  <c r="O35" i="3"/>
  <c r="AI35" i="3"/>
  <c r="L11" i="3"/>
  <c r="AJ11" i="3" s="1"/>
  <c r="AI355" i="3"/>
  <c r="O355" i="3"/>
  <c r="Z110" i="2"/>
  <c r="D10" i="5"/>
  <c r="BO23" i="1"/>
  <c r="D12" i="5"/>
  <c r="BO25" i="1"/>
  <c r="D14" i="5"/>
  <c r="BO27" i="1"/>
  <c r="D18" i="5"/>
  <c r="BO31" i="1"/>
  <c r="D21" i="5"/>
  <c r="BO34" i="1"/>
  <c r="L41" i="3"/>
  <c r="AJ41" i="3" s="1"/>
  <c r="I133" i="3"/>
  <c r="L133" i="3"/>
  <c r="AJ133" i="3" s="1"/>
  <c r="L134" i="3"/>
  <c r="AJ134" i="3" s="1"/>
  <c r="AI307" i="3"/>
  <c r="O307" i="3"/>
  <c r="L351" i="3"/>
  <c r="I351" i="3"/>
  <c r="L434" i="3"/>
  <c r="AJ434" i="3" s="1"/>
  <c r="L489" i="3"/>
  <c r="I489" i="3"/>
  <c r="L419" i="3"/>
  <c r="I419" i="3"/>
  <c r="L501" i="3"/>
  <c r="I501" i="3"/>
  <c r="L504" i="3"/>
  <c r="AJ504" i="3" s="1"/>
  <c r="I480" i="3"/>
  <c r="L480" i="3"/>
  <c r="AJ480" i="3" s="1"/>
  <c r="AT17" i="1"/>
  <c r="AT20" i="1"/>
  <c r="BO24" i="1"/>
  <c r="AT25" i="1"/>
  <c r="BU27" i="1"/>
  <c r="CC27" i="1" s="1"/>
  <c r="AT29" i="1"/>
  <c r="BO30" i="1"/>
  <c r="AT32" i="1"/>
  <c r="AT33" i="1"/>
  <c r="BO33" i="1"/>
  <c r="CH38" i="1"/>
  <c r="CH40" i="1"/>
  <c r="CH42" i="1"/>
  <c r="CH43" i="1"/>
  <c r="F13" i="2"/>
  <c r="U13" i="2" s="1"/>
  <c r="F14" i="2"/>
  <c r="V14" i="2"/>
  <c r="W14" i="2" s="1"/>
  <c r="V15" i="2"/>
  <c r="I17" i="2"/>
  <c r="R17" i="2"/>
  <c r="V17" i="2"/>
  <c r="F22" i="2"/>
  <c r="I19" i="3" s="1"/>
  <c r="V22" i="2"/>
  <c r="T27" i="2"/>
  <c r="C59" i="2" s="1"/>
  <c r="F59" i="2" s="1"/>
  <c r="R28" i="2"/>
  <c r="U28" i="2" s="1"/>
  <c r="X28" i="2" s="1"/>
  <c r="R29" i="2"/>
  <c r="I134" i="3" s="1"/>
  <c r="V29" i="2"/>
  <c r="W29" i="2" s="1"/>
  <c r="I45" i="2"/>
  <c r="U45" i="2" s="1"/>
  <c r="V45" i="2"/>
  <c r="I257" i="3"/>
  <c r="L257" i="3"/>
  <c r="AJ257" i="3" s="1"/>
  <c r="I258" i="3"/>
  <c r="L258" i="3"/>
  <c r="AJ258" i="3" s="1"/>
  <c r="I233" i="3"/>
  <c r="L233" i="3"/>
  <c r="AJ233" i="3" s="1"/>
  <c r="I234" i="3"/>
  <c r="L234" i="3"/>
  <c r="AJ234" i="3" s="1"/>
  <c r="T54" i="2"/>
  <c r="C85" i="2" s="1"/>
  <c r="F85" i="2" s="1"/>
  <c r="U85" i="2" s="1"/>
  <c r="O55" i="2"/>
  <c r="U55" i="2" s="1"/>
  <c r="X23" i="2" s="1"/>
  <c r="R57" i="2"/>
  <c r="U57" i="2" s="1"/>
  <c r="X25" i="2" s="1"/>
  <c r="V57" i="2"/>
  <c r="W25" i="2" s="1"/>
  <c r="T59" i="2"/>
  <c r="C90" i="2" s="1"/>
  <c r="F90" i="2" s="1"/>
  <c r="O61" i="2"/>
  <c r="T61" i="2"/>
  <c r="C92" i="2" s="1"/>
  <c r="F92" i="2" s="1"/>
  <c r="I270" i="3"/>
  <c r="L270" i="3"/>
  <c r="AJ270" i="3" s="1"/>
  <c r="V69" i="2"/>
  <c r="R70" i="2"/>
  <c r="U70" i="2" s="1"/>
  <c r="X7" i="2" s="1"/>
  <c r="Y7" i="2" s="1"/>
  <c r="V70" i="2"/>
  <c r="W7" i="2" s="1"/>
  <c r="AI359" i="3"/>
  <c r="O359" i="3"/>
  <c r="I334" i="3"/>
  <c r="L334" i="3"/>
  <c r="AJ334" i="3" s="1"/>
  <c r="R76" i="2"/>
  <c r="V76" i="2"/>
  <c r="L335" i="3"/>
  <c r="I335" i="3"/>
  <c r="I284" i="3"/>
  <c r="L284" i="3"/>
  <c r="I288" i="3"/>
  <c r="L288" i="3"/>
  <c r="T84" i="2"/>
  <c r="C118" i="2" s="1"/>
  <c r="F118" i="2" s="1"/>
  <c r="I350" i="3"/>
  <c r="L350" i="3"/>
  <c r="AJ350" i="3" s="1"/>
  <c r="L93" i="2"/>
  <c r="U93" i="2" s="1"/>
  <c r="X30" i="2" s="1"/>
  <c r="Y30" i="2" s="1"/>
  <c r="I101" i="2"/>
  <c r="U101" i="2" s="1"/>
  <c r="V101" i="2"/>
  <c r="W5" i="2" s="1"/>
  <c r="L435" i="3"/>
  <c r="I435" i="3"/>
  <c r="O102" i="2"/>
  <c r="X6" i="2" s="1"/>
  <c r="I104" i="2"/>
  <c r="U104" i="2" s="1"/>
  <c r="V104" i="2"/>
  <c r="O105" i="2"/>
  <c r="L493" i="3"/>
  <c r="I493" i="3"/>
  <c r="I442" i="3"/>
  <c r="L442" i="3"/>
  <c r="AJ442" i="3" s="1"/>
  <c r="O109" i="2"/>
  <c r="O111" i="2"/>
  <c r="U111" i="2" s="1"/>
  <c r="O113" i="2"/>
  <c r="O114" i="2"/>
  <c r="O115" i="2"/>
  <c r="I422" i="3"/>
  <c r="L422" i="3"/>
  <c r="AJ422" i="3" s="1"/>
  <c r="I476" i="3"/>
  <c r="L476" i="3"/>
  <c r="AJ476" i="3" s="1"/>
  <c r="V116" i="2"/>
  <c r="O117" i="2"/>
  <c r="I504" i="3" s="1"/>
  <c r="L118" i="2"/>
  <c r="I119" i="2"/>
  <c r="U119" i="2" s="1"/>
  <c r="I454" i="3"/>
  <c r="L454" i="3"/>
  <c r="AJ454" i="3" s="1"/>
  <c r="I508" i="3"/>
  <c r="L508" i="3"/>
  <c r="AJ508" i="3" s="1"/>
  <c r="I124" i="2"/>
  <c r="U124" i="2" s="1"/>
  <c r="V124" i="2"/>
  <c r="I458" i="3"/>
  <c r="L458" i="3"/>
  <c r="AJ458" i="3" s="1"/>
  <c r="I512" i="3"/>
  <c r="L512" i="3"/>
  <c r="AJ512" i="3" s="1"/>
  <c r="L126" i="2"/>
  <c r="U126" i="2" s="1"/>
  <c r="B11" i="7"/>
  <c r="D11" i="7" s="1"/>
  <c r="B12" i="7"/>
  <c r="D12" i="7" s="1"/>
  <c r="C38" i="4"/>
  <c r="C37" i="4"/>
  <c r="CW5" i="4"/>
  <c r="B7" i="7"/>
  <c r="D7" i="7" s="1"/>
  <c r="G2" i="3"/>
  <c r="AH2" i="3"/>
  <c r="N2" i="3"/>
  <c r="J2" i="3"/>
  <c r="K2" i="3" s="1"/>
  <c r="F2" i="3"/>
  <c r="I3" i="3"/>
  <c r="R3" i="3"/>
  <c r="AJ17" i="1" s="1"/>
  <c r="A81" i="3"/>
  <c r="B81" i="3" s="1"/>
  <c r="A77" i="3"/>
  <c r="A73" i="3"/>
  <c r="B73" i="3" s="1"/>
  <c r="A69" i="3"/>
  <c r="B69" i="3" s="1"/>
  <c r="A65" i="3"/>
  <c r="B65" i="3" s="1"/>
  <c r="A61" i="3"/>
  <c r="A57" i="3"/>
  <c r="B57" i="3" s="1"/>
  <c r="A82" i="3"/>
  <c r="B82" i="3" s="1"/>
  <c r="A78" i="3"/>
  <c r="B78" i="3" s="1"/>
  <c r="A74" i="3"/>
  <c r="B74" i="3" s="1"/>
  <c r="A70" i="3"/>
  <c r="B70" i="3" s="1"/>
  <c r="A66" i="3"/>
  <c r="B66" i="3" s="1"/>
  <c r="A62" i="3"/>
  <c r="B62" i="3" s="1"/>
  <c r="A58" i="3"/>
  <c r="B58" i="3" s="1"/>
  <c r="A79" i="3"/>
  <c r="B79" i="3" s="1"/>
  <c r="A76" i="3"/>
  <c r="B76" i="3" s="1"/>
  <c r="A71" i="3"/>
  <c r="B71" i="3" s="1"/>
  <c r="A68" i="3"/>
  <c r="B68" i="3" s="1"/>
  <c r="A63" i="3"/>
  <c r="B63" i="3" s="1"/>
  <c r="A60" i="3"/>
  <c r="B60" i="3" s="1"/>
  <c r="A80" i="3"/>
  <c r="B80" i="3" s="1"/>
  <c r="A75" i="3"/>
  <c r="B75" i="3" s="1"/>
  <c r="A72" i="3"/>
  <c r="B72" i="3" s="1"/>
  <c r="A67" i="3"/>
  <c r="B67" i="3" s="1"/>
  <c r="A64" i="3"/>
  <c r="B64" i="3" s="1"/>
  <c r="A59" i="3"/>
  <c r="B59" i="3" s="1"/>
  <c r="A56" i="3"/>
  <c r="B56" i="3" s="1"/>
  <c r="G5" i="3"/>
  <c r="BV20" i="1" s="1"/>
  <c r="BW20" i="1" s="1"/>
  <c r="AH5" i="3"/>
  <c r="J5" i="3"/>
  <c r="K5" i="3" s="1"/>
  <c r="F5" i="3"/>
  <c r="M5" i="3"/>
  <c r="AC5" i="3"/>
  <c r="A6" i="3"/>
  <c r="B6" i="3" s="1"/>
  <c r="H6" i="3"/>
  <c r="I7" i="3"/>
  <c r="R7" i="3"/>
  <c r="AJ21" i="1" s="1"/>
  <c r="A241" i="3"/>
  <c r="B241" i="3" s="1"/>
  <c r="A237" i="3"/>
  <c r="B237" i="3" s="1"/>
  <c r="A233" i="3"/>
  <c r="B233" i="3" s="1"/>
  <c r="A229" i="3"/>
  <c r="B229" i="3" s="1"/>
  <c r="A225" i="3"/>
  <c r="B225" i="3" s="1"/>
  <c r="A221" i="3"/>
  <c r="B221" i="3" s="1"/>
  <c r="A242" i="3"/>
  <c r="B242" i="3" s="1"/>
  <c r="A238" i="3"/>
  <c r="B238" i="3" s="1"/>
  <c r="A234" i="3"/>
  <c r="B234" i="3" s="1"/>
  <c r="A230" i="3"/>
  <c r="B230" i="3" s="1"/>
  <c r="A226" i="3"/>
  <c r="B226" i="3" s="1"/>
  <c r="A222" i="3"/>
  <c r="B222" i="3" s="1"/>
  <c r="A218" i="3"/>
  <c r="B218" i="3" s="1"/>
  <c r="A244" i="3"/>
  <c r="B244" i="3" s="1"/>
  <c r="A240" i="3"/>
  <c r="A236" i="3"/>
  <c r="A232" i="3"/>
  <c r="A228" i="3"/>
  <c r="A224" i="3"/>
  <c r="A220" i="3"/>
  <c r="A235" i="3"/>
  <c r="B235" i="3" s="1"/>
  <c r="A231" i="3"/>
  <c r="B231" i="3" s="1"/>
  <c r="A243" i="3"/>
  <c r="B243" i="3" s="1"/>
  <c r="A227" i="3"/>
  <c r="B227" i="3" s="1"/>
  <c r="A223" i="3"/>
  <c r="B223" i="3" s="1"/>
  <c r="A239" i="3"/>
  <c r="B239" i="3" s="1"/>
  <c r="A219" i="3"/>
  <c r="B219" i="3" s="1"/>
  <c r="AH11" i="3"/>
  <c r="R11" i="3"/>
  <c r="AJ25" i="1" s="1"/>
  <c r="A350" i="3"/>
  <c r="B350" i="3" s="1"/>
  <c r="A346" i="3"/>
  <c r="B346" i="3" s="1"/>
  <c r="A342" i="3"/>
  <c r="B342" i="3" s="1"/>
  <c r="A338" i="3"/>
  <c r="B338" i="3" s="1"/>
  <c r="A334" i="3"/>
  <c r="B334" i="3" s="1"/>
  <c r="A330" i="3"/>
  <c r="B330" i="3" s="1"/>
  <c r="A326" i="3"/>
  <c r="B326" i="3" s="1"/>
  <c r="A349" i="3"/>
  <c r="B349" i="3" s="1"/>
  <c r="A345" i="3"/>
  <c r="B345" i="3" s="1"/>
  <c r="A341" i="3"/>
  <c r="B341" i="3" s="1"/>
  <c r="A337" i="3"/>
  <c r="B337" i="3" s="1"/>
  <c r="A333" i="3"/>
  <c r="B333" i="3" s="1"/>
  <c r="A351" i="3"/>
  <c r="B351" i="3" s="1"/>
  <c r="A347" i="3"/>
  <c r="B347" i="3" s="1"/>
  <c r="A343" i="3"/>
  <c r="B343" i="3" s="1"/>
  <c r="A339" i="3"/>
  <c r="B339" i="3" s="1"/>
  <c r="A344" i="3"/>
  <c r="B344" i="3" s="1"/>
  <c r="A352" i="3"/>
  <c r="B352" i="3" s="1"/>
  <c r="A348" i="3"/>
  <c r="B348" i="3" s="1"/>
  <c r="A336" i="3"/>
  <c r="B336" i="3" s="1"/>
  <c r="A331" i="3"/>
  <c r="B331" i="3" s="1"/>
  <c r="A335" i="3"/>
  <c r="B335" i="3" s="1"/>
  <c r="A328" i="3"/>
  <c r="B328" i="3" s="1"/>
  <c r="A327" i="3"/>
  <c r="B327" i="3" s="1"/>
  <c r="A340" i="3"/>
  <c r="B340" i="3" s="1"/>
  <c r="A332" i="3"/>
  <c r="B332" i="3" s="1"/>
  <c r="A329" i="3"/>
  <c r="B329" i="3" s="1"/>
  <c r="R15" i="3"/>
  <c r="AJ29" i="1" s="1"/>
  <c r="A457" i="3"/>
  <c r="B457" i="3" s="1"/>
  <c r="A453" i="3"/>
  <c r="B453" i="3" s="1"/>
  <c r="A449" i="3"/>
  <c r="B449" i="3" s="1"/>
  <c r="A445" i="3"/>
  <c r="B445" i="3" s="1"/>
  <c r="A441" i="3"/>
  <c r="B441" i="3" s="1"/>
  <c r="A437" i="3"/>
  <c r="B437" i="3" s="1"/>
  <c r="A458" i="3"/>
  <c r="B458" i="3" s="1"/>
  <c r="A454" i="3"/>
  <c r="B454" i="3" s="1"/>
  <c r="A450" i="3"/>
  <c r="B450" i="3" s="1"/>
  <c r="A446" i="3"/>
  <c r="B446" i="3" s="1"/>
  <c r="A442" i="3"/>
  <c r="B442" i="3" s="1"/>
  <c r="A438" i="3"/>
  <c r="B438" i="3" s="1"/>
  <c r="A434" i="3"/>
  <c r="B434" i="3" s="1"/>
  <c r="A459" i="3"/>
  <c r="B459" i="3" s="1"/>
  <c r="A460" i="3"/>
  <c r="B460" i="3" s="1"/>
  <c r="A455" i="3"/>
  <c r="B455" i="3" s="1"/>
  <c r="A452" i="3"/>
  <c r="B452" i="3" s="1"/>
  <c r="A447" i="3"/>
  <c r="B447" i="3" s="1"/>
  <c r="A444" i="3"/>
  <c r="B444" i="3" s="1"/>
  <c r="A456" i="3"/>
  <c r="B456" i="3" s="1"/>
  <c r="A440" i="3"/>
  <c r="B440" i="3" s="1"/>
  <c r="A439" i="3"/>
  <c r="B439" i="3" s="1"/>
  <c r="A435" i="3"/>
  <c r="B435" i="3" s="1"/>
  <c r="A448" i="3"/>
  <c r="B448" i="3" s="1"/>
  <c r="A451" i="3"/>
  <c r="B451" i="3" s="1"/>
  <c r="A443" i="3"/>
  <c r="B443" i="3" s="1"/>
  <c r="A436" i="3"/>
  <c r="B436" i="3" s="1"/>
  <c r="AH19" i="3"/>
  <c r="R19" i="3"/>
  <c r="AJ33" i="1" s="1"/>
  <c r="N19" i="3"/>
  <c r="A568" i="3"/>
  <c r="B568" i="3" s="1"/>
  <c r="A564" i="3"/>
  <c r="B564" i="3" s="1"/>
  <c r="A560" i="3"/>
  <c r="B560" i="3" s="1"/>
  <c r="A556" i="3"/>
  <c r="B556" i="3" s="1"/>
  <c r="A552" i="3"/>
  <c r="B552" i="3" s="1"/>
  <c r="A548" i="3"/>
  <c r="B548" i="3" s="1"/>
  <c r="A544" i="3"/>
  <c r="B544" i="3" s="1"/>
  <c r="A565" i="3"/>
  <c r="B565" i="3" s="1"/>
  <c r="A561" i="3"/>
  <c r="B561" i="3" s="1"/>
  <c r="A557" i="3"/>
  <c r="B557" i="3" s="1"/>
  <c r="A553" i="3"/>
  <c r="B553" i="3" s="1"/>
  <c r="A549" i="3"/>
  <c r="B549" i="3" s="1"/>
  <c r="A545" i="3"/>
  <c r="B545" i="3" s="1"/>
  <c r="A566" i="3"/>
  <c r="B566" i="3" s="1"/>
  <c r="A563" i="3"/>
  <c r="B563" i="3" s="1"/>
  <c r="A562" i="3"/>
  <c r="B562" i="3" s="1"/>
  <c r="A559" i="3"/>
  <c r="B559" i="3" s="1"/>
  <c r="A558" i="3"/>
  <c r="B558" i="3" s="1"/>
  <c r="A555" i="3"/>
  <c r="B555" i="3" s="1"/>
  <c r="A554" i="3"/>
  <c r="B554" i="3" s="1"/>
  <c r="A551" i="3"/>
  <c r="B551" i="3" s="1"/>
  <c r="A550" i="3"/>
  <c r="B550" i="3" s="1"/>
  <c r="A547" i="3"/>
  <c r="B547" i="3" s="1"/>
  <c r="A546" i="3"/>
  <c r="B546" i="3" s="1"/>
  <c r="A543" i="3"/>
  <c r="B543" i="3" s="1"/>
  <c r="A542" i="3"/>
  <c r="B542" i="3" s="1"/>
  <c r="A567" i="3"/>
  <c r="B567" i="3" s="1"/>
  <c r="AH23" i="3"/>
  <c r="G31" i="3"/>
  <c r="J31" i="3"/>
  <c r="F31" i="3"/>
  <c r="AG31" i="3"/>
  <c r="H31" i="3"/>
  <c r="N49" i="3"/>
  <c r="O55" i="3"/>
  <c r="K55" i="3"/>
  <c r="AI55" i="3"/>
  <c r="G59" i="3"/>
  <c r="J59" i="3"/>
  <c r="F59" i="3"/>
  <c r="AG59" i="3"/>
  <c r="M59" i="3" s="1"/>
  <c r="H59" i="3"/>
  <c r="I63" i="3"/>
  <c r="N81" i="3"/>
  <c r="G83" i="3"/>
  <c r="J83" i="3"/>
  <c r="F83" i="3"/>
  <c r="AG83" i="3"/>
  <c r="H83" i="3"/>
  <c r="N89" i="3"/>
  <c r="I150" i="3"/>
  <c r="L150" i="3"/>
  <c r="AJ150" i="3" s="1"/>
  <c r="BU22" i="1"/>
  <c r="CC22" i="1" s="1"/>
  <c r="BO37" i="1"/>
  <c r="BO41" i="1"/>
  <c r="U11" i="2"/>
  <c r="I37" i="3"/>
  <c r="L37" i="3"/>
  <c r="AJ37" i="3" s="1"/>
  <c r="V13" i="2"/>
  <c r="I14" i="2"/>
  <c r="L66" i="3"/>
  <c r="AJ66" i="3" s="1"/>
  <c r="L17" i="2"/>
  <c r="I22" i="2"/>
  <c r="I50" i="2"/>
  <c r="I177" i="3" s="1"/>
  <c r="V50" i="2"/>
  <c r="W18" i="2" s="1"/>
  <c r="I51" i="2"/>
  <c r="U51" i="2" s="1"/>
  <c r="L262" i="3"/>
  <c r="AJ262" i="3" s="1"/>
  <c r="I269" i="3"/>
  <c r="L269" i="3"/>
  <c r="AJ269" i="3" s="1"/>
  <c r="I68" i="2"/>
  <c r="U68" i="2" s="1"/>
  <c r="X5" i="2" s="1"/>
  <c r="Y5" i="2" s="1"/>
  <c r="AI331" i="3"/>
  <c r="K331" i="3"/>
  <c r="O331" i="3"/>
  <c r="I280" i="3"/>
  <c r="L280" i="3"/>
  <c r="I282" i="3"/>
  <c r="L282" i="3"/>
  <c r="AJ282" i="3" s="1"/>
  <c r="AI363" i="3"/>
  <c r="O363" i="3"/>
  <c r="K363" i="3"/>
  <c r="AI339" i="3"/>
  <c r="O339" i="3"/>
  <c r="I367" i="3"/>
  <c r="L367" i="3"/>
  <c r="O320" i="3"/>
  <c r="K320" i="3"/>
  <c r="AI320" i="3"/>
  <c r="L375" i="3"/>
  <c r="L378" i="3"/>
  <c r="AJ378" i="3" s="1"/>
  <c r="L407" i="3"/>
  <c r="I407" i="3"/>
  <c r="L101" i="2"/>
  <c r="R102" i="2"/>
  <c r="I516" i="3" s="1"/>
  <c r="V102" i="2"/>
  <c r="I105" i="2"/>
  <c r="U105" i="2" s="1"/>
  <c r="R105" i="2"/>
  <c r="I414" i="3"/>
  <c r="L414" i="3"/>
  <c r="AJ414" i="3" s="1"/>
  <c r="R109" i="2"/>
  <c r="V109" i="2"/>
  <c r="L497" i="3"/>
  <c r="R111" i="2"/>
  <c r="I113" i="2"/>
  <c r="U113" i="2" s="1"/>
  <c r="R113" i="2"/>
  <c r="V113" i="2"/>
  <c r="I114" i="2"/>
  <c r="Z115" i="2" s="1"/>
  <c r="R114" i="2"/>
  <c r="I115" i="2"/>
  <c r="Z116" i="2" s="1"/>
  <c r="R117" i="2"/>
  <c r="V117" i="2"/>
  <c r="L505" i="3"/>
  <c r="I505" i="3"/>
  <c r="L509" i="3"/>
  <c r="I509" i="3"/>
  <c r="I430" i="3"/>
  <c r="L430" i="3"/>
  <c r="AJ430" i="3" s="1"/>
  <c r="I484" i="3"/>
  <c r="L484" i="3"/>
  <c r="AJ484" i="3" s="1"/>
  <c r="L513" i="3"/>
  <c r="I513" i="3"/>
  <c r="CR5" i="4"/>
  <c r="CR19" i="4"/>
  <c r="R27" i="3"/>
  <c r="AJ41" i="1" s="1"/>
  <c r="A27" i="3"/>
  <c r="B27" i="3" s="1"/>
  <c r="A26" i="3"/>
  <c r="B26" i="3" s="1"/>
  <c r="A22" i="3"/>
  <c r="B22" i="3" s="1"/>
  <c r="R21" i="3"/>
  <c r="AJ35" i="1" s="1"/>
  <c r="A18" i="3"/>
  <c r="B18" i="3" s="1"/>
  <c r="R17" i="3"/>
  <c r="AJ31" i="1" s="1"/>
  <c r="A14" i="3"/>
  <c r="B14" i="3" s="1"/>
  <c r="R13" i="3"/>
  <c r="AJ27" i="1" s="1"/>
  <c r="A10" i="3"/>
  <c r="B10" i="3" s="1"/>
  <c r="R9" i="3"/>
  <c r="AJ23" i="1" s="1"/>
  <c r="R26" i="3"/>
  <c r="AJ40" i="1" s="1"/>
  <c r="R25" i="3"/>
  <c r="AJ39" i="1" s="1"/>
  <c r="A23" i="3"/>
  <c r="B23" i="3" s="1"/>
  <c r="R22" i="3"/>
  <c r="AJ36" i="1" s="1"/>
  <c r="A19" i="3"/>
  <c r="B19" i="3" s="1"/>
  <c r="R18" i="3"/>
  <c r="AJ32" i="1" s="1"/>
  <c r="A15" i="3"/>
  <c r="B15" i="3" s="1"/>
  <c r="R14" i="3"/>
  <c r="AJ28" i="1" s="1"/>
  <c r="A11" i="3"/>
  <c r="B11" i="3" s="1"/>
  <c r="R10" i="3"/>
  <c r="AJ24" i="1" s="1"/>
  <c r="A28" i="3"/>
  <c r="B28" i="3" s="1"/>
  <c r="A53" i="3"/>
  <c r="B53" i="3" s="1"/>
  <c r="A49" i="3"/>
  <c r="B49" i="3" s="1"/>
  <c r="A45" i="3"/>
  <c r="A41" i="3"/>
  <c r="B41" i="3" s="1"/>
  <c r="A37" i="3"/>
  <c r="A33" i="3"/>
  <c r="A54" i="3"/>
  <c r="B54" i="3" s="1"/>
  <c r="A50" i="3"/>
  <c r="B50" i="3" s="1"/>
  <c r="A46" i="3"/>
  <c r="B46" i="3" s="1"/>
  <c r="A42" i="3"/>
  <c r="B42" i="3" s="1"/>
  <c r="A38" i="3"/>
  <c r="B38" i="3" s="1"/>
  <c r="A34" i="3"/>
  <c r="B34" i="3" s="1"/>
  <c r="A30" i="3"/>
  <c r="B30" i="3" s="1"/>
  <c r="A55" i="3"/>
  <c r="B55" i="3" s="1"/>
  <c r="A52" i="3"/>
  <c r="B52" i="3" s="1"/>
  <c r="A47" i="3"/>
  <c r="B47" i="3" s="1"/>
  <c r="A44" i="3"/>
  <c r="B44" i="3" s="1"/>
  <c r="A35" i="3"/>
  <c r="B35" i="3" s="1"/>
  <c r="A32" i="3"/>
  <c r="B32" i="3" s="1"/>
  <c r="A29" i="3"/>
  <c r="B29" i="3" s="1"/>
  <c r="A40" i="3"/>
  <c r="B40" i="3" s="1"/>
  <c r="A51" i="3"/>
  <c r="B51" i="3" s="1"/>
  <c r="A48" i="3"/>
  <c r="B48" i="3" s="1"/>
  <c r="A43" i="3"/>
  <c r="B43" i="3" s="1"/>
  <c r="A36" i="3"/>
  <c r="B36" i="3" s="1"/>
  <c r="A31" i="3"/>
  <c r="B31" i="3" s="1"/>
  <c r="G4" i="3"/>
  <c r="BV19" i="1" s="1"/>
  <c r="BW19" i="1" s="1"/>
  <c r="J4" i="3"/>
  <c r="F4" i="3"/>
  <c r="A5" i="3"/>
  <c r="B5" i="3" s="1"/>
  <c r="R6" i="3"/>
  <c r="AJ20" i="1" s="1"/>
  <c r="A161" i="3"/>
  <c r="B161" i="3" s="1"/>
  <c r="A157" i="3"/>
  <c r="B157" i="3" s="1"/>
  <c r="A153" i="3"/>
  <c r="B153" i="3" s="1"/>
  <c r="A149" i="3"/>
  <c r="B149" i="3" s="1"/>
  <c r="A145" i="3"/>
  <c r="B145" i="3" s="1"/>
  <c r="A141" i="3"/>
  <c r="B141" i="3" s="1"/>
  <c r="A137" i="3"/>
  <c r="B137" i="3" s="1"/>
  <c r="A162" i="3"/>
  <c r="B162" i="3" s="1"/>
  <c r="A158" i="3"/>
  <c r="B158" i="3" s="1"/>
  <c r="A154" i="3"/>
  <c r="B154" i="3" s="1"/>
  <c r="A150" i="3"/>
  <c r="B150" i="3" s="1"/>
  <c r="A146" i="3"/>
  <c r="B146" i="3" s="1"/>
  <c r="A142" i="3"/>
  <c r="B142" i="3" s="1"/>
  <c r="A138" i="3"/>
  <c r="B138" i="3" s="1"/>
  <c r="A160" i="3"/>
  <c r="A156" i="3"/>
  <c r="A152" i="3"/>
  <c r="A148" i="3"/>
  <c r="B148" i="3" s="1"/>
  <c r="A144" i="3"/>
  <c r="A140" i="3"/>
  <c r="A151" i="3"/>
  <c r="B151" i="3" s="1"/>
  <c r="A163" i="3"/>
  <c r="B163" i="3" s="1"/>
  <c r="A147" i="3"/>
  <c r="B147" i="3" s="1"/>
  <c r="A159" i="3"/>
  <c r="B159" i="3" s="1"/>
  <c r="A143" i="3"/>
  <c r="B143" i="3" s="1"/>
  <c r="A155" i="3"/>
  <c r="B155" i="3" s="1"/>
  <c r="A139" i="3"/>
  <c r="B139" i="3" s="1"/>
  <c r="G8" i="3"/>
  <c r="J8" i="3"/>
  <c r="F8" i="3"/>
  <c r="A269" i="3"/>
  <c r="B269" i="3" s="1"/>
  <c r="A265" i="3"/>
  <c r="B265" i="3" s="1"/>
  <c r="A261" i="3"/>
  <c r="B261" i="3" s="1"/>
  <c r="A257" i="3"/>
  <c r="B257" i="3" s="1"/>
  <c r="A253" i="3"/>
  <c r="B253" i="3" s="1"/>
  <c r="A249" i="3"/>
  <c r="B249" i="3" s="1"/>
  <c r="A245" i="3"/>
  <c r="B245" i="3" s="1"/>
  <c r="A270" i="3"/>
  <c r="B270" i="3" s="1"/>
  <c r="A266" i="3"/>
  <c r="B266" i="3" s="1"/>
  <c r="A262" i="3"/>
  <c r="B262" i="3" s="1"/>
  <c r="A258" i="3"/>
  <c r="B258" i="3" s="1"/>
  <c r="A254" i="3"/>
  <c r="B254" i="3" s="1"/>
  <c r="A250" i="3"/>
  <c r="B250" i="3" s="1"/>
  <c r="A246" i="3"/>
  <c r="B246" i="3" s="1"/>
  <c r="A268" i="3"/>
  <c r="A264" i="3"/>
  <c r="A260" i="3"/>
  <c r="A256" i="3"/>
  <c r="B256" i="3" s="1"/>
  <c r="A252" i="3"/>
  <c r="A248" i="3"/>
  <c r="B248" i="3" s="1"/>
  <c r="A251" i="3"/>
  <c r="B251" i="3" s="1"/>
  <c r="A247" i="3"/>
  <c r="B247" i="3" s="1"/>
  <c r="A271" i="3"/>
  <c r="B271" i="3" s="1"/>
  <c r="A267" i="3"/>
  <c r="B267" i="3" s="1"/>
  <c r="A263" i="3"/>
  <c r="B263" i="3" s="1"/>
  <c r="A259" i="3"/>
  <c r="B259" i="3" s="1"/>
  <c r="A255" i="3"/>
  <c r="B255" i="3" s="1"/>
  <c r="G12" i="3"/>
  <c r="N12" i="3"/>
  <c r="J12" i="3"/>
  <c r="F12" i="3"/>
  <c r="M12" i="3"/>
  <c r="K15" i="3"/>
  <c r="A377" i="3"/>
  <c r="B377" i="3" s="1"/>
  <c r="A373" i="3"/>
  <c r="B373" i="3" s="1"/>
  <c r="A369" i="3"/>
  <c r="B369" i="3" s="1"/>
  <c r="A378" i="3"/>
  <c r="B378" i="3" s="1"/>
  <c r="A374" i="3"/>
  <c r="B374" i="3" s="1"/>
  <c r="A370" i="3"/>
  <c r="B370" i="3" s="1"/>
  <c r="A366" i="3"/>
  <c r="B366" i="3" s="1"/>
  <c r="A362" i="3"/>
  <c r="B362" i="3" s="1"/>
  <c r="A358" i="3"/>
  <c r="B358" i="3" s="1"/>
  <c r="A354" i="3"/>
  <c r="B354" i="3" s="1"/>
  <c r="A379" i="3"/>
  <c r="B379" i="3" s="1"/>
  <c r="A364" i="3"/>
  <c r="B364" i="3" s="1"/>
  <c r="A360" i="3"/>
  <c r="B360" i="3" s="1"/>
  <c r="A356" i="3"/>
  <c r="B356" i="3" s="1"/>
  <c r="A372" i="3"/>
  <c r="B372" i="3" s="1"/>
  <c r="A365" i="3"/>
  <c r="B365" i="3" s="1"/>
  <c r="A361" i="3"/>
  <c r="B361" i="3" s="1"/>
  <c r="A357" i="3"/>
  <c r="B357" i="3" s="1"/>
  <c r="A353" i="3"/>
  <c r="B353" i="3" s="1"/>
  <c r="A376" i="3"/>
  <c r="B376" i="3" s="1"/>
  <c r="A367" i="3"/>
  <c r="B367" i="3" s="1"/>
  <c r="A363" i="3"/>
  <c r="B363" i="3" s="1"/>
  <c r="A359" i="3"/>
  <c r="B359" i="3" s="1"/>
  <c r="A355" i="3"/>
  <c r="B355" i="3" s="1"/>
  <c r="A375" i="3"/>
  <c r="B375" i="3" s="1"/>
  <c r="A371" i="3"/>
  <c r="B371" i="3" s="1"/>
  <c r="A368" i="3"/>
  <c r="B368" i="3" s="1"/>
  <c r="G16" i="3"/>
  <c r="J16" i="3"/>
  <c r="F16" i="3"/>
  <c r="M16" i="3" s="1"/>
  <c r="A484" i="3"/>
  <c r="B484" i="3" s="1"/>
  <c r="A480" i="3"/>
  <c r="B480" i="3" s="1"/>
  <c r="A476" i="3"/>
  <c r="B476" i="3" s="1"/>
  <c r="A472" i="3"/>
  <c r="B472" i="3" s="1"/>
  <c r="A468" i="3"/>
  <c r="B468" i="3" s="1"/>
  <c r="A485" i="3"/>
  <c r="B485" i="3" s="1"/>
  <c r="A481" i="3"/>
  <c r="B481" i="3" s="1"/>
  <c r="A477" i="3"/>
  <c r="B477" i="3" s="1"/>
  <c r="A473" i="3"/>
  <c r="B473" i="3" s="1"/>
  <c r="A469" i="3"/>
  <c r="B469" i="3" s="1"/>
  <c r="A465" i="3"/>
  <c r="B465" i="3" s="1"/>
  <c r="A461" i="3"/>
  <c r="B461" i="3" s="1"/>
  <c r="A462" i="3"/>
  <c r="B462" i="3" s="1"/>
  <c r="A464" i="3"/>
  <c r="B464" i="3" s="1"/>
  <c r="A483" i="3"/>
  <c r="B483" i="3" s="1"/>
  <c r="A482" i="3"/>
  <c r="B482" i="3" s="1"/>
  <c r="A475" i="3"/>
  <c r="B475" i="3" s="1"/>
  <c r="A474" i="3"/>
  <c r="B474" i="3" s="1"/>
  <c r="A467" i="3"/>
  <c r="B467" i="3" s="1"/>
  <c r="A466" i="3"/>
  <c r="B466" i="3" s="1"/>
  <c r="A471" i="3"/>
  <c r="B471" i="3" s="1"/>
  <c r="A470" i="3"/>
  <c r="B470" i="3" s="1"/>
  <c r="A463" i="3"/>
  <c r="B463" i="3" s="1"/>
  <c r="A487" i="3"/>
  <c r="B487" i="3" s="1"/>
  <c r="A486" i="3"/>
  <c r="B486" i="3" s="1"/>
  <c r="A479" i="3"/>
  <c r="B479" i="3" s="1"/>
  <c r="A478" i="3"/>
  <c r="B478" i="3" s="1"/>
  <c r="G20" i="3"/>
  <c r="J20" i="3"/>
  <c r="F20" i="3"/>
  <c r="A593" i="3"/>
  <c r="B593" i="3" s="1"/>
  <c r="A589" i="3"/>
  <c r="B589" i="3" s="1"/>
  <c r="A585" i="3"/>
  <c r="B585" i="3" s="1"/>
  <c r="A581" i="3"/>
  <c r="B581" i="3" s="1"/>
  <c r="A579" i="3"/>
  <c r="B579" i="3" s="1"/>
  <c r="A575" i="3"/>
  <c r="B575" i="3" s="1"/>
  <c r="A571" i="3"/>
  <c r="B571" i="3" s="1"/>
  <c r="A595" i="3"/>
  <c r="B595" i="3" s="1"/>
  <c r="A591" i="3"/>
  <c r="B591" i="3" s="1"/>
  <c r="A587" i="3"/>
  <c r="B587" i="3" s="1"/>
  <c r="A583" i="3"/>
  <c r="B583" i="3" s="1"/>
  <c r="A576" i="3"/>
  <c r="B576" i="3" s="1"/>
  <c r="A572" i="3"/>
  <c r="B572" i="3" s="1"/>
  <c r="A592" i="3"/>
  <c r="B592" i="3" s="1"/>
  <c r="A594" i="3"/>
  <c r="B594" i="3" s="1"/>
  <c r="A578" i="3"/>
  <c r="B578" i="3" s="1"/>
  <c r="A573" i="3"/>
  <c r="B573" i="3" s="1"/>
  <c r="A570" i="3"/>
  <c r="B570" i="3" s="1"/>
  <c r="A582" i="3"/>
  <c r="B582" i="3" s="1"/>
  <c r="A580" i="3"/>
  <c r="B580" i="3" s="1"/>
  <c r="A586" i="3"/>
  <c r="B586" i="3" s="1"/>
  <c r="A584" i="3"/>
  <c r="B584" i="3" s="1"/>
  <c r="A577" i="3"/>
  <c r="B577" i="3" s="1"/>
  <c r="A574" i="3"/>
  <c r="B574" i="3" s="1"/>
  <c r="A569" i="3"/>
  <c r="B569" i="3" s="1"/>
  <c r="A590" i="3"/>
  <c r="B590" i="3" s="1"/>
  <c r="A588" i="3"/>
  <c r="B588" i="3" s="1"/>
  <c r="G24" i="3"/>
  <c r="BV40" i="1" s="1"/>
  <c r="BW40" i="1" s="1"/>
  <c r="J24" i="3"/>
  <c r="F24" i="3"/>
  <c r="A25" i="3"/>
  <c r="B25" i="3" s="1"/>
  <c r="H25" i="3"/>
  <c r="G25" i="3"/>
  <c r="BV41" i="1" s="1"/>
  <c r="BW41" i="1" s="1"/>
  <c r="N57" i="3"/>
  <c r="G67" i="3"/>
  <c r="N67" i="3"/>
  <c r="J67" i="3"/>
  <c r="F67" i="3"/>
  <c r="AG67" i="3"/>
  <c r="H67" i="3"/>
  <c r="AH73" i="3"/>
  <c r="V52" i="2"/>
  <c r="W20" i="2" s="1"/>
  <c r="Y20" i="2" s="1"/>
  <c r="AU28" i="1"/>
  <c r="AV28" i="1" s="1"/>
  <c r="L15" i="2"/>
  <c r="U15" i="2" s="1"/>
  <c r="X15" i="2" s="1"/>
  <c r="T17" i="2"/>
  <c r="C49" i="2" s="1"/>
  <c r="F49" i="2" s="1"/>
  <c r="U49" i="2" s="1"/>
  <c r="I125" i="3"/>
  <c r="L125" i="3"/>
  <c r="AJ125" i="3" s="1"/>
  <c r="I129" i="3"/>
  <c r="L129" i="3"/>
  <c r="AJ129" i="3" s="1"/>
  <c r="I78" i="3"/>
  <c r="L78" i="3"/>
  <c r="AJ78" i="3" s="1"/>
  <c r="V27" i="2"/>
  <c r="W27" i="2" s="1"/>
  <c r="T28" i="2"/>
  <c r="C60" i="2" s="1"/>
  <c r="F60" i="2" s="1"/>
  <c r="U60" i="2" s="1"/>
  <c r="T29" i="2"/>
  <c r="C61" i="2" s="1"/>
  <c r="F61" i="2" s="1"/>
  <c r="I27" i="3"/>
  <c r="I137" i="3"/>
  <c r="L137" i="3"/>
  <c r="AJ137" i="3" s="1"/>
  <c r="I165" i="3"/>
  <c r="L165" i="3"/>
  <c r="AJ165" i="3" s="1"/>
  <c r="V38" i="2"/>
  <c r="W6" i="2" s="1"/>
  <c r="I225" i="3"/>
  <c r="L225" i="3"/>
  <c r="AJ225" i="3" s="1"/>
  <c r="I226" i="3"/>
  <c r="L226" i="3"/>
  <c r="AJ226" i="3" s="1"/>
  <c r="I261" i="3"/>
  <c r="L261" i="3"/>
  <c r="AJ261" i="3" s="1"/>
  <c r="R54" i="2"/>
  <c r="I262" i="3" s="1"/>
  <c r="V54" i="2"/>
  <c r="W21" i="2" s="1"/>
  <c r="R55" i="2"/>
  <c r="T57" i="2"/>
  <c r="C88" i="2" s="1"/>
  <c r="F88" i="2" s="1"/>
  <c r="U88" i="2" s="1"/>
  <c r="I266" i="3"/>
  <c r="L266" i="3"/>
  <c r="AJ266" i="3" s="1"/>
  <c r="R59" i="2"/>
  <c r="L61" i="2"/>
  <c r="R61" i="2"/>
  <c r="AI327" i="3"/>
  <c r="O327" i="3"/>
  <c r="T70" i="2"/>
  <c r="C103" i="2" s="1"/>
  <c r="F103" i="2" s="1"/>
  <c r="AI303" i="3"/>
  <c r="O303" i="3"/>
  <c r="O76" i="2"/>
  <c r="U76" i="2" s="1"/>
  <c r="O77" i="2"/>
  <c r="I362" i="3" s="1"/>
  <c r="V78" i="2"/>
  <c r="I80" i="2"/>
  <c r="I311" i="3" s="1"/>
  <c r="I366" i="3"/>
  <c r="L366" i="3"/>
  <c r="AJ366" i="3" s="1"/>
  <c r="O82" i="2"/>
  <c r="U82" i="2" s="1"/>
  <c r="I84" i="2"/>
  <c r="I315" i="3" s="1"/>
  <c r="V84" i="2"/>
  <c r="AI343" i="3"/>
  <c r="O343" i="3"/>
  <c r="AI347" i="3"/>
  <c r="K347" i="3"/>
  <c r="O347" i="3"/>
  <c r="O90" i="2"/>
  <c r="I375" i="3" s="1"/>
  <c r="O92" i="2"/>
  <c r="O93" i="2"/>
  <c r="I378" i="3" s="1"/>
  <c r="I488" i="3"/>
  <c r="L488" i="3"/>
  <c r="AJ488" i="3" s="1"/>
  <c r="I410" i="3"/>
  <c r="L410" i="3"/>
  <c r="AJ410" i="3" s="1"/>
  <c r="I106" i="2"/>
  <c r="X10" i="2" s="1"/>
  <c r="I107" i="2"/>
  <c r="U107" i="2" s="1"/>
  <c r="L415" i="3"/>
  <c r="I415" i="3"/>
  <c r="L109" i="2"/>
  <c r="U109" i="2" s="1"/>
  <c r="L443" i="3"/>
  <c r="I443" i="3"/>
  <c r="O110" i="2"/>
  <c r="U110" i="2" s="1"/>
  <c r="I120" i="2"/>
  <c r="Z121" i="2" s="1"/>
  <c r="O120" i="2"/>
  <c r="I427" i="3"/>
  <c r="L427" i="3"/>
  <c r="L481" i="3"/>
  <c r="I481" i="3"/>
  <c r="R121" i="2"/>
  <c r="U121" i="2" s="1"/>
  <c r="V121" i="2"/>
  <c r="W24" i="2" s="1"/>
  <c r="O122" i="2"/>
  <c r="U122" i="2" s="1"/>
  <c r="I431" i="3"/>
  <c r="L431" i="3"/>
  <c r="AJ431" i="3" s="1"/>
  <c r="L485" i="3"/>
  <c r="I485" i="3"/>
  <c r="V125" i="2"/>
  <c r="W28" i="2" s="1"/>
  <c r="O126" i="2"/>
  <c r="CR4" i="4"/>
  <c r="CR30" i="4"/>
  <c r="AC10" i="3"/>
  <c r="AC2" i="3"/>
  <c r="G3" i="3"/>
  <c r="BV18" i="1" s="1"/>
  <c r="BW18" i="1" s="1"/>
  <c r="AH3" i="3"/>
  <c r="N3" i="3"/>
  <c r="J3" i="3"/>
  <c r="F3" i="3"/>
  <c r="M3" i="3"/>
  <c r="AC3" i="3"/>
  <c r="A4" i="3"/>
  <c r="CK21" i="1" s="1"/>
  <c r="CL21" i="1" s="1"/>
  <c r="CM21" i="1" s="1"/>
  <c r="H4" i="3"/>
  <c r="R5" i="3"/>
  <c r="AJ19" i="1" s="1"/>
  <c r="AG5" i="3"/>
  <c r="N5" i="3" s="1"/>
  <c r="A133" i="3"/>
  <c r="B133" i="3" s="1"/>
  <c r="A129" i="3"/>
  <c r="B129" i="3" s="1"/>
  <c r="A125" i="3"/>
  <c r="B125" i="3" s="1"/>
  <c r="A121" i="3"/>
  <c r="B121" i="3" s="1"/>
  <c r="A117" i="3"/>
  <c r="B117" i="3" s="1"/>
  <c r="A113" i="3"/>
  <c r="B113" i="3" s="1"/>
  <c r="A134" i="3"/>
  <c r="B134" i="3" s="1"/>
  <c r="A130" i="3"/>
  <c r="B130" i="3" s="1"/>
  <c r="A126" i="3"/>
  <c r="B126" i="3" s="1"/>
  <c r="A122" i="3"/>
  <c r="B122" i="3" s="1"/>
  <c r="A118" i="3"/>
  <c r="B118" i="3" s="1"/>
  <c r="A114" i="3"/>
  <c r="B114" i="3" s="1"/>
  <c r="A110" i="3"/>
  <c r="B110" i="3" s="1"/>
  <c r="A136" i="3"/>
  <c r="B136" i="3" s="1"/>
  <c r="A132" i="3"/>
  <c r="A128" i="3"/>
  <c r="A124" i="3"/>
  <c r="A120" i="3"/>
  <c r="B120" i="3" s="1"/>
  <c r="A116" i="3"/>
  <c r="A112" i="3"/>
  <c r="A119" i="3"/>
  <c r="B119" i="3" s="1"/>
  <c r="A115" i="3"/>
  <c r="B115" i="3" s="1"/>
  <c r="A135" i="3"/>
  <c r="B135" i="3" s="1"/>
  <c r="A131" i="3"/>
  <c r="B131" i="3" s="1"/>
  <c r="A127" i="3"/>
  <c r="B127" i="3" s="1"/>
  <c r="A123" i="3"/>
  <c r="B123" i="3" s="1"/>
  <c r="A111" i="3"/>
  <c r="B111" i="3" s="1"/>
  <c r="G7" i="3"/>
  <c r="AH7" i="3"/>
  <c r="N7" i="3"/>
  <c r="J7" i="3"/>
  <c r="F7" i="3"/>
  <c r="M7" i="3"/>
  <c r="AC7" i="3"/>
  <c r="A8" i="3"/>
  <c r="B8" i="3" s="1"/>
  <c r="H8" i="3"/>
  <c r="R8" i="3"/>
  <c r="AJ22" i="1" s="1"/>
  <c r="A9" i="3"/>
  <c r="B9" i="3" s="1"/>
  <c r="AG9" i="3"/>
  <c r="N9" i="3" s="1"/>
  <c r="H9" i="3"/>
  <c r="G9" i="3"/>
  <c r="A12" i="3"/>
  <c r="B12" i="3" s="1"/>
  <c r="H12" i="3"/>
  <c r="R12" i="3"/>
  <c r="AJ26" i="1" s="1"/>
  <c r="A13" i="3"/>
  <c r="B13" i="3" s="1"/>
  <c r="AG13" i="3"/>
  <c r="H13" i="3"/>
  <c r="G13" i="3"/>
  <c r="M13" i="3"/>
  <c r="L15" i="3"/>
  <c r="AJ15" i="3" s="1"/>
  <c r="AC15" i="3"/>
  <c r="A16" i="3"/>
  <c r="B16" i="3" s="1"/>
  <c r="H16" i="3"/>
  <c r="R16" i="3"/>
  <c r="AJ30" i="1" s="1"/>
  <c r="A17" i="3"/>
  <c r="B17" i="3" s="1"/>
  <c r="AG17" i="3"/>
  <c r="N17" i="3" s="1"/>
  <c r="H17" i="3"/>
  <c r="G17" i="3"/>
  <c r="A20" i="3"/>
  <c r="B20" i="3" s="1"/>
  <c r="H20" i="3"/>
  <c r="R20" i="3"/>
  <c r="AJ34" i="1" s="1"/>
  <c r="A21" i="3"/>
  <c r="B21" i="3" s="1"/>
  <c r="AG21" i="3"/>
  <c r="N21" i="3" s="1"/>
  <c r="H21" i="3"/>
  <c r="G21" i="3"/>
  <c r="BV37" i="1" s="1"/>
  <c r="BW37" i="1" s="1"/>
  <c r="A24" i="3"/>
  <c r="B24" i="3" s="1"/>
  <c r="H24" i="3"/>
  <c r="R24" i="3"/>
  <c r="AJ38" i="1" s="1"/>
  <c r="F25" i="3"/>
  <c r="M25" i="3" s="1"/>
  <c r="AG25" i="3"/>
  <c r="N25" i="3" s="1"/>
  <c r="G28" i="3"/>
  <c r="N28" i="3"/>
  <c r="J28" i="3"/>
  <c r="F28" i="3"/>
  <c r="AG28" i="3"/>
  <c r="H28" i="3"/>
  <c r="A39" i="3"/>
  <c r="B39" i="3" s="1"/>
  <c r="L39" i="3"/>
  <c r="I39" i="3"/>
  <c r="G43" i="3"/>
  <c r="J43" i="3"/>
  <c r="F43" i="3"/>
  <c r="AG43" i="3"/>
  <c r="H43" i="3"/>
  <c r="AH65" i="3"/>
  <c r="M67" i="3"/>
  <c r="G75" i="3"/>
  <c r="J75" i="3"/>
  <c r="F75" i="3"/>
  <c r="AG75" i="3"/>
  <c r="H75" i="3"/>
  <c r="AH81" i="3"/>
  <c r="N101" i="3"/>
  <c r="I122" i="3"/>
  <c r="L122" i="3"/>
  <c r="AJ122" i="3" s="1"/>
  <c r="I265" i="3"/>
  <c r="L265" i="3"/>
  <c r="AJ265" i="3" s="1"/>
  <c r="I242" i="3"/>
  <c r="L242" i="3"/>
  <c r="AJ242" i="3" s="1"/>
  <c r="I382" i="3"/>
  <c r="L382" i="3"/>
  <c r="AJ382" i="3" s="1"/>
  <c r="O308" i="3"/>
  <c r="K308" i="3"/>
  <c r="AI308" i="3"/>
  <c r="I492" i="3"/>
  <c r="L492" i="3"/>
  <c r="AJ492" i="3" s="1"/>
  <c r="I496" i="3"/>
  <c r="L496" i="3"/>
  <c r="AJ496" i="3" s="1"/>
  <c r="I500" i="3"/>
  <c r="L500" i="3"/>
  <c r="AJ500" i="3" s="1"/>
  <c r="I426" i="3"/>
  <c r="L426" i="3"/>
  <c r="AJ426" i="3" s="1"/>
  <c r="V120" i="2"/>
  <c r="W23" i="2" s="1"/>
  <c r="AI537" i="3"/>
  <c r="O537" i="3"/>
  <c r="A109" i="3"/>
  <c r="B109" i="3" s="1"/>
  <c r="A105" i="3"/>
  <c r="B105" i="3" s="1"/>
  <c r="A101" i="3"/>
  <c r="B101" i="3" s="1"/>
  <c r="A97" i="3"/>
  <c r="B97" i="3" s="1"/>
  <c r="A93" i="3"/>
  <c r="B93" i="3" s="1"/>
  <c r="A89" i="3"/>
  <c r="B89" i="3" s="1"/>
  <c r="A85" i="3"/>
  <c r="B85" i="3" s="1"/>
  <c r="A106" i="3"/>
  <c r="B106" i="3" s="1"/>
  <c r="A102" i="3"/>
  <c r="B102" i="3" s="1"/>
  <c r="A98" i="3"/>
  <c r="B98" i="3" s="1"/>
  <c r="A94" i="3"/>
  <c r="B94" i="3" s="1"/>
  <c r="A90" i="3"/>
  <c r="B90" i="3" s="1"/>
  <c r="A86" i="3"/>
  <c r="B86" i="3" s="1"/>
  <c r="A108" i="3"/>
  <c r="B108" i="3" s="1"/>
  <c r="A103" i="3"/>
  <c r="B103" i="3" s="1"/>
  <c r="A100" i="3"/>
  <c r="B100" i="3" s="1"/>
  <c r="A95" i="3"/>
  <c r="B95" i="3" s="1"/>
  <c r="A92" i="3"/>
  <c r="B92" i="3" s="1"/>
  <c r="A87" i="3"/>
  <c r="B87" i="3" s="1"/>
  <c r="A84" i="3"/>
  <c r="B84" i="3" s="1"/>
  <c r="A107" i="3"/>
  <c r="B107" i="3" s="1"/>
  <c r="A104" i="3"/>
  <c r="B104" i="3" s="1"/>
  <c r="A99" i="3"/>
  <c r="B99" i="3" s="1"/>
  <c r="A96" i="3"/>
  <c r="B96" i="3" s="1"/>
  <c r="A91" i="3"/>
  <c r="B91" i="3" s="1"/>
  <c r="A88" i="3"/>
  <c r="B88" i="3" s="1"/>
  <c r="A83" i="3"/>
  <c r="B83" i="3" s="1"/>
  <c r="G6" i="3"/>
  <c r="N6" i="3"/>
  <c r="J6" i="3"/>
  <c r="F6" i="3"/>
  <c r="M6" i="3"/>
  <c r="O15" i="3"/>
  <c r="I23" i="3"/>
  <c r="AG24" i="3"/>
  <c r="N24" i="3" s="1"/>
  <c r="A648" i="3"/>
  <c r="B648" i="3" s="1"/>
  <c r="A644" i="3"/>
  <c r="A640" i="3"/>
  <c r="B640" i="3" s="1"/>
  <c r="A636" i="3"/>
  <c r="B636" i="3" s="1"/>
  <c r="A632" i="3"/>
  <c r="B632" i="3" s="1"/>
  <c r="A628" i="3"/>
  <c r="A624" i="3"/>
  <c r="B624" i="3" s="1"/>
  <c r="A649" i="3"/>
  <c r="B649" i="3" s="1"/>
  <c r="A645" i="3"/>
  <c r="B645" i="3" s="1"/>
  <c r="A641" i="3"/>
  <c r="B641" i="3" s="1"/>
  <c r="A637" i="3"/>
  <c r="B637" i="3" s="1"/>
  <c r="A633" i="3"/>
  <c r="B633" i="3" s="1"/>
  <c r="A629" i="3"/>
  <c r="B629" i="3" s="1"/>
  <c r="A625" i="3"/>
  <c r="B625" i="3" s="1"/>
  <c r="A635" i="3"/>
  <c r="B635" i="3" s="1"/>
  <c r="A634" i="3"/>
  <c r="B634" i="3" s="1"/>
  <c r="A647" i="3"/>
  <c r="B647" i="3" s="1"/>
  <c r="A646" i="3"/>
  <c r="B646" i="3" s="1"/>
  <c r="A631" i="3"/>
  <c r="B631" i="3" s="1"/>
  <c r="A630" i="3"/>
  <c r="B630" i="3" s="1"/>
  <c r="A643" i="3"/>
  <c r="B643" i="3" s="1"/>
  <c r="A642" i="3"/>
  <c r="B642" i="3" s="1"/>
  <c r="A627" i="3"/>
  <c r="B627" i="3" s="1"/>
  <c r="A626" i="3"/>
  <c r="B626" i="3" s="1"/>
  <c r="A638" i="3"/>
  <c r="B638" i="3" s="1"/>
  <c r="A623" i="3"/>
  <c r="B623" i="3" s="1"/>
  <c r="A639" i="3"/>
  <c r="B639" i="3" s="1"/>
  <c r="A675" i="3"/>
  <c r="A674" i="3"/>
  <c r="B674" i="3" s="1"/>
  <c r="A668" i="3"/>
  <c r="B668" i="3" s="1"/>
  <c r="A664" i="3"/>
  <c r="B664" i="3" s="1"/>
  <c r="A660" i="3"/>
  <c r="A656" i="3"/>
  <c r="B656" i="3" s="1"/>
  <c r="A652" i="3"/>
  <c r="B652" i="3" s="1"/>
  <c r="A672" i="3"/>
  <c r="B672" i="3" s="1"/>
  <c r="A669" i="3"/>
  <c r="B669" i="3" s="1"/>
  <c r="A665" i="3"/>
  <c r="B665" i="3" s="1"/>
  <c r="A661" i="3"/>
  <c r="B661" i="3" s="1"/>
  <c r="A657" i="3"/>
  <c r="B657" i="3" s="1"/>
  <c r="A653" i="3"/>
  <c r="B653" i="3" s="1"/>
  <c r="A667" i="3"/>
  <c r="B667" i="3" s="1"/>
  <c r="A666" i="3"/>
  <c r="A651" i="3"/>
  <c r="B651" i="3" s="1"/>
  <c r="A650" i="3"/>
  <c r="A663" i="3"/>
  <c r="B663" i="3" s="1"/>
  <c r="A662" i="3"/>
  <c r="B662" i="3" s="1"/>
  <c r="A673" i="3"/>
  <c r="B673" i="3" s="1"/>
  <c r="A659" i="3"/>
  <c r="B659" i="3" s="1"/>
  <c r="A658" i="3"/>
  <c r="B658" i="3" s="1"/>
  <c r="A676" i="3"/>
  <c r="B676" i="3" s="1"/>
  <c r="A671" i="3"/>
  <c r="B671" i="3" s="1"/>
  <c r="A670" i="3"/>
  <c r="B670" i="3" s="1"/>
  <c r="A655" i="3"/>
  <c r="B655" i="3" s="1"/>
  <c r="A654" i="3"/>
  <c r="B654" i="3" s="1"/>
  <c r="G51" i="3"/>
  <c r="J51" i="3"/>
  <c r="F51" i="3"/>
  <c r="AG51" i="3"/>
  <c r="M51" i="3" s="1"/>
  <c r="H51" i="3"/>
  <c r="N73" i="3"/>
  <c r="G91" i="3"/>
  <c r="J91" i="3"/>
  <c r="F91" i="3"/>
  <c r="AG91" i="3"/>
  <c r="N91" i="3" s="1"/>
  <c r="H91" i="3"/>
  <c r="N105" i="3"/>
  <c r="N108" i="3"/>
  <c r="N248" i="3"/>
  <c r="G99" i="3"/>
  <c r="J99" i="3"/>
  <c r="F99" i="3"/>
  <c r="I113" i="3"/>
  <c r="N114" i="3"/>
  <c r="G115" i="3"/>
  <c r="J115" i="3"/>
  <c r="F115" i="3"/>
  <c r="M115" i="3" s="1"/>
  <c r="AG115" i="3"/>
  <c r="H115" i="3"/>
  <c r="N117" i="3"/>
  <c r="I141" i="3"/>
  <c r="G143" i="3"/>
  <c r="N143" i="3"/>
  <c r="J143" i="3"/>
  <c r="F143" i="3"/>
  <c r="AG143" i="3"/>
  <c r="H143" i="3"/>
  <c r="N145" i="3"/>
  <c r="I157" i="3"/>
  <c r="N158" i="3"/>
  <c r="G159" i="3"/>
  <c r="J159" i="3"/>
  <c r="F159" i="3"/>
  <c r="AG159" i="3"/>
  <c r="N159" i="3" s="1"/>
  <c r="H159" i="3"/>
  <c r="I170" i="3"/>
  <c r="A175" i="3"/>
  <c r="B175" i="3" s="1"/>
  <c r="G179" i="3"/>
  <c r="J179" i="3"/>
  <c r="F179" i="3"/>
  <c r="AG179" i="3"/>
  <c r="N179" i="3" s="1"/>
  <c r="H179" i="3"/>
  <c r="I186" i="3"/>
  <c r="A191" i="3"/>
  <c r="B191" i="3" s="1"/>
  <c r="I193" i="3"/>
  <c r="G195" i="3"/>
  <c r="J195" i="3"/>
  <c r="F195" i="3"/>
  <c r="AG195" i="3"/>
  <c r="N195" i="3" s="1"/>
  <c r="H195" i="3"/>
  <c r="AI202" i="3"/>
  <c r="O202" i="3"/>
  <c r="K202" i="3"/>
  <c r="A207" i="3"/>
  <c r="B207" i="3" s="1"/>
  <c r="I209" i="3"/>
  <c r="G211" i="3"/>
  <c r="N211" i="3"/>
  <c r="J211" i="3"/>
  <c r="F211" i="3"/>
  <c r="AG211" i="3"/>
  <c r="H211" i="3"/>
  <c r="I221" i="3"/>
  <c r="G223" i="3"/>
  <c r="N223" i="3"/>
  <c r="J223" i="3"/>
  <c r="F223" i="3"/>
  <c r="AG223" i="3"/>
  <c r="M223" i="3" s="1"/>
  <c r="H223" i="3"/>
  <c r="N226" i="3"/>
  <c r="G227" i="3"/>
  <c r="N227" i="3"/>
  <c r="J227" i="3"/>
  <c r="F227" i="3"/>
  <c r="AG227" i="3"/>
  <c r="H227" i="3"/>
  <c r="I230" i="3"/>
  <c r="I241" i="3"/>
  <c r="N242" i="3"/>
  <c r="G243" i="3"/>
  <c r="N243" i="3"/>
  <c r="J243" i="3"/>
  <c r="F243" i="3"/>
  <c r="AG243" i="3"/>
  <c r="H243" i="3"/>
  <c r="N245" i="3"/>
  <c r="I250" i="3"/>
  <c r="G275" i="3"/>
  <c r="J275" i="3"/>
  <c r="F275" i="3"/>
  <c r="AG275" i="3"/>
  <c r="N275" i="3" s="1"/>
  <c r="H275" i="3"/>
  <c r="A283" i="3"/>
  <c r="B283" i="3" s="1"/>
  <c r="I296" i="3"/>
  <c r="L296" i="3"/>
  <c r="G304" i="3"/>
  <c r="F304" i="3"/>
  <c r="AG304" i="3"/>
  <c r="H304" i="3"/>
  <c r="J304" i="3"/>
  <c r="AJ319" i="3"/>
  <c r="N30" i="3"/>
  <c r="I33" i="3"/>
  <c r="I34" i="3"/>
  <c r="AG36" i="3"/>
  <c r="H36" i="3"/>
  <c r="G36" i="3"/>
  <c r="M36" i="3"/>
  <c r="N42" i="3"/>
  <c r="I45" i="3"/>
  <c r="I46" i="3"/>
  <c r="AG48" i="3"/>
  <c r="H48" i="3"/>
  <c r="G48" i="3"/>
  <c r="I53" i="3"/>
  <c r="I54" i="3"/>
  <c r="AG56" i="3"/>
  <c r="N56" i="3" s="1"/>
  <c r="H56" i="3"/>
  <c r="G56" i="3"/>
  <c r="N58" i="3"/>
  <c r="I61" i="3"/>
  <c r="I62" i="3"/>
  <c r="AG64" i="3"/>
  <c r="N64" i="3" s="1"/>
  <c r="H64" i="3"/>
  <c r="G64" i="3"/>
  <c r="BV25" i="1" s="1"/>
  <c r="BW25" i="1" s="1"/>
  <c r="N66" i="3"/>
  <c r="I69" i="3"/>
  <c r="I70" i="3"/>
  <c r="AG72" i="3"/>
  <c r="M72" i="3" s="1"/>
  <c r="H72" i="3"/>
  <c r="G72" i="3"/>
  <c r="BV34" i="1" s="1"/>
  <c r="BW34" i="1" s="1"/>
  <c r="N74" i="3"/>
  <c r="I77" i="3"/>
  <c r="AG80" i="3"/>
  <c r="N80" i="3" s="1"/>
  <c r="H80" i="3"/>
  <c r="G80" i="3"/>
  <c r="BV42" i="1" s="1"/>
  <c r="BW42" i="1" s="1"/>
  <c r="I85" i="3"/>
  <c r="I86" i="3"/>
  <c r="AG88" i="3"/>
  <c r="M88" i="3" s="1"/>
  <c r="H88" i="3"/>
  <c r="G88" i="3"/>
  <c r="BV22" i="1" s="1"/>
  <c r="I93" i="3"/>
  <c r="AG96" i="3"/>
  <c r="N96" i="3" s="1"/>
  <c r="H96" i="3"/>
  <c r="G96" i="3"/>
  <c r="N98" i="3"/>
  <c r="H99" i="3"/>
  <c r="AG99" i="3"/>
  <c r="M99" i="3" s="1"/>
  <c r="I101" i="3"/>
  <c r="I102" i="3"/>
  <c r="AG104" i="3"/>
  <c r="H104" i="3"/>
  <c r="G104" i="3"/>
  <c r="BV39" i="1" s="1"/>
  <c r="BW39" i="1" s="1"/>
  <c r="M104" i="3"/>
  <c r="G107" i="3"/>
  <c r="J107" i="3"/>
  <c r="F107" i="3"/>
  <c r="AG107" i="3"/>
  <c r="M107" i="3" s="1"/>
  <c r="H107" i="3"/>
  <c r="I110" i="3"/>
  <c r="I117" i="3"/>
  <c r="G119" i="3"/>
  <c r="J119" i="3"/>
  <c r="F119" i="3"/>
  <c r="AG119" i="3"/>
  <c r="N119" i="3" s="1"/>
  <c r="H119" i="3"/>
  <c r="I126" i="3"/>
  <c r="I130" i="3"/>
  <c r="I138" i="3"/>
  <c r="I145" i="3"/>
  <c r="N146" i="3"/>
  <c r="G147" i="3"/>
  <c r="J147" i="3"/>
  <c r="F147" i="3"/>
  <c r="AG147" i="3"/>
  <c r="N147" i="3" s="1"/>
  <c r="H147" i="3"/>
  <c r="N149" i="3"/>
  <c r="I154" i="3"/>
  <c r="I161" i="3"/>
  <c r="N162" i="3"/>
  <c r="G163" i="3"/>
  <c r="N163" i="3"/>
  <c r="J163" i="3"/>
  <c r="F163" i="3"/>
  <c r="AG163" i="3"/>
  <c r="H163" i="3"/>
  <c r="G167" i="3"/>
  <c r="N167" i="3"/>
  <c r="J167" i="3"/>
  <c r="F167" i="3"/>
  <c r="AG167" i="3"/>
  <c r="H167" i="3"/>
  <c r="L170" i="3"/>
  <c r="AJ170" i="3" s="1"/>
  <c r="I174" i="3"/>
  <c r="A179" i="3"/>
  <c r="B179" i="3" s="1"/>
  <c r="I181" i="3"/>
  <c r="G183" i="3"/>
  <c r="J183" i="3"/>
  <c r="F183" i="3"/>
  <c r="AG183" i="3"/>
  <c r="N183" i="3" s="1"/>
  <c r="H183" i="3"/>
  <c r="L186" i="3"/>
  <c r="AJ186" i="3" s="1"/>
  <c r="AI190" i="3"/>
  <c r="O190" i="3"/>
  <c r="K190" i="3"/>
  <c r="A195" i="3"/>
  <c r="B195" i="3" s="1"/>
  <c r="I197" i="3"/>
  <c r="G199" i="3"/>
  <c r="J199" i="3"/>
  <c r="F199" i="3"/>
  <c r="AG199" i="3"/>
  <c r="M199" i="3" s="1"/>
  <c r="H199" i="3"/>
  <c r="L202" i="3"/>
  <c r="AJ202" i="3" s="1"/>
  <c r="I206" i="3"/>
  <c r="I213" i="3"/>
  <c r="G215" i="3"/>
  <c r="N215" i="3"/>
  <c r="J215" i="3"/>
  <c r="F215" i="3"/>
  <c r="AG215" i="3"/>
  <c r="H215" i="3"/>
  <c r="I218" i="3"/>
  <c r="O229" i="3"/>
  <c r="L230" i="3"/>
  <c r="AJ230" i="3" s="1"/>
  <c r="I238" i="3"/>
  <c r="I245" i="3"/>
  <c r="N246" i="3"/>
  <c r="G247" i="3"/>
  <c r="N247" i="3"/>
  <c r="J247" i="3"/>
  <c r="F247" i="3"/>
  <c r="M247" i="3" s="1"/>
  <c r="AG247" i="3"/>
  <c r="H247" i="3"/>
  <c r="N249" i="3"/>
  <c r="L250" i="3"/>
  <c r="AJ250" i="3" s="1"/>
  <c r="I254" i="3"/>
  <c r="I274" i="3"/>
  <c r="A275" i="3"/>
  <c r="B275" i="3" s="1"/>
  <c r="I292" i="3"/>
  <c r="L292" i="3"/>
  <c r="A295" i="3"/>
  <c r="B295" i="3" s="1"/>
  <c r="AJ303" i="3"/>
  <c r="AG305" i="3"/>
  <c r="M305" i="3" s="1"/>
  <c r="H305" i="3"/>
  <c r="G305" i="3"/>
  <c r="F305" i="3"/>
  <c r="J305" i="3"/>
  <c r="N308" i="3"/>
  <c r="AJ323" i="3"/>
  <c r="A217" i="3"/>
  <c r="B217" i="3" s="1"/>
  <c r="A213" i="3"/>
  <c r="B213" i="3" s="1"/>
  <c r="A209" i="3"/>
  <c r="B209" i="3" s="1"/>
  <c r="A205" i="3"/>
  <c r="B205" i="3" s="1"/>
  <c r="A201" i="3"/>
  <c r="B201" i="3" s="1"/>
  <c r="A197" i="3"/>
  <c r="B197" i="3" s="1"/>
  <c r="A193" i="3"/>
  <c r="B193" i="3" s="1"/>
  <c r="A214" i="3"/>
  <c r="B214" i="3" s="1"/>
  <c r="A210" i="3"/>
  <c r="B210" i="3" s="1"/>
  <c r="A206" i="3"/>
  <c r="B206" i="3" s="1"/>
  <c r="A202" i="3"/>
  <c r="B202" i="3" s="1"/>
  <c r="A198" i="3"/>
  <c r="B198" i="3" s="1"/>
  <c r="A194" i="3"/>
  <c r="B194" i="3" s="1"/>
  <c r="A216" i="3"/>
  <c r="B216" i="3" s="1"/>
  <c r="A212" i="3"/>
  <c r="A208" i="3"/>
  <c r="A204" i="3"/>
  <c r="A200" i="3"/>
  <c r="B200" i="3" s="1"/>
  <c r="A196" i="3"/>
  <c r="A192" i="3"/>
  <c r="H10" i="3"/>
  <c r="AG10" i="3"/>
  <c r="N10" i="3" s="1"/>
  <c r="M11" i="3"/>
  <c r="A322" i="3"/>
  <c r="B322" i="3" s="1"/>
  <c r="A318" i="3"/>
  <c r="B318" i="3" s="1"/>
  <c r="A314" i="3"/>
  <c r="B314" i="3" s="1"/>
  <c r="A310" i="3"/>
  <c r="B310" i="3" s="1"/>
  <c r="A306" i="3"/>
  <c r="B306" i="3" s="1"/>
  <c r="A302" i="3"/>
  <c r="B302" i="3" s="1"/>
  <c r="A325" i="3"/>
  <c r="B325" i="3" s="1"/>
  <c r="A320" i="3"/>
  <c r="B320" i="3" s="1"/>
  <c r="A319" i="3"/>
  <c r="B319" i="3" s="1"/>
  <c r="A308" i="3"/>
  <c r="B308" i="3" s="1"/>
  <c r="A307" i="3"/>
  <c r="B307" i="3" s="1"/>
  <c r="A321" i="3"/>
  <c r="B321" i="3" s="1"/>
  <c r="A316" i="3"/>
  <c r="B316" i="3" s="1"/>
  <c r="A315" i="3"/>
  <c r="B315" i="3" s="1"/>
  <c r="A309" i="3"/>
  <c r="B309" i="3" s="1"/>
  <c r="A304" i="3"/>
  <c r="B304" i="3" s="1"/>
  <c r="A303" i="3"/>
  <c r="B303" i="3" s="1"/>
  <c r="A317" i="3"/>
  <c r="B317" i="3" s="1"/>
  <c r="A312" i="3"/>
  <c r="B312" i="3" s="1"/>
  <c r="A311" i="3"/>
  <c r="B311" i="3" s="1"/>
  <c r="A324" i="3"/>
  <c r="A323" i="3"/>
  <c r="B323" i="3" s="1"/>
  <c r="A313" i="3"/>
  <c r="B313" i="3" s="1"/>
  <c r="A301" i="3"/>
  <c r="B301" i="3" s="1"/>
  <c r="H14" i="3"/>
  <c r="AG14" i="3"/>
  <c r="N14" i="3" s="1"/>
  <c r="A433" i="3"/>
  <c r="B433" i="3" s="1"/>
  <c r="A429" i="3"/>
  <c r="B429" i="3" s="1"/>
  <c r="A425" i="3"/>
  <c r="B425" i="3" s="1"/>
  <c r="A421" i="3"/>
  <c r="B421" i="3" s="1"/>
  <c r="A417" i="3"/>
  <c r="B417" i="3" s="1"/>
  <c r="A413" i="3"/>
  <c r="B413" i="3" s="1"/>
  <c r="A409" i="3"/>
  <c r="B409" i="3" s="1"/>
  <c r="A430" i="3"/>
  <c r="B430" i="3" s="1"/>
  <c r="A426" i="3"/>
  <c r="B426" i="3" s="1"/>
  <c r="A422" i="3"/>
  <c r="B422" i="3" s="1"/>
  <c r="A418" i="3"/>
  <c r="B418" i="3" s="1"/>
  <c r="A414" i="3"/>
  <c r="B414" i="3" s="1"/>
  <c r="A410" i="3"/>
  <c r="B410" i="3" s="1"/>
  <c r="A416" i="3"/>
  <c r="B416" i="3" s="1"/>
  <c r="A411" i="3"/>
  <c r="B411" i="3" s="1"/>
  <c r="A408" i="3"/>
  <c r="B408" i="3" s="1"/>
  <c r="A428" i="3"/>
  <c r="B428" i="3" s="1"/>
  <c r="A427" i="3"/>
  <c r="B427" i="3" s="1"/>
  <c r="A420" i="3"/>
  <c r="B420" i="3" s="1"/>
  <c r="A432" i="3"/>
  <c r="B432" i="3" s="1"/>
  <c r="A431" i="3"/>
  <c r="B431" i="3" s="1"/>
  <c r="A419" i="3"/>
  <c r="B419" i="3" s="1"/>
  <c r="A415" i="3"/>
  <c r="B415" i="3" s="1"/>
  <c r="A407" i="3"/>
  <c r="B407" i="3" s="1"/>
  <c r="A424" i="3"/>
  <c r="B424" i="3" s="1"/>
  <c r="A423" i="3"/>
  <c r="B423" i="3" s="1"/>
  <c r="A412" i="3"/>
  <c r="B412" i="3" s="1"/>
  <c r="H18" i="3"/>
  <c r="AG18" i="3"/>
  <c r="M19" i="3"/>
  <c r="A540" i="3"/>
  <c r="B540" i="3" s="1"/>
  <c r="A536" i="3"/>
  <c r="B536" i="3" s="1"/>
  <c r="A532" i="3"/>
  <c r="B532" i="3" s="1"/>
  <c r="A528" i="3"/>
  <c r="B528" i="3" s="1"/>
  <c r="A524" i="3"/>
  <c r="B524" i="3" s="1"/>
  <c r="A520" i="3"/>
  <c r="B520" i="3" s="1"/>
  <c r="A516" i="3"/>
  <c r="B516" i="3" s="1"/>
  <c r="A541" i="3"/>
  <c r="B541" i="3" s="1"/>
  <c r="A537" i="3"/>
  <c r="B537" i="3" s="1"/>
  <c r="A533" i="3"/>
  <c r="B533" i="3" s="1"/>
  <c r="A529" i="3"/>
  <c r="B529" i="3" s="1"/>
  <c r="A525" i="3"/>
  <c r="B525" i="3" s="1"/>
  <c r="A521" i="3"/>
  <c r="B521" i="3" s="1"/>
  <c r="A517" i="3"/>
  <c r="B517" i="3" s="1"/>
  <c r="A527" i="3"/>
  <c r="B527" i="3" s="1"/>
  <c r="A526" i="3"/>
  <c r="B526" i="3" s="1"/>
  <c r="A531" i="3"/>
  <c r="B531" i="3" s="1"/>
  <c r="A530" i="3"/>
  <c r="B530" i="3" s="1"/>
  <c r="A515" i="3"/>
  <c r="B515" i="3" s="1"/>
  <c r="A535" i="3"/>
  <c r="B535" i="3" s="1"/>
  <c r="A534" i="3"/>
  <c r="B534" i="3" s="1"/>
  <c r="A519" i="3"/>
  <c r="B519" i="3" s="1"/>
  <c r="A518" i="3"/>
  <c r="B518" i="3" s="1"/>
  <c r="A539" i="3"/>
  <c r="B539" i="3" s="1"/>
  <c r="A538" i="3"/>
  <c r="B538" i="3" s="1"/>
  <c r="A522" i="3"/>
  <c r="B522" i="3" s="1"/>
  <c r="A523" i="3"/>
  <c r="B523" i="3" s="1"/>
  <c r="H22" i="3"/>
  <c r="AG22" i="3"/>
  <c r="N22" i="3" s="1"/>
  <c r="N26" i="3"/>
  <c r="J26" i="3"/>
  <c r="F26" i="3"/>
  <c r="M26" i="3" s="1"/>
  <c r="AH29" i="3"/>
  <c r="G29" i="3"/>
  <c r="AG29" i="3"/>
  <c r="N29" i="3" s="1"/>
  <c r="J29" i="3"/>
  <c r="K29" i="3" s="1"/>
  <c r="F29" i="3"/>
  <c r="M29" i="3"/>
  <c r="G35" i="3"/>
  <c r="N35" i="3"/>
  <c r="J35" i="3"/>
  <c r="K35" i="3" s="1"/>
  <c r="F35" i="3"/>
  <c r="M35" i="3"/>
  <c r="F36" i="3"/>
  <c r="N36" i="3"/>
  <c r="I38" i="3"/>
  <c r="AG40" i="3"/>
  <c r="H40" i="3"/>
  <c r="G40" i="3"/>
  <c r="M40" i="3"/>
  <c r="G47" i="3"/>
  <c r="N47" i="3"/>
  <c r="J47" i="3"/>
  <c r="K47" i="3" s="1"/>
  <c r="F47" i="3"/>
  <c r="F48" i="3"/>
  <c r="M48" i="3" s="1"/>
  <c r="G55" i="3"/>
  <c r="N55" i="3"/>
  <c r="J55" i="3"/>
  <c r="F55" i="3"/>
  <c r="M55" i="3"/>
  <c r="F56" i="3"/>
  <c r="G63" i="3"/>
  <c r="N63" i="3"/>
  <c r="J63" i="3"/>
  <c r="F63" i="3"/>
  <c r="M63" i="3"/>
  <c r="F64" i="3"/>
  <c r="G71" i="3"/>
  <c r="N71" i="3"/>
  <c r="J71" i="3"/>
  <c r="K71" i="3" s="1"/>
  <c r="F71" i="3"/>
  <c r="F72" i="3"/>
  <c r="G79" i="3"/>
  <c r="N79" i="3"/>
  <c r="J79" i="3"/>
  <c r="F79" i="3"/>
  <c r="M79" i="3"/>
  <c r="F80" i="3"/>
  <c r="G87" i="3"/>
  <c r="J87" i="3"/>
  <c r="F87" i="3"/>
  <c r="F88" i="3"/>
  <c r="K94" i="3"/>
  <c r="G95" i="3"/>
  <c r="BV29" i="1" s="1"/>
  <c r="BW29" i="1" s="1"/>
  <c r="J95" i="3"/>
  <c r="F95" i="3"/>
  <c r="M95" i="3"/>
  <c r="F96" i="3"/>
  <c r="G103" i="3"/>
  <c r="N103" i="3"/>
  <c r="J103" i="3"/>
  <c r="F103" i="3"/>
  <c r="F104" i="3"/>
  <c r="N104" i="3"/>
  <c r="O109" i="3"/>
  <c r="L110" i="3"/>
  <c r="AJ110" i="3" s="1"/>
  <c r="I114" i="3"/>
  <c r="O121" i="3"/>
  <c r="L126" i="3"/>
  <c r="AJ126" i="3" s="1"/>
  <c r="L130" i="3"/>
  <c r="AJ130" i="3" s="1"/>
  <c r="L138" i="3"/>
  <c r="AJ138" i="3" s="1"/>
  <c r="I142" i="3"/>
  <c r="I149" i="3"/>
  <c r="N150" i="3"/>
  <c r="G151" i="3"/>
  <c r="N151" i="3"/>
  <c r="J151" i="3"/>
  <c r="F151" i="3"/>
  <c r="AG151" i="3"/>
  <c r="M151" i="3" s="1"/>
  <c r="H151" i="3"/>
  <c r="N153" i="3"/>
  <c r="L154" i="3"/>
  <c r="AJ154" i="3" s="1"/>
  <c r="I158" i="3"/>
  <c r="A167" i="3"/>
  <c r="B167" i="3" s="1"/>
  <c r="I169" i="3"/>
  <c r="N170" i="3"/>
  <c r="G171" i="3"/>
  <c r="J171" i="3"/>
  <c r="F171" i="3"/>
  <c r="AG171" i="3"/>
  <c r="M171" i="3" s="1"/>
  <c r="H171" i="3"/>
  <c r="L174" i="3"/>
  <c r="AJ174" i="3" s="1"/>
  <c r="I178" i="3"/>
  <c r="I185" i="3"/>
  <c r="N186" i="3"/>
  <c r="G187" i="3"/>
  <c r="N187" i="3"/>
  <c r="J187" i="3"/>
  <c r="F187" i="3"/>
  <c r="AG187" i="3"/>
  <c r="H187" i="3"/>
  <c r="N189" i="3"/>
  <c r="L190" i="3"/>
  <c r="AJ190" i="3" s="1"/>
  <c r="I194" i="3"/>
  <c r="A199" i="3"/>
  <c r="B199" i="3" s="1"/>
  <c r="I201" i="3"/>
  <c r="G203" i="3"/>
  <c r="J203" i="3"/>
  <c r="F203" i="3"/>
  <c r="AG203" i="3"/>
  <c r="H203" i="3"/>
  <c r="N205" i="3"/>
  <c r="L206" i="3"/>
  <c r="AJ206" i="3" s="1"/>
  <c r="I210" i="3"/>
  <c r="M211" i="3"/>
  <c r="A215" i="3"/>
  <c r="B215" i="3" s="1"/>
  <c r="O217" i="3"/>
  <c r="L218" i="3"/>
  <c r="AJ218" i="3" s="1"/>
  <c r="I222" i="3"/>
  <c r="M227" i="3"/>
  <c r="AH229" i="3"/>
  <c r="N230" i="3"/>
  <c r="G231" i="3"/>
  <c r="N231" i="3"/>
  <c r="J231" i="3"/>
  <c r="F231" i="3"/>
  <c r="AG231" i="3"/>
  <c r="M231" i="3" s="1"/>
  <c r="H231" i="3"/>
  <c r="N233" i="3"/>
  <c r="G235" i="3"/>
  <c r="J235" i="3"/>
  <c r="F235" i="3"/>
  <c r="AG235" i="3"/>
  <c r="H235" i="3"/>
  <c r="N237" i="3"/>
  <c r="L238" i="3"/>
  <c r="AJ238" i="3" s="1"/>
  <c r="M243" i="3"/>
  <c r="I249" i="3"/>
  <c r="G251" i="3"/>
  <c r="J251" i="3"/>
  <c r="F251" i="3"/>
  <c r="AG251" i="3"/>
  <c r="H251" i="3"/>
  <c r="N253" i="3"/>
  <c r="L254" i="3"/>
  <c r="AJ254" i="3" s="1"/>
  <c r="I278" i="3"/>
  <c r="A279" i="3"/>
  <c r="B279" i="3" s="1"/>
  <c r="A305" i="3"/>
  <c r="B305" i="3" s="1"/>
  <c r="N320" i="3"/>
  <c r="U3" i="3"/>
  <c r="AD3" i="3"/>
  <c r="U4" i="3"/>
  <c r="AD4" i="3"/>
  <c r="AD5" i="3" s="1"/>
  <c r="U5" i="3"/>
  <c r="A189" i="3"/>
  <c r="B189" i="3" s="1"/>
  <c r="A185" i="3"/>
  <c r="B185" i="3" s="1"/>
  <c r="A181" i="3"/>
  <c r="B181" i="3" s="1"/>
  <c r="A177" i="3"/>
  <c r="B177" i="3" s="1"/>
  <c r="A173" i="3"/>
  <c r="B173" i="3" s="1"/>
  <c r="A169" i="3"/>
  <c r="B169" i="3" s="1"/>
  <c r="A165" i="3"/>
  <c r="B165" i="3" s="1"/>
  <c r="A190" i="3"/>
  <c r="B190" i="3" s="1"/>
  <c r="A186" i="3"/>
  <c r="B186" i="3" s="1"/>
  <c r="A182" i="3"/>
  <c r="B182" i="3" s="1"/>
  <c r="A178" i="3"/>
  <c r="B178" i="3" s="1"/>
  <c r="A174" i="3"/>
  <c r="B174" i="3" s="1"/>
  <c r="A170" i="3"/>
  <c r="B170" i="3" s="1"/>
  <c r="A166" i="3"/>
  <c r="B166" i="3" s="1"/>
  <c r="A188" i="3"/>
  <c r="A184" i="3"/>
  <c r="B184" i="3" s="1"/>
  <c r="A180" i="3"/>
  <c r="A176" i="3"/>
  <c r="A172" i="3"/>
  <c r="A168" i="3"/>
  <c r="B168" i="3" s="1"/>
  <c r="A164" i="3"/>
  <c r="B164" i="3" s="1"/>
  <c r="A298" i="3"/>
  <c r="B298" i="3" s="1"/>
  <c r="A294" i="3"/>
  <c r="A290" i="3"/>
  <c r="A286" i="3"/>
  <c r="A282" i="3"/>
  <c r="A296" i="3"/>
  <c r="B296" i="3" s="1"/>
  <c r="A292" i="3"/>
  <c r="B292" i="3" s="1"/>
  <c r="A288" i="3"/>
  <c r="B288" i="3" s="1"/>
  <c r="A284" i="3"/>
  <c r="B284" i="3" s="1"/>
  <c r="A280" i="3"/>
  <c r="B280" i="3" s="1"/>
  <c r="A277" i="3"/>
  <c r="B277" i="3" s="1"/>
  <c r="A273" i="3"/>
  <c r="B273" i="3" s="1"/>
  <c r="A297" i="3"/>
  <c r="B297" i="3" s="1"/>
  <c r="A293" i="3"/>
  <c r="B293" i="3" s="1"/>
  <c r="A289" i="3"/>
  <c r="B289" i="3" s="1"/>
  <c r="A285" i="3"/>
  <c r="B285" i="3" s="1"/>
  <c r="A281" i="3"/>
  <c r="B281" i="3" s="1"/>
  <c r="A278" i="3"/>
  <c r="B278" i="3" s="1"/>
  <c r="A274" i="3"/>
  <c r="B274" i="3" s="1"/>
  <c r="A276" i="3"/>
  <c r="A272" i="3"/>
  <c r="M14" i="3"/>
  <c r="A405" i="3"/>
  <c r="B405" i="3" s="1"/>
  <c r="A401" i="3"/>
  <c r="B401" i="3" s="1"/>
  <c r="A397" i="3"/>
  <c r="B397" i="3" s="1"/>
  <c r="A393" i="3"/>
  <c r="B393" i="3" s="1"/>
  <c r="A389" i="3"/>
  <c r="B389" i="3" s="1"/>
  <c r="A385" i="3"/>
  <c r="B385" i="3" s="1"/>
  <c r="A381" i="3"/>
  <c r="B381" i="3" s="1"/>
  <c r="A406" i="3"/>
  <c r="B406" i="3" s="1"/>
  <c r="A402" i="3"/>
  <c r="B402" i="3" s="1"/>
  <c r="A398" i="3"/>
  <c r="B398" i="3" s="1"/>
  <c r="A394" i="3"/>
  <c r="B394" i="3" s="1"/>
  <c r="A390" i="3"/>
  <c r="B390" i="3" s="1"/>
  <c r="A386" i="3"/>
  <c r="B386" i="3" s="1"/>
  <c r="A382" i="3"/>
  <c r="B382" i="3" s="1"/>
  <c r="A396" i="3"/>
  <c r="B396" i="3" s="1"/>
  <c r="A395" i="3"/>
  <c r="B395" i="3" s="1"/>
  <c r="A391" i="3"/>
  <c r="B391" i="3" s="1"/>
  <c r="A380" i="3"/>
  <c r="B380" i="3" s="1"/>
  <c r="A400" i="3"/>
  <c r="B400" i="3" s="1"/>
  <c r="A384" i="3"/>
  <c r="B384" i="3" s="1"/>
  <c r="A404" i="3"/>
  <c r="B404" i="3" s="1"/>
  <c r="A403" i="3"/>
  <c r="B403" i="3" s="1"/>
  <c r="A399" i="3"/>
  <c r="B399" i="3" s="1"/>
  <c r="A388" i="3"/>
  <c r="B388" i="3" s="1"/>
  <c r="A387" i="3"/>
  <c r="B387" i="3" s="1"/>
  <c r="A383" i="3"/>
  <c r="B383" i="3" s="1"/>
  <c r="A392" i="3"/>
  <c r="B392" i="3" s="1"/>
  <c r="A512" i="3"/>
  <c r="B512" i="3" s="1"/>
  <c r="A508" i="3"/>
  <c r="B508" i="3" s="1"/>
  <c r="A504" i="3"/>
  <c r="B504" i="3" s="1"/>
  <c r="A500" i="3"/>
  <c r="B500" i="3" s="1"/>
  <c r="A496" i="3"/>
  <c r="B496" i="3" s="1"/>
  <c r="A492" i="3"/>
  <c r="B492" i="3" s="1"/>
  <c r="A488" i="3"/>
  <c r="B488" i="3" s="1"/>
  <c r="A513" i="3"/>
  <c r="B513" i="3" s="1"/>
  <c r="A509" i="3"/>
  <c r="B509" i="3" s="1"/>
  <c r="A505" i="3"/>
  <c r="B505" i="3" s="1"/>
  <c r="A501" i="3"/>
  <c r="B501" i="3" s="1"/>
  <c r="A497" i="3"/>
  <c r="B497" i="3" s="1"/>
  <c r="A493" i="3"/>
  <c r="B493" i="3" s="1"/>
  <c r="A489" i="3"/>
  <c r="B489" i="3" s="1"/>
  <c r="A514" i="3"/>
  <c r="B514" i="3" s="1"/>
  <c r="A507" i="3"/>
  <c r="B507" i="3" s="1"/>
  <c r="A506" i="3"/>
  <c r="B506" i="3" s="1"/>
  <c r="A499" i="3"/>
  <c r="B499" i="3" s="1"/>
  <c r="A498" i="3"/>
  <c r="B498" i="3" s="1"/>
  <c r="A491" i="3"/>
  <c r="B491" i="3" s="1"/>
  <c r="A490" i="3"/>
  <c r="B490" i="3" s="1"/>
  <c r="A502" i="3"/>
  <c r="B502" i="3" s="1"/>
  <c r="A510" i="3"/>
  <c r="B510" i="3" s="1"/>
  <c r="A495" i="3"/>
  <c r="B495" i="3" s="1"/>
  <c r="A503" i="3"/>
  <c r="B503" i="3" s="1"/>
  <c r="A511" i="3"/>
  <c r="B511" i="3" s="1"/>
  <c r="A494" i="3"/>
  <c r="B494" i="3" s="1"/>
  <c r="M22" i="3"/>
  <c r="A620" i="3"/>
  <c r="B620" i="3" s="1"/>
  <c r="A616" i="3"/>
  <c r="B616" i="3" s="1"/>
  <c r="A612" i="3"/>
  <c r="A621" i="3"/>
  <c r="B621" i="3" s="1"/>
  <c r="A617" i="3"/>
  <c r="B617" i="3" s="1"/>
  <c r="A613" i="3"/>
  <c r="B613" i="3" s="1"/>
  <c r="A609" i="3"/>
  <c r="B609" i="3" s="1"/>
  <c r="A605" i="3"/>
  <c r="B605" i="3" s="1"/>
  <c r="A601" i="3"/>
  <c r="B601" i="3" s="1"/>
  <c r="A597" i="3"/>
  <c r="B597" i="3" s="1"/>
  <c r="A619" i="3"/>
  <c r="B619" i="3" s="1"/>
  <c r="A618" i="3"/>
  <c r="A615" i="3"/>
  <c r="B615" i="3" s="1"/>
  <c r="A614" i="3"/>
  <c r="B614" i="3" s="1"/>
  <c r="A607" i="3"/>
  <c r="B607" i="3" s="1"/>
  <c r="A603" i="3"/>
  <c r="B603" i="3" s="1"/>
  <c r="A599" i="3"/>
  <c r="B599" i="3" s="1"/>
  <c r="A611" i="3"/>
  <c r="B611" i="3" s="1"/>
  <c r="A608" i="3"/>
  <c r="B608" i="3" s="1"/>
  <c r="A604" i="3"/>
  <c r="B604" i="3" s="1"/>
  <c r="A600" i="3"/>
  <c r="B600" i="3" s="1"/>
  <c r="A596" i="3"/>
  <c r="B596" i="3" s="1"/>
  <c r="A598" i="3"/>
  <c r="B598" i="3" s="1"/>
  <c r="A622" i="3"/>
  <c r="B622" i="3" s="1"/>
  <c r="A602" i="3"/>
  <c r="B602" i="3" s="1"/>
  <c r="A610" i="3"/>
  <c r="B610" i="3" s="1"/>
  <c r="A606" i="3"/>
  <c r="B606" i="3" s="1"/>
  <c r="AH27" i="3"/>
  <c r="G27" i="3"/>
  <c r="BV43" i="1" s="1"/>
  <c r="BW43" i="1" s="1"/>
  <c r="J27" i="3"/>
  <c r="AG27" i="3"/>
  <c r="N27" i="3" s="1"/>
  <c r="AC28" i="3"/>
  <c r="I30" i="3"/>
  <c r="AG32" i="3"/>
  <c r="N32" i="3" s="1"/>
  <c r="H32" i="3"/>
  <c r="G32" i="3"/>
  <c r="N34" i="3"/>
  <c r="L34" i="3"/>
  <c r="AJ34" i="3" s="1"/>
  <c r="G39" i="3"/>
  <c r="N39" i="3"/>
  <c r="J39" i="3"/>
  <c r="F39" i="3"/>
  <c r="M39" i="3"/>
  <c r="I42" i="3"/>
  <c r="AG44" i="3"/>
  <c r="N44" i="3" s="1"/>
  <c r="H44" i="3"/>
  <c r="G44" i="3"/>
  <c r="M44" i="3"/>
  <c r="N46" i="3"/>
  <c r="L46" i="3"/>
  <c r="AJ46" i="3" s="1"/>
  <c r="I49" i="3"/>
  <c r="I50" i="3"/>
  <c r="AG52" i="3"/>
  <c r="N52" i="3" s="1"/>
  <c r="H52" i="3"/>
  <c r="G52" i="3"/>
  <c r="N54" i="3"/>
  <c r="L54" i="3"/>
  <c r="AJ54" i="3" s="1"/>
  <c r="I57" i="3"/>
  <c r="I58" i="3"/>
  <c r="AG60" i="3"/>
  <c r="N60" i="3" s="1"/>
  <c r="H60" i="3"/>
  <c r="G60" i="3"/>
  <c r="L62" i="3"/>
  <c r="AJ62" i="3" s="1"/>
  <c r="I65" i="3"/>
  <c r="AG68" i="3"/>
  <c r="N68" i="3" s="1"/>
  <c r="H68" i="3"/>
  <c r="G68" i="3"/>
  <c r="N70" i="3"/>
  <c r="L70" i="3"/>
  <c r="AJ70" i="3" s="1"/>
  <c r="I73" i="3"/>
  <c r="I74" i="3"/>
  <c r="AG76" i="3"/>
  <c r="N76" i="3" s="1"/>
  <c r="H76" i="3"/>
  <c r="G76" i="3"/>
  <c r="BV38" i="1" s="1"/>
  <c r="BW38" i="1" s="1"/>
  <c r="N78" i="3"/>
  <c r="H79" i="3"/>
  <c r="AG79" i="3"/>
  <c r="I81" i="3"/>
  <c r="AG84" i="3"/>
  <c r="H84" i="3"/>
  <c r="G84" i="3"/>
  <c r="M84" i="3"/>
  <c r="L86" i="3"/>
  <c r="AJ86" i="3" s="1"/>
  <c r="H87" i="3"/>
  <c r="AG87" i="3"/>
  <c r="N87" i="3" s="1"/>
  <c r="I89" i="3"/>
  <c r="I90" i="3"/>
  <c r="AG92" i="3"/>
  <c r="N92" i="3" s="1"/>
  <c r="H92" i="3"/>
  <c r="G92" i="3"/>
  <c r="L94" i="3"/>
  <c r="AJ94" i="3" s="1"/>
  <c r="H95" i="3"/>
  <c r="AG95" i="3"/>
  <c r="N95" i="3" s="1"/>
  <c r="I97" i="3"/>
  <c r="I98" i="3"/>
  <c r="AG100" i="3"/>
  <c r="H100" i="3"/>
  <c r="G100" i="3"/>
  <c r="BV35" i="1" s="1"/>
  <c r="BW35" i="1" s="1"/>
  <c r="L102" i="3"/>
  <c r="AJ102" i="3" s="1"/>
  <c r="H103" i="3"/>
  <c r="AG103" i="3"/>
  <c r="M103" i="3" s="1"/>
  <c r="I105" i="3"/>
  <c r="I106" i="3"/>
  <c r="N110" i="3"/>
  <c r="G111" i="3"/>
  <c r="J111" i="3"/>
  <c r="F111" i="3"/>
  <c r="AG111" i="3"/>
  <c r="M111" i="3" s="1"/>
  <c r="H111" i="3"/>
  <c r="N113" i="3"/>
  <c r="L114" i="3"/>
  <c r="AJ114" i="3" s="1"/>
  <c r="I118" i="3"/>
  <c r="N122" i="3"/>
  <c r="G123" i="3"/>
  <c r="N123" i="3"/>
  <c r="J123" i="3"/>
  <c r="F123" i="3"/>
  <c r="AG123" i="3"/>
  <c r="H123" i="3"/>
  <c r="N126" i="3"/>
  <c r="G127" i="3"/>
  <c r="N127" i="3"/>
  <c r="J127" i="3"/>
  <c r="F127" i="3"/>
  <c r="AG127" i="3"/>
  <c r="H127" i="3"/>
  <c r="N129" i="3"/>
  <c r="N130" i="3"/>
  <c r="G131" i="3"/>
  <c r="N131" i="3"/>
  <c r="J131" i="3"/>
  <c r="F131" i="3"/>
  <c r="AG131" i="3"/>
  <c r="H131" i="3"/>
  <c r="N133" i="3"/>
  <c r="N134" i="3"/>
  <c r="G135" i="3"/>
  <c r="J135" i="3"/>
  <c r="F135" i="3"/>
  <c r="AG135" i="3"/>
  <c r="H135" i="3"/>
  <c r="N137" i="3"/>
  <c r="N138" i="3"/>
  <c r="G139" i="3"/>
  <c r="N139" i="3"/>
  <c r="J139" i="3"/>
  <c r="F139" i="3"/>
  <c r="AG139" i="3"/>
  <c r="H139" i="3"/>
  <c r="L142" i="3"/>
  <c r="AJ142" i="3" s="1"/>
  <c r="I146" i="3"/>
  <c r="I153" i="3"/>
  <c r="G155" i="3"/>
  <c r="N155" i="3"/>
  <c r="J155" i="3"/>
  <c r="F155" i="3"/>
  <c r="AG155" i="3"/>
  <c r="H155" i="3"/>
  <c r="L158" i="3"/>
  <c r="AJ158" i="3" s="1"/>
  <c r="I162" i="3"/>
  <c r="M163" i="3"/>
  <c r="I166" i="3"/>
  <c r="M167" i="3"/>
  <c r="A171" i="3"/>
  <c r="B171" i="3" s="1"/>
  <c r="I173" i="3"/>
  <c r="N174" i="3"/>
  <c r="G175" i="3"/>
  <c r="N175" i="3"/>
  <c r="J175" i="3"/>
  <c r="F175" i="3"/>
  <c r="AG175" i="3"/>
  <c r="H175" i="3"/>
  <c r="N177" i="3"/>
  <c r="L178" i="3"/>
  <c r="AJ178" i="3" s="1"/>
  <c r="I182" i="3"/>
  <c r="A187" i="3"/>
  <c r="B187" i="3" s="1"/>
  <c r="I189" i="3"/>
  <c r="G191" i="3"/>
  <c r="N191" i="3"/>
  <c r="J191" i="3"/>
  <c r="F191" i="3"/>
  <c r="AG191" i="3"/>
  <c r="M191" i="3" s="1"/>
  <c r="H191" i="3"/>
  <c r="N193" i="3"/>
  <c r="L194" i="3"/>
  <c r="AJ194" i="3" s="1"/>
  <c r="I198" i="3"/>
  <c r="A203" i="3"/>
  <c r="B203" i="3" s="1"/>
  <c r="I205" i="3"/>
  <c r="G207" i="3"/>
  <c r="N207" i="3"/>
  <c r="J207" i="3"/>
  <c r="F207" i="3"/>
  <c r="AG207" i="3"/>
  <c r="H207" i="3"/>
  <c r="N209" i="3"/>
  <c r="L210" i="3"/>
  <c r="AJ210" i="3" s="1"/>
  <c r="I214" i="3"/>
  <c r="M215" i="3"/>
  <c r="G219" i="3"/>
  <c r="N219" i="3"/>
  <c r="J219" i="3"/>
  <c r="F219" i="3"/>
  <c r="AG219" i="3"/>
  <c r="M219" i="3" s="1"/>
  <c r="H219" i="3"/>
  <c r="N221" i="3"/>
  <c r="L222" i="3"/>
  <c r="AJ222" i="3" s="1"/>
  <c r="K229" i="3"/>
  <c r="I237" i="3"/>
  <c r="N238" i="3"/>
  <c r="G239" i="3"/>
  <c r="J239" i="3"/>
  <c r="F239" i="3"/>
  <c r="AG239" i="3"/>
  <c r="M239" i="3" s="1"/>
  <c r="H239" i="3"/>
  <c r="I246" i="3"/>
  <c r="I253" i="3"/>
  <c r="N254" i="3"/>
  <c r="G255" i="3"/>
  <c r="N255" i="3"/>
  <c r="J255" i="3"/>
  <c r="F255" i="3"/>
  <c r="AG255" i="3"/>
  <c r="H255" i="3"/>
  <c r="N257" i="3"/>
  <c r="N258" i="3"/>
  <c r="G259" i="3"/>
  <c r="N259" i="3"/>
  <c r="J259" i="3"/>
  <c r="F259" i="3"/>
  <c r="AG259" i="3"/>
  <c r="H259" i="3"/>
  <c r="N261" i="3"/>
  <c r="N262" i="3"/>
  <c r="G263" i="3"/>
  <c r="J263" i="3"/>
  <c r="F263" i="3"/>
  <c r="AG263" i="3"/>
  <c r="H263" i="3"/>
  <c r="N265" i="3"/>
  <c r="N266" i="3"/>
  <c r="G267" i="3"/>
  <c r="N267" i="3"/>
  <c r="J267" i="3"/>
  <c r="F267" i="3"/>
  <c r="AG267" i="3"/>
  <c r="H267" i="3"/>
  <c r="N270" i="3"/>
  <c r="G271" i="3"/>
  <c r="N271" i="3"/>
  <c r="J271" i="3"/>
  <c r="F271" i="3"/>
  <c r="AG271" i="3"/>
  <c r="H271" i="3"/>
  <c r="L274" i="3"/>
  <c r="AJ274" i="3" s="1"/>
  <c r="A287" i="3"/>
  <c r="B287" i="3" s="1"/>
  <c r="A300" i="3"/>
  <c r="B300" i="3" s="1"/>
  <c r="L300" i="3"/>
  <c r="AJ300" i="3" s="1"/>
  <c r="I300" i="3"/>
  <c r="M108" i="3"/>
  <c r="M120" i="3"/>
  <c r="M136" i="3"/>
  <c r="M148" i="3"/>
  <c r="M164" i="3"/>
  <c r="M168" i="3"/>
  <c r="M184" i="3"/>
  <c r="M244" i="3"/>
  <c r="M248" i="3"/>
  <c r="M256" i="3"/>
  <c r="N279" i="3"/>
  <c r="J279" i="3"/>
  <c r="F279" i="3"/>
  <c r="AG279" i="3"/>
  <c r="N283" i="3"/>
  <c r="J283" i="3"/>
  <c r="F283" i="3"/>
  <c r="AG283" i="3"/>
  <c r="I286" i="3"/>
  <c r="N287" i="3"/>
  <c r="J287" i="3"/>
  <c r="F287" i="3"/>
  <c r="AG287" i="3"/>
  <c r="I290" i="3"/>
  <c r="N291" i="3"/>
  <c r="J291" i="3"/>
  <c r="F291" i="3"/>
  <c r="AG291" i="3"/>
  <c r="M291" i="3" s="1"/>
  <c r="I294" i="3"/>
  <c r="J295" i="3"/>
  <c r="F295" i="3"/>
  <c r="AG295" i="3"/>
  <c r="N295" i="3" s="1"/>
  <c r="J299" i="3"/>
  <c r="F299" i="3"/>
  <c r="AG299" i="3"/>
  <c r="M299" i="3" s="1"/>
  <c r="G300" i="3"/>
  <c r="F300" i="3"/>
  <c r="M300" i="3"/>
  <c r="AG301" i="3"/>
  <c r="H301" i="3"/>
  <c r="M301" i="3"/>
  <c r="G301" i="3"/>
  <c r="N302" i="3"/>
  <c r="AJ311" i="3"/>
  <c r="G312" i="3"/>
  <c r="F312" i="3"/>
  <c r="M312" i="3"/>
  <c r="AG313" i="3"/>
  <c r="M313" i="3" s="1"/>
  <c r="H313" i="3"/>
  <c r="G313" i="3"/>
  <c r="N314" i="3"/>
  <c r="AJ327" i="3"/>
  <c r="G328" i="3"/>
  <c r="F328" i="3"/>
  <c r="AG329" i="3"/>
  <c r="M329" i="3" s="1"/>
  <c r="H329" i="3"/>
  <c r="G329" i="3"/>
  <c r="N330" i="3"/>
  <c r="I332" i="3"/>
  <c r="L332" i="3"/>
  <c r="AJ332" i="3" s="1"/>
  <c r="M345" i="3"/>
  <c r="I383" i="3"/>
  <c r="M388" i="3"/>
  <c r="M448" i="3"/>
  <c r="H312" i="3"/>
  <c r="F313" i="3"/>
  <c r="G316" i="3"/>
  <c r="F316" i="3"/>
  <c r="AG317" i="3"/>
  <c r="N317" i="3" s="1"/>
  <c r="H317" i="3"/>
  <c r="G317" i="3"/>
  <c r="N318" i="3"/>
  <c r="I319" i="3"/>
  <c r="I324" i="3"/>
  <c r="H328" i="3"/>
  <c r="F329" i="3"/>
  <c r="N329" i="3"/>
  <c r="G336" i="3"/>
  <c r="N336" i="3"/>
  <c r="F336" i="3"/>
  <c r="AG336" i="3"/>
  <c r="N342" i="3"/>
  <c r="G348" i="3"/>
  <c r="N348" i="3"/>
  <c r="M348" i="3"/>
  <c r="H348" i="3"/>
  <c r="F348" i="3"/>
  <c r="G352" i="3"/>
  <c r="N352" i="3"/>
  <c r="M352" i="3"/>
  <c r="H352" i="3"/>
  <c r="F352" i="3"/>
  <c r="N354" i="3"/>
  <c r="N362" i="3"/>
  <c r="N366" i="3"/>
  <c r="M420" i="3"/>
  <c r="M447" i="3"/>
  <c r="AH30" i="3"/>
  <c r="L33" i="3"/>
  <c r="AJ33" i="3" s="1"/>
  <c r="M34" i="3"/>
  <c r="AH34" i="3"/>
  <c r="AH38" i="3"/>
  <c r="M42" i="3"/>
  <c r="AH42" i="3"/>
  <c r="L45" i="3"/>
  <c r="AJ45" i="3" s="1"/>
  <c r="M46" i="3"/>
  <c r="AH46" i="3"/>
  <c r="L49" i="3"/>
  <c r="AJ49" i="3" s="1"/>
  <c r="AH50" i="3"/>
  <c r="L53" i="3"/>
  <c r="AJ53" i="3" s="1"/>
  <c r="L57" i="3"/>
  <c r="AJ57" i="3" s="1"/>
  <c r="M58" i="3"/>
  <c r="L61" i="3"/>
  <c r="AJ61" i="3" s="1"/>
  <c r="L65" i="3"/>
  <c r="AJ65" i="3" s="1"/>
  <c r="M66" i="3"/>
  <c r="L69" i="3"/>
  <c r="AJ69" i="3" s="1"/>
  <c r="L73" i="3"/>
  <c r="AJ73" i="3" s="1"/>
  <c r="M74" i="3"/>
  <c r="L77" i="3"/>
  <c r="AJ77" i="3" s="1"/>
  <c r="L81" i="3"/>
  <c r="AJ81" i="3" s="1"/>
  <c r="M82" i="3"/>
  <c r="AH82" i="3"/>
  <c r="L85" i="3"/>
  <c r="AJ85" i="3" s="1"/>
  <c r="L89" i="3"/>
  <c r="AJ89" i="3" s="1"/>
  <c r="M90" i="3"/>
  <c r="L93" i="3"/>
  <c r="AJ93" i="3" s="1"/>
  <c r="M94" i="3"/>
  <c r="AH94" i="3"/>
  <c r="L97" i="3"/>
  <c r="AJ97" i="3" s="1"/>
  <c r="M98" i="3"/>
  <c r="L101" i="3"/>
  <c r="AJ101" i="3" s="1"/>
  <c r="L105" i="3"/>
  <c r="AJ105" i="3" s="1"/>
  <c r="M106" i="3"/>
  <c r="G108" i="3"/>
  <c r="L109" i="3"/>
  <c r="AJ109" i="3" s="1"/>
  <c r="M110" i="3"/>
  <c r="G112" i="3"/>
  <c r="L113" i="3"/>
  <c r="AJ113" i="3" s="1"/>
  <c r="M114" i="3"/>
  <c r="G116" i="3"/>
  <c r="L117" i="3"/>
  <c r="AJ117" i="3" s="1"/>
  <c r="M118" i="3"/>
  <c r="G120" i="3"/>
  <c r="L121" i="3"/>
  <c r="AJ121" i="3" s="1"/>
  <c r="M122" i="3"/>
  <c r="G124" i="3"/>
  <c r="G128" i="3"/>
  <c r="G132" i="3"/>
  <c r="G136" i="3"/>
  <c r="M138" i="3"/>
  <c r="G140" i="3"/>
  <c r="L141" i="3"/>
  <c r="AJ141" i="3" s="1"/>
  <c r="M142" i="3"/>
  <c r="G144" i="3"/>
  <c r="L145" i="3"/>
  <c r="AJ145" i="3" s="1"/>
  <c r="M146" i="3"/>
  <c r="G148" i="3"/>
  <c r="L149" i="3"/>
  <c r="AJ149" i="3" s="1"/>
  <c r="M150" i="3"/>
  <c r="G152" i="3"/>
  <c r="L153" i="3"/>
  <c r="AJ153" i="3" s="1"/>
  <c r="M154" i="3"/>
  <c r="G156" i="3"/>
  <c r="L157" i="3"/>
  <c r="AJ157" i="3" s="1"/>
  <c r="M158" i="3"/>
  <c r="G160" i="3"/>
  <c r="L161" i="3"/>
  <c r="AJ161" i="3" s="1"/>
  <c r="M162" i="3"/>
  <c r="G164" i="3"/>
  <c r="G168" i="3"/>
  <c r="L169" i="3"/>
  <c r="AJ169" i="3" s="1"/>
  <c r="G172" i="3"/>
  <c r="L173" i="3"/>
  <c r="AJ173" i="3" s="1"/>
  <c r="G176" i="3"/>
  <c r="L177" i="3"/>
  <c r="AJ177" i="3" s="1"/>
  <c r="G180" i="3"/>
  <c r="L181" i="3"/>
  <c r="AJ181" i="3" s="1"/>
  <c r="G184" i="3"/>
  <c r="L185" i="3"/>
  <c r="AJ185" i="3" s="1"/>
  <c r="G188" i="3"/>
  <c r="L189" i="3"/>
  <c r="AJ189" i="3" s="1"/>
  <c r="M190" i="3"/>
  <c r="AH190" i="3"/>
  <c r="G192" i="3"/>
  <c r="L193" i="3"/>
  <c r="AJ193" i="3" s="1"/>
  <c r="G196" i="3"/>
  <c r="L197" i="3"/>
  <c r="AJ197" i="3" s="1"/>
  <c r="G200" i="3"/>
  <c r="L201" i="3"/>
  <c r="AJ201" i="3" s="1"/>
  <c r="M202" i="3"/>
  <c r="AH202" i="3"/>
  <c r="G204" i="3"/>
  <c r="L205" i="3"/>
  <c r="AJ205" i="3" s="1"/>
  <c r="G208" i="3"/>
  <c r="L209" i="3"/>
  <c r="AJ209" i="3" s="1"/>
  <c r="G212" i="3"/>
  <c r="L213" i="3"/>
  <c r="AJ213" i="3" s="1"/>
  <c r="G216" i="3"/>
  <c r="L217" i="3"/>
  <c r="AJ217" i="3" s="1"/>
  <c r="G220" i="3"/>
  <c r="L221" i="3"/>
  <c r="AJ221" i="3" s="1"/>
  <c r="G224" i="3"/>
  <c r="G228" i="3"/>
  <c r="L229" i="3"/>
  <c r="AJ229" i="3" s="1"/>
  <c r="G232" i="3"/>
  <c r="G236" i="3"/>
  <c r="L237" i="3"/>
  <c r="AJ237" i="3" s="1"/>
  <c r="G240" i="3"/>
  <c r="L241" i="3"/>
  <c r="AJ241" i="3" s="1"/>
  <c r="G244" i="3"/>
  <c r="L245" i="3"/>
  <c r="AJ245" i="3" s="1"/>
  <c r="G248" i="3"/>
  <c r="L249" i="3"/>
  <c r="AJ249" i="3" s="1"/>
  <c r="G252" i="3"/>
  <c r="L253" i="3"/>
  <c r="AJ253" i="3" s="1"/>
  <c r="G256" i="3"/>
  <c r="M258" i="3"/>
  <c r="G260" i="3"/>
  <c r="G264" i="3"/>
  <c r="G268" i="3"/>
  <c r="G272" i="3"/>
  <c r="H273" i="3"/>
  <c r="AG273" i="3"/>
  <c r="N273" i="3" s="1"/>
  <c r="G276" i="3"/>
  <c r="H277" i="3"/>
  <c r="AG277" i="3"/>
  <c r="H279" i="3"/>
  <c r="M279" i="3"/>
  <c r="AG281" i="3"/>
  <c r="H281" i="3"/>
  <c r="J281" i="3"/>
  <c r="H283" i="3"/>
  <c r="M283" i="3"/>
  <c r="AG285" i="3"/>
  <c r="H285" i="3"/>
  <c r="J285" i="3"/>
  <c r="H287" i="3"/>
  <c r="M287" i="3"/>
  <c r="AG289" i="3"/>
  <c r="H289" i="3"/>
  <c r="J289" i="3"/>
  <c r="H291" i="3"/>
  <c r="AG293" i="3"/>
  <c r="H293" i="3"/>
  <c r="J293" i="3"/>
  <c r="H295" i="3"/>
  <c r="M295" i="3"/>
  <c r="AG297" i="3"/>
  <c r="H297" i="3"/>
  <c r="J297" i="3"/>
  <c r="K298" i="3"/>
  <c r="H299" i="3"/>
  <c r="AG300" i="3"/>
  <c r="G308" i="3"/>
  <c r="F308" i="3"/>
  <c r="M308" i="3"/>
  <c r="AG309" i="3"/>
  <c r="N309" i="3" s="1"/>
  <c r="H309" i="3"/>
  <c r="G309" i="3"/>
  <c r="AH310" i="3"/>
  <c r="AG312" i="3"/>
  <c r="N312" i="3" s="1"/>
  <c r="H316" i="3"/>
  <c r="F317" i="3"/>
  <c r="G320" i="3"/>
  <c r="F320" i="3"/>
  <c r="M320" i="3" s="1"/>
  <c r="AG321" i="3"/>
  <c r="H321" i="3"/>
  <c r="M321" i="3"/>
  <c r="G321" i="3"/>
  <c r="I323" i="3"/>
  <c r="J325" i="3"/>
  <c r="AG328" i="3"/>
  <c r="N328" i="3" s="1"/>
  <c r="H336" i="3"/>
  <c r="N338" i="3"/>
  <c r="G344" i="3"/>
  <c r="N344" i="3"/>
  <c r="M344" i="3"/>
  <c r="H344" i="3"/>
  <c r="F344" i="3"/>
  <c r="J348" i="3"/>
  <c r="N350" i="3"/>
  <c r="J352" i="3"/>
  <c r="AJ391" i="3"/>
  <c r="AH391" i="3"/>
  <c r="M392" i="3"/>
  <c r="I399" i="3"/>
  <c r="M432" i="3"/>
  <c r="F30" i="3"/>
  <c r="M30" i="3" s="1"/>
  <c r="J30" i="3"/>
  <c r="F34" i="3"/>
  <c r="J34" i="3"/>
  <c r="F38" i="3"/>
  <c r="M38" i="3" s="1"/>
  <c r="J38" i="3"/>
  <c r="F42" i="3"/>
  <c r="J42" i="3"/>
  <c r="F46" i="3"/>
  <c r="J46" i="3"/>
  <c r="M49" i="3"/>
  <c r="F50" i="3"/>
  <c r="J50" i="3"/>
  <c r="M53" i="3"/>
  <c r="F54" i="3"/>
  <c r="M54" i="3" s="1"/>
  <c r="J54" i="3"/>
  <c r="M57" i="3"/>
  <c r="F58" i="3"/>
  <c r="J58" i="3"/>
  <c r="F62" i="3"/>
  <c r="J62" i="3"/>
  <c r="M65" i="3"/>
  <c r="F66" i="3"/>
  <c r="J66" i="3"/>
  <c r="M69" i="3"/>
  <c r="F70" i="3"/>
  <c r="M70" i="3" s="1"/>
  <c r="J70" i="3"/>
  <c r="M73" i="3"/>
  <c r="F74" i="3"/>
  <c r="J74" i="3"/>
  <c r="F78" i="3"/>
  <c r="J78" i="3"/>
  <c r="M81" i="3"/>
  <c r="F82" i="3"/>
  <c r="J82" i="3"/>
  <c r="M85" i="3"/>
  <c r="F86" i="3"/>
  <c r="M86" i="3" s="1"/>
  <c r="J86" i="3"/>
  <c r="M89" i="3"/>
  <c r="F90" i="3"/>
  <c r="J90" i="3"/>
  <c r="F94" i="3"/>
  <c r="J94" i="3"/>
  <c r="M97" i="3"/>
  <c r="F98" i="3"/>
  <c r="J98" i="3"/>
  <c r="M101" i="3"/>
  <c r="F102" i="3"/>
  <c r="M102" i="3" s="1"/>
  <c r="J102" i="3"/>
  <c r="M105" i="3"/>
  <c r="F106" i="3"/>
  <c r="J106" i="3"/>
  <c r="H108" i="3"/>
  <c r="M109" i="3"/>
  <c r="F110" i="3"/>
  <c r="J110" i="3"/>
  <c r="H112" i="3"/>
  <c r="M113" i="3"/>
  <c r="F114" i="3"/>
  <c r="J114" i="3"/>
  <c r="H116" i="3"/>
  <c r="M117" i="3"/>
  <c r="F118" i="3"/>
  <c r="J118" i="3"/>
  <c r="H120" i="3"/>
  <c r="M121" i="3"/>
  <c r="F122" i="3"/>
  <c r="J122" i="3"/>
  <c r="H124" i="3"/>
  <c r="F126" i="3"/>
  <c r="M126" i="3" s="1"/>
  <c r="J126" i="3"/>
  <c r="H128" i="3"/>
  <c r="M129" i="3"/>
  <c r="F130" i="3"/>
  <c r="M130" i="3" s="1"/>
  <c r="J130" i="3"/>
  <c r="H132" i="3"/>
  <c r="M133" i="3"/>
  <c r="F134" i="3"/>
  <c r="M134" i="3" s="1"/>
  <c r="J134" i="3"/>
  <c r="H136" i="3"/>
  <c r="M137" i="3"/>
  <c r="F138" i="3"/>
  <c r="J138" i="3"/>
  <c r="H140" i="3"/>
  <c r="F142" i="3"/>
  <c r="J142" i="3"/>
  <c r="H144" i="3"/>
  <c r="M145" i="3"/>
  <c r="F146" i="3"/>
  <c r="J146" i="3"/>
  <c r="H148" i="3"/>
  <c r="M149" i="3"/>
  <c r="F150" i="3"/>
  <c r="J150" i="3"/>
  <c r="H152" i="3"/>
  <c r="M153" i="3"/>
  <c r="F154" i="3"/>
  <c r="J154" i="3"/>
  <c r="H156" i="3"/>
  <c r="F158" i="3"/>
  <c r="J158" i="3"/>
  <c r="H160" i="3"/>
  <c r="M161" i="3"/>
  <c r="F162" i="3"/>
  <c r="J162" i="3"/>
  <c r="H164" i="3"/>
  <c r="F166" i="3"/>
  <c r="M166" i="3" s="1"/>
  <c r="J166" i="3"/>
  <c r="H168" i="3"/>
  <c r="F170" i="3"/>
  <c r="M170" i="3" s="1"/>
  <c r="J170" i="3"/>
  <c r="H172" i="3"/>
  <c r="M173" i="3"/>
  <c r="F174" i="3"/>
  <c r="M174" i="3" s="1"/>
  <c r="J174" i="3"/>
  <c r="H176" i="3"/>
  <c r="M177" i="3"/>
  <c r="F178" i="3"/>
  <c r="M178" i="3" s="1"/>
  <c r="J178" i="3"/>
  <c r="H180" i="3"/>
  <c r="F182" i="3"/>
  <c r="M182" i="3" s="1"/>
  <c r="J182" i="3"/>
  <c r="H184" i="3"/>
  <c r="F186" i="3"/>
  <c r="M186" i="3" s="1"/>
  <c r="J186" i="3"/>
  <c r="H188" i="3"/>
  <c r="M189" i="3"/>
  <c r="F190" i="3"/>
  <c r="J190" i="3"/>
  <c r="H192" i="3"/>
  <c r="M193" i="3"/>
  <c r="F194" i="3"/>
  <c r="M194" i="3" s="1"/>
  <c r="J194" i="3"/>
  <c r="H196" i="3"/>
  <c r="F198" i="3"/>
  <c r="M198" i="3" s="1"/>
  <c r="J198" i="3"/>
  <c r="H200" i="3"/>
  <c r="M201" i="3"/>
  <c r="F202" i="3"/>
  <c r="J202" i="3"/>
  <c r="H204" i="3"/>
  <c r="M205" i="3"/>
  <c r="F206" i="3"/>
  <c r="M206" i="3" s="1"/>
  <c r="J206" i="3"/>
  <c r="H208" i="3"/>
  <c r="M209" i="3"/>
  <c r="F210" i="3"/>
  <c r="M210" i="3" s="1"/>
  <c r="J210" i="3"/>
  <c r="H212" i="3"/>
  <c r="F214" i="3"/>
  <c r="M214" i="3" s="1"/>
  <c r="J214" i="3"/>
  <c r="H216" i="3"/>
  <c r="M217" i="3"/>
  <c r="F218" i="3"/>
  <c r="M218" i="3" s="1"/>
  <c r="J218" i="3"/>
  <c r="H220" i="3"/>
  <c r="M221" i="3"/>
  <c r="F222" i="3"/>
  <c r="M222" i="3" s="1"/>
  <c r="J222" i="3"/>
  <c r="H224" i="3"/>
  <c r="F226" i="3"/>
  <c r="M226" i="3" s="1"/>
  <c r="J226" i="3"/>
  <c r="H228" i="3"/>
  <c r="M229" i="3"/>
  <c r="F230" i="3"/>
  <c r="M230" i="3" s="1"/>
  <c r="J230" i="3"/>
  <c r="H232" i="3"/>
  <c r="M233" i="3"/>
  <c r="F234" i="3"/>
  <c r="M234" i="3" s="1"/>
  <c r="J234" i="3"/>
  <c r="H236" i="3"/>
  <c r="M237" i="3"/>
  <c r="F238" i="3"/>
  <c r="M238" i="3" s="1"/>
  <c r="J238" i="3"/>
  <c r="H240" i="3"/>
  <c r="F242" i="3"/>
  <c r="M242" i="3" s="1"/>
  <c r="J242" i="3"/>
  <c r="H244" i="3"/>
  <c r="M245" i="3"/>
  <c r="F246" i="3"/>
  <c r="M246" i="3" s="1"/>
  <c r="J246" i="3"/>
  <c r="H248" i="3"/>
  <c r="M249" i="3"/>
  <c r="F250" i="3"/>
  <c r="M250" i="3" s="1"/>
  <c r="J250" i="3"/>
  <c r="H252" i="3"/>
  <c r="F254" i="3"/>
  <c r="M254" i="3" s="1"/>
  <c r="J254" i="3"/>
  <c r="H256" i="3"/>
  <c r="M257" i="3"/>
  <c r="F258" i="3"/>
  <c r="J258" i="3"/>
  <c r="H260" i="3"/>
  <c r="M261" i="3"/>
  <c r="F262" i="3"/>
  <c r="M262" i="3" s="1"/>
  <c r="J262" i="3"/>
  <c r="H264" i="3"/>
  <c r="M265" i="3"/>
  <c r="F266" i="3"/>
  <c r="M266" i="3" s="1"/>
  <c r="J266" i="3"/>
  <c r="H268" i="3"/>
  <c r="F270" i="3"/>
  <c r="M270" i="3" s="1"/>
  <c r="J270" i="3"/>
  <c r="H272" i="3"/>
  <c r="M273" i="3"/>
  <c r="H276" i="3"/>
  <c r="M277" i="3"/>
  <c r="J280" i="3"/>
  <c r="AG280" i="3"/>
  <c r="J284" i="3"/>
  <c r="AG284" i="3"/>
  <c r="M284" i="3" s="1"/>
  <c r="L286" i="3"/>
  <c r="AJ286" i="3" s="1"/>
  <c r="J288" i="3"/>
  <c r="AG288" i="3"/>
  <c r="M288" i="3" s="1"/>
  <c r="L290" i="3"/>
  <c r="AJ290" i="3" s="1"/>
  <c r="J292" i="3"/>
  <c r="AG292" i="3"/>
  <c r="L294" i="3"/>
  <c r="AJ294" i="3" s="1"/>
  <c r="J296" i="3"/>
  <c r="AG296" i="3"/>
  <c r="L298" i="3"/>
  <c r="AJ298" i="3" s="1"/>
  <c r="J300" i="3"/>
  <c r="J301" i="3"/>
  <c r="J312" i="3"/>
  <c r="J313" i="3"/>
  <c r="AG316" i="3"/>
  <c r="G324" i="3"/>
  <c r="F324" i="3"/>
  <c r="AG325" i="3"/>
  <c r="H325" i="3"/>
  <c r="M325" i="3"/>
  <c r="G325" i="3"/>
  <c r="N326" i="3"/>
  <c r="J328" i="3"/>
  <c r="J329" i="3"/>
  <c r="G332" i="3"/>
  <c r="F332" i="3"/>
  <c r="AG332" i="3"/>
  <c r="M332" i="3" s="1"/>
  <c r="N334" i="3"/>
  <c r="J336" i="3"/>
  <c r="G340" i="3"/>
  <c r="N340" i="3"/>
  <c r="M340" i="3"/>
  <c r="H340" i="3"/>
  <c r="F340" i="3"/>
  <c r="AG352" i="3"/>
  <c r="M353" i="3"/>
  <c r="N358" i="3"/>
  <c r="I302" i="3"/>
  <c r="N303" i="3"/>
  <c r="J303" i="3"/>
  <c r="K303" i="3" s="1"/>
  <c r="F303" i="3"/>
  <c r="AG303" i="3"/>
  <c r="I306" i="3"/>
  <c r="J307" i="3"/>
  <c r="K307" i="3" s="1"/>
  <c r="F307" i="3"/>
  <c r="AG307" i="3"/>
  <c r="M307" i="3" s="1"/>
  <c r="J311" i="3"/>
  <c r="F311" i="3"/>
  <c r="AG311" i="3"/>
  <c r="M311" i="3" s="1"/>
  <c r="I314" i="3"/>
  <c r="N315" i="3"/>
  <c r="J315" i="3"/>
  <c r="F315" i="3"/>
  <c r="AG315" i="3"/>
  <c r="I318" i="3"/>
  <c r="J319" i="3"/>
  <c r="F319" i="3"/>
  <c r="AG319" i="3"/>
  <c r="I322" i="3"/>
  <c r="N323" i="3"/>
  <c r="J323" i="3"/>
  <c r="F323" i="3"/>
  <c r="AG323" i="3"/>
  <c r="M323" i="3" s="1"/>
  <c r="I326" i="3"/>
  <c r="J327" i="3"/>
  <c r="K327" i="3" s="1"/>
  <c r="F327" i="3"/>
  <c r="AG327" i="3"/>
  <c r="M327" i="3" s="1"/>
  <c r="I330" i="3"/>
  <c r="N331" i="3"/>
  <c r="J331" i="3"/>
  <c r="F331" i="3"/>
  <c r="AG331" i="3"/>
  <c r="G333" i="3"/>
  <c r="J335" i="3"/>
  <c r="F335" i="3"/>
  <c r="AG335" i="3"/>
  <c r="G337" i="3"/>
  <c r="I338" i="3"/>
  <c r="J339" i="3"/>
  <c r="K339" i="3" s="1"/>
  <c r="F339" i="3"/>
  <c r="AG339" i="3"/>
  <c r="M339" i="3" s="1"/>
  <c r="G341" i="3"/>
  <c r="I342" i="3"/>
  <c r="N343" i="3"/>
  <c r="J343" i="3"/>
  <c r="K343" i="3" s="1"/>
  <c r="F343" i="3"/>
  <c r="AG343" i="3"/>
  <c r="M343" i="3" s="1"/>
  <c r="G345" i="3"/>
  <c r="I346" i="3"/>
  <c r="J347" i="3"/>
  <c r="F347" i="3"/>
  <c r="AG347" i="3"/>
  <c r="M347" i="3" s="1"/>
  <c r="G349" i="3"/>
  <c r="N351" i="3"/>
  <c r="J351" i="3"/>
  <c r="F351" i="3"/>
  <c r="AG351" i="3"/>
  <c r="G353" i="3"/>
  <c r="I354" i="3"/>
  <c r="N355" i="3"/>
  <c r="J355" i="3"/>
  <c r="K355" i="3" s="1"/>
  <c r="F355" i="3"/>
  <c r="AG355" i="3"/>
  <c r="M355" i="3" s="1"/>
  <c r="F356" i="3"/>
  <c r="G357" i="3"/>
  <c r="I358" i="3"/>
  <c r="N359" i="3"/>
  <c r="J359" i="3"/>
  <c r="K359" i="3" s="1"/>
  <c r="F359" i="3"/>
  <c r="AG359" i="3"/>
  <c r="F360" i="3"/>
  <c r="G361" i="3"/>
  <c r="N363" i="3"/>
  <c r="J363" i="3"/>
  <c r="F363" i="3"/>
  <c r="AG363" i="3"/>
  <c r="M363" i="3" s="1"/>
  <c r="F364" i="3"/>
  <c r="G365" i="3"/>
  <c r="N367" i="3"/>
  <c r="J367" i="3"/>
  <c r="F367" i="3"/>
  <c r="M367" i="3" s="1"/>
  <c r="AG368" i="3"/>
  <c r="H368" i="3"/>
  <c r="G368" i="3"/>
  <c r="H371" i="3"/>
  <c r="AG371" i="3"/>
  <c r="N371" i="3" s="1"/>
  <c r="AG376" i="3"/>
  <c r="H376" i="3"/>
  <c r="G376" i="3"/>
  <c r="N376" i="3"/>
  <c r="F376" i="3"/>
  <c r="L379" i="3"/>
  <c r="AJ379" i="3" s="1"/>
  <c r="F380" i="3"/>
  <c r="M380" i="3" s="1"/>
  <c r="N382" i="3"/>
  <c r="G387" i="3"/>
  <c r="J387" i="3"/>
  <c r="F387" i="3"/>
  <c r="AG387" i="3"/>
  <c r="I391" i="3"/>
  <c r="F396" i="3"/>
  <c r="I398" i="3"/>
  <c r="N398" i="3"/>
  <c r="G403" i="3"/>
  <c r="J403" i="3"/>
  <c r="F403" i="3"/>
  <c r="AG403" i="3"/>
  <c r="L406" i="3"/>
  <c r="AJ406" i="3" s="1"/>
  <c r="G407" i="3"/>
  <c r="J407" i="3"/>
  <c r="F407" i="3"/>
  <c r="AG407" i="3"/>
  <c r="M407" i="3" s="1"/>
  <c r="AG412" i="3"/>
  <c r="M412" i="3" s="1"/>
  <c r="H412" i="3"/>
  <c r="G412" i="3"/>
  <c r="N412" i="3"/>
  <c r="G415" i="3"/>
  <c r="N415" i="3"/>
  <c r="J415" i="3"/>
  <c r="F415" i="3"/>
  <c r="AG415" i="3"/>
  <c r="M415" i="3" s="1"/>
  <c r="AH418" i="3"/>
  <c r="H423" i="3"/>
  <c r="AG424" i="3"/>
  <c r="M424" i="3" s="1"/>
  <c r="H424" i="3"/>
  <c r="G424" i="3"/>
  <c r="J424" i="3"/>
  <c r="N424" i="3"/>
  <c r="G431" i="3"/>
  <c r="J431" i="3"/>
  <c r="F431" i="3"/>
  <c r="AG431" i="3"/>
  <c r="F440" i="3"/>
  <c r="N442" i="3"/>
  <c r="I450" i="3"/>
  <c r="N454" i="3"/>
  <c r="G455" i="3"/>
  <c r="J455" i="3"/>
  <c r="F455" i="3"/>
  <c r="AG455" i="3"/>
  <c r="M455" i="3" s="1"/>
  <c r="H455" i="3"/>
  <c r="F456" i="3"/>
  <c r="AG479" i="3"/>
  <c r="M479" i="3" s="1"/>
  <c r="H479" i="3"/>
  <c r="N479" i="3"/>
  <c r="G479" i="3"/>
  <c r="J479" i="3"/>
  <c r="F479" i="3"/>
  <c r="AG503" i="3"/>
  <c r="M503" i="3" s="1"/>
  <c r="H503" i="3"/>
  <c r="N503" i="3"/>
  <c r="G503" i="3"/>
  <c r="J503" i="3"/>
  <c r="F503" i="3"/>
  <c r="AG523" i="3"/>
  <c r="M523" i="3" s="1"/>
  <c r="H523" i="3"/>
  <c r="N523" i="3"/>
  <c r="G523" i="3"/>
  <c r="J523" i="3"/>
  <c r="F523" i="3"/>
  <c r="H356" i="3"/>
  <c r="M356" i="3"/>
  <c r="H360" i="3"/>
  <c r="H364" i="3"/>
  <c r="M364" i="3"/>
  <c r="I370" i="3"/>
  <c r="N378" i="3"/>
  <c r="AG384" i="3"/>
  <c r="M384" i="3" s="1"/>
  <c r="H384" i="3"/>
  <c r="G384" i="3"/>
  <c r="F384" i="3"/>
  <c r="I387" i="3"/>
  <c r="AG388" i="3"/>
  <c r="H388" i="3"/>
  <c r="G388" i="3"/>
  <c r="J388" i="3"/>
  <c r="N388" i="3"/>
  <c r="J392" i="3"/>
  <c r="AG400" i="3"/>
  <c r="M400" i="3" s="1"/>
  <c r="H400" i="3"/>
  <c r="G400" i="3"/>
  <c r="F400" i="3"/>
  <c r="I403" i="3"/>
  <c r="AG404" i="3"/>
  <c r="M404" i="3" s="1"/>
  <c r="H404" i="3"/>
  <c r="G404" i="3"/>
  <c r="J404" i="3"/>
  <c r="N404" i="3"/>
  <c r="AG420" i="3"/>
  <c r="H420" i="3"/>
  <c r="G420" i="3"/>
  <c r="N420" i="3"/>
  <c r="F420" i="3"/>
  <c r="N426" i="3"/>
  <c r="AG432" i="3"/>
  <c r="H432" i="3"/>
  <c r="G432" i="3"/>
  <c r="J432" i="3"/>
  <c r="J436" i="3"/>
  <c r="N438" i="3"/>
  <c r="G463" i="3"/>
  <c r="J463" i="3"/>
  <c r="F463" i="3"/>
  <c r="AG463" i="3"/>
  <c r="N463" i="3" s="1"/>
  <c r="H463" i="3"/>
  <c r="L469" i="3"/>
  <c r="I469" i="3"/>
  <c r="G470" i="3"/>
  <c r="M470" i="3"/>
  <c r="H470" i="3"/>
  <c r="F470" i="3"/>
  <c r="N470" i="3"/>
  <c r="J470" i="3"/>
  <c r="AG495" i="3"/>
  <c r="N495" i="3" s="1"/>
  <c r="H495" i="3"/>
  <c r="G495" i="3"/>
  <c r="J495" i="3"/>
  <c r="F495" i="3"/>
  <c r="AG333" i="3"/>
  <c r="N333" i="3" s="1"/>
  <c r="H333" i="3"/>
  <c r="J333" i="3"/>
  <c r="AG337" i="3"/>
  <c r="H337" i="3"/>
  <c r="J337" i="3"/>
  <c r="AG341" i="3"/>
  <c r="H341" i="3"/>
  <c r="J341" i="3"/>
  <c r="AG345" i="3"/>
  <c r="N345" i="3" s="1"/>
  <c r="H345" i="3"/>
  <c r="J345" i="3"/>
  <c r="AG349" i="3"/>
  <c r="N349" i="3" s="1"/>
  <c r="H349" i="3"/>
  <c r="J349" i="3"/>
  <c r="AG353" i="3"/>
  <c r="H353" i="3"/>
  <c r="J353" i="3"/>
  <c r="AG357" i="3"/>
  <c r="N357" i="3" s="1"/>
  <c r="H357" i="3"/>
  <c r="J357" i="3"/>
  <c r="AG361" i="3"/>
  <c r="N361" i="3" s="1"/>
  <c r="H361" i="3"/>
  <c r="J361" i="3"/>
  <c r="N364" i="3"/>
  <c r="AG365" i="3"/>
  <c r="N365" i="3" s="1"/>
  <c r="H365" i="3"/>
  <c r="J365" i="3"/>
  <c r="N370" i="3"/>
  <c r="AG372" i="3"/>
  <c r="N372" i="3" s="1"/>
  <c r="H372" i="3"/>
  <c r="G372" i="3"/>
  <c r="J376" i="3"/>
  <c r="G379" i="3"/>
  <c r="N379" i="3"/>
  <c r="J379" i="3"/>
  <c r="F379" i="3"/>
  <c r="AG379" i="3"/>
  <c r="L387" i="3"/>
  <c r="AJ387" i="3" s="1"/>
  <c r="F388" i="3"/>
  <c r="I390" i="3"/>
  <c r="N390" i="3"/>
  <c r="G395" i="3"/>
  <c r="J395" i="3"/>
  <c r="F395" i="3"/>
  <c r="AG395" i="3"/>
  <c r="M395" i="3" s="1"/>
  <c r="L398" i="3"/>
  <c r="AJ398" i="3" s="1"/>
  <c r="L403" i="3"/>
  <c r="AJ403" i="3" s="1"/>
  <c r="F404" i="3"/>
  <c r="AI406" i="3"/>
  <c r="K406" i="3"/>
  <c r="O406" i="3"/>
  <c r="N422" i="3"/>
  <c r="AG428" i="3"/>
  <c r="H428" i="3"/>
  <c r="G428" i="3"/>
  <c r="N428" i="3"/>
  <c r="F428" i="3"/>
  <c r="F432" i="3"/>
  <c r="N434" i="3"/>
  <c r="G439" i="3"/>
  <c r="J439" i="3"/>
  <c r="F439" i="3"/>
  <c r="AG439" i="3"/>
  <c r="M439" i="3" s="1"/>
  <c r="AG448" i="3"/>
  <c r="N448" i="3" s="1"/>
  <c r="H448" i="3"/>
  <c r="G448" i="3"/>
  <c r="J448" i="3"/>
  <c r="L450" i="3"/>
  <c r="AJ450" i="3" s="1"/>
  <c r="I451" i="3"/>
  <c r="M463" i="3"/>
  <c r="AG470" i="3"/>
  <c r="AG487" i="3"/>
  <c r="M487" i="3" s="1"/>
  <c r="H487" i="3"/>
  <c r="N487" i="3"/>
  <c r="G487" i="3"/>
  <c r="J487" i="3"/>
  <c r="F487" i="3"/>
  <c r="L517" i="3"/>
  <c r="I517" i="3"/>
  <c r="G518" i="3"/>
  <c r="H518" i="3"/>
  <c r="F518" i="3"/>
  <c r="J518" i="3"/>
  <c r="N524" i="3"/>
  <c r="J356" i="3"/>
  <c r="AG356" i="3"/>
  <c r="N356" i="3" s="1"/>
  <c r="J360" i="3"/>
  <c r="AG360" i="3"/>
  <c r="N360" i="3" s="1"/>
  <c r="J364" i="3"/>
  <c r="AG364" i="3"/>
  <c r="G371" i="3"/>
  <c r="BV36" i="1" s="1"/>
  <c r="BW36" i="1" s="1"/>
  <c r="J371" i="3"/>
  <c r="F371" i="3"/>
  <c r="M371" i="3"/>
  <c r="I374" i="3"/>
  <c r="N374" i="3"/>
  <c r="O379" i="3"/>
  <c r="K379" i="3"/>
  <c r="AI379" i="3"/>
  <c r="AG380" i="3"/>
  <c r="N380" i="3" s="1"/>
  <c r="H380" i="3"/>
  <c r="G380" i="3"/>
  <c r="J380" i="3"/>
  <c r="N386" i="3"/>
  <c r="AG392" i="3"/>
  <c r="N392" i="3" s="1"/>
  <c r="H392" i="3"/>
  <c r="G392" i="3"/>
  <c r="F392" i="3"/>
  <c r="I395" i="3"/>
  <c r="AG396" i="3"/>
  <c r="M396" i="3" s="1"/>
  <c r="H396" i="3"/>
  <c r="G396" i="3"/>
  <c r="J396" i="3"/>
  <c r="N402" i="3"/>
  <c r="AH406" i="3"/>
  <c r="N410" i="3"/>
  <c r="G411" i="3"/>
  <c r="N411" i="3"/>
  <c r="J411" i="3"/>
  <c r="F411" i="3"/>
  <c r="AG411" i="3"/>
  <c r="M411" i="3" s="1"/>
  <c r="H411" i="3"/>
  <c r="I418" i="3"/>
  <c r="L418" i="3"/>
  <c r="AJ418" i="3" s="1"/>
  <c r="G423" i="3"/>
  <c r="J423" i="3"/>
  <c r="F423" i="3"/>
  <c r="AG423" i="3"/>
  <c r="M423" i="3" s="1"/>
  <c r="AG436" i="3"/>
  <c r="M436" i="3" s="1"/>
  <c r="H436" i="3"/>
  <c r="G436" i="3"/>
  <c r="F436" i="3"/>
  <c r="I439" i="3"/>
  <c r="AG440" i="3"/>
  <c r="M440" i="3" s="1"/>
  <c r="H440" i="3"/>
  <c r="G440" i="3"/>
  <c r="J440" i="3"/>
  <c r="N440" i="3"/>
  <c r="G447" i="3"/>
  <c r="J447" i="3"/>
  <c r="F447" i="3"/>
  <c r="AG447" i="3"/>
  <c r="N447" i="3" s="1"/>
  <c r="H447" i="3"/>
  <c r="AG456" i="3"/>
  <c r="M456" i="3" s="1"/>
  <c r="H456" i="3"/>
  <c r="G456" i="3"/>
  <c r="J456" i="3"/>
  <c r="AI477" i="3"/>
  <c r="O477" i="3"/>
  <c r="AG511" i="3"/>
  <c r="M511" i="3" s="1"/>
  <c r="H511" i="3"/>
  <c r="N511" i="3"/>
  <c r="G511" i="3"/>
  <c r="J511" i="3"/>
  <c r="F511" i="3"/>
  <c r="AG518" i="3"/>
  <c r="M518" i="3" s="1"/>
  <c r="AJ533" i="3"/>
  <c r="G534" i="3"/>
  <c r="H534" i="3"/>
  <c r="F534" i="3"/>
  <c r="AG534" i="3"/>
  <c r="M534" i="3" s="1"/>
  <c r="AG539" i="3"/>
  <c r="N539" i="3" s="1"/>
  <c r="H539" i="3"/>
  <c r="G539" i="3"/>
  <c r="N540" i="3"/>
  <c r="N548" i="3"/>
  <c r="N552" i="3"/>
  <c r="N556" i="3"/>
  <c r="N564" i="3"/>
  <c r="G577" i="3"/>
  <c r="J577" i="3"/>
  <c r="F577" i="3"/>
  <c r="AG577" i="3"/>
  <c r="N577" i="3" s="1"/>
  <c r="H577" i="3"/>
  <c r="O587" i="3"/>
  <c r="K587" i="3"/>
  <c r="AI587" i="3"/>
  <c r="G622" i="3"/>
  <c r="H622" i="3"/>
  <c r="J622" i="3"/>
  <c r="AG622" i="3"/>
  <c r="M622" i="3" s="1"/>
  <c r="N622" i="3"/>
  <c r="F622" i="3"/>
  <c r="G654" i="3"/>
  <c r="H654" i="3"/>
  <c r="J654" i="3"/>
  <c r="AG654" i="3"/>
  <c r="N654" i="3" s="1"/>
  <c r="F654" i="3"/>
  <c r="AG444" i="3"/>
  <c r="N444" i="3" s="1"/>
  <c r="H444" i="3"/>
  <c r="G444" i="3"/>
  <c r="N450" i="3"/>
  <c r="AG452" i="3"/>
  <c r="H452" i="3"/>
  <c r="G452" i="3"/>
  <c r="M452" i="3"/>
  <c r="N458" i="3"/>
  <c r="AG460" i="3"/>
  <c r="M460" i="3" s="1"/>
  <c r="H460" i="3"/>
  <c r="G460" i="3"/>
  <c r="G466" i="3"/>
  <c r="H466" i="3"/>
  <c r="F466" i="3"/>
  <c r="AG466" i="3"/>
  <c r="N466" i="3" s="1"/>
  <c r="AG471" i="3"/>
  <c r="M471" i="3" s="1"/>
  <c r="H471" i="3"/>
  <c r="N471" i="3"/>
  <c r="G471" i="3"/>
  <c r="AJ473" i="3"/>
  <c r="G474" i="3"/>
  <c r="H474" i="3"/>
  <c r="F474" i="3"/>
  <c r="AG474" i="3"/>
  <c r="N476" i="3"/>
  <c r="J478" i="3"/>
  <c r="G482" i="3"/>
  <c r="H482" i="3"/>
  <c r="F482" i="3"/>
  <c r="AG482" i="3"/>
  <c r="N482" i="3" s="1"/>
  <c r="N484" i="3"/>
  <c r="J486" i="3"/>
  <c r="G490" i="3"/>
  <c r="H490" i="3"/>
  <c r="F490" i="3"/>
  <c r="AG490" i="3"/>
  <c r="N492" i="3"/>
  <c r="G498" i="3"/>
  <c r="H498" i="3"/>
  <c r="F498" i="3"/>
  <c r="AG498" i="3"/>
  <c r="N498" i="3" s="1"/>
  <c r="N500" i="3"/>
  <c r="G506" i="3"/>
  <c r="H506" i="3"/>
  <c r="F506" i="3"/>
  <c r="AG506" i="3"/>
  <c r="N506" i="3" s="1"/>
  <c r="N508" i="3"/>
  <c r="G514" i="3"/>
  <c r="H514" i="3"/>
  <c r="F514" i="3"/>
  <c r="AG514" i="3"/>
  <c r="N514" i="3" s="1"/>
  <c r="AG519" i="3"/>
  <c r="N519" i="3" s="1"/>
  <c r="H519" i="3"/>
  <c r="G519" i="3"/>
  <c r="N520" i="3"/>
  <c r="AJ529" i="3"/>
  <c r="G530" i="3"/>
  <c r="H530" i="3"/>
  <c r="F530" i="3"/>
  <c r="AG530" i="3"/>
  <c r="N530" i="3" s="1"/>
  <c r="I533" i="3"/>
  <c r="AG535" i="3"/>
  <c r="N535" i="3" s="1"/>
  <c r="H535" i="3"/>
  <c r="G535" i="3"/>
  <c r="N536" i="3"/>
  <c r="F539" i="3"/>
  <c r="AG567" i="3"/>
  <c r="N567" i="3" s="1"/>
  <c r="H567" i="3"/>
  <c r="G567" i="3"/>
  <c r="F567" i="3"/>
  <c r="AI594" i="3"/>
  <c r="K594" i="3"/>
  <c r="O594" i="3"/>
  <c r="L617" i="3"/>
  <c r="AJ617" i="3" s="1"/>
  <c r="I617" i="3"/>
  <c r="I628" i="3"/>
  <c r="L628" i="3"/>
  <c r="AJ628" i="3" s="1"/>
  <c r="G375" i="3"/>
  <c r="N375" i="3"/>
  <c r="J375" i="3"/>
  <c r="F375" i="3"/>
  <c r="M375" i="3"/>
  <c r="G383" i="3"/>
  <c r="N383" i="3"/>
  <c r="J383" i="3"/>
  <c r="F383" i="3"/>
  <c r="M383" i="3" s="1"/>
  <c r="I386" i="3"/>
  <c r="G391" i="3"/>
  <c r="N391" i="3"/>
  <c r="J391" i="3"/>
  <c r="F391" i="3"/>
  <c r="M391" i="3"/>
  <c r="I394" i="3"/>
  <c r="G399" i="3"/>
  <c r="N399" i="3"/>
  <c r="J399" i="3"/>
  <c r="F399" i="3"/>
  <c r="I402" i="3"/>
  <c r="AG408" i="3"/>
  <c r="H408" i="3"/>
  <c r="G408" i="3"/>
  <c r="AG416" i="3"/>
  <c r="N416" i="3" s="1"/>
  <c r="H416" i="3"/>
  <c r="G416" i="3"/>
  <c r="G419" i="3"/>
  <c r="N419" i="3"/>
  <c r="J419" i="3"/>
  <c r="F419" i="3"/>
  <c r="M419" i="3"/>
  <c r="G427" i="3"/>
  <c r="N427" i="3"/>
  <c r="J427" i="3"/>
  <c r="F427" i="3"/>
  <c r="M427" i="3"/>
  <c r="G435" i="3"/>
  <c r="N435" i="3"/>
  <c r="J435" i="3"/>
  <c r="F435" i="3"/>
  <c r="M435" i="3"/>
  <c r="I438" i="3"/>
  <c r="G443" i="3"/>
  <c r="N443" i="3"/>
  <c r="J443" i="3"/>
  <c r="F443" i="3"/>
  <c r="F444" i="3"/>
  <c r="I446" i="3"/>
  <c r="G451" i="3"/>
  <c r="N451" i="3"/>
  <c r="J451" i="3"/>
  <c r="F451" i="3"/>
  <c r="M451" i="3"/>
  <c r="F452" i="3"/>
  <c r="N452" i="3"/>
  <c r="G459" i="3"/>
  <c r="J459" i="3"/>
  <c r="K459" i="3" s="1"/>
  <c r="F459" i="3"/>
  <c r="M459" i="3"/>
  <c r="F460" i="3"/>
  <c r="I462" i="3"/>
  <c r="AG467" i="3"/>
  <c r="H467" i="3"/>
  <c r="N467" i="3"/>
  <c r="M467" i="3"/>
  <c r="G467" i="3"/>
  <c r="N468" i="3"/>
  <c r="F471" i="3"/>
  <c r="I473" i="3"/>
  <c r="AG475" i="3"/>
  <c r="M475" i="3" s="1"/>
  <c r="H475" i="3"/>
  <c r="N475" i="3"/>
  <c r="G475" i="3"/>
  <c r="AG483" i="3"/>
  <c r="N483" i="3" s="1"/>
  <c r="H483" i="3"/>
  <c r="G483" i="3"/>
  <c r="AG491" i="3"/>
  <c r="N491" i="3" s="1"/>
  <c r="H491" i="3"/>
  <c r="G491" i="3"/>
  <c r="AG499" i="3"/>
  <c r="H499" i="3"/>
  <c r="N499" i="3"/>
  <c r="M499" i="3"/>
  <c r="G499" i="3"/>
  <c r="AG507" i="3"/>
  <c r="M507" i="3" s="1"/>
  <c r="H507" i="3"/>
  <c r="N507" i="3"/>
  <c r="G507" i="3"/>
  <c r="AG515" i="3"/>
  <c r="N515" i="3" s="1"/>
  <c r="H515" i="3"/>
  <c r="G515" i="3"/>
  <c r="N516" i="3"/>
  <c r="F519" i="3"/>
  <c r="AJ525" i="3"/>
  <c r="G526" i="3"/>
  <c r="M526" i="3"/>
  <c r="H526" i="3"/>
  <c r="F526" i="3"/>
  <c r="AG526" i="3"/>
  <c r="I529" i="3"/>
  <c r="AG531" i="3"/>
  <c r="N531" i="3" s="1"/>
  <c r="H531" i="3"/>
  <c r="G531" i="3"/>
  <c r="N532" i="3"/>
  <c r="J534" i="3"/>
  <c r="F535" i="3"/>
  <c r="J539" i="3"/>
  <c r="AJ541" i="3"/>
  <c r="G542" i="3"/>
  <c r="H542" i="3"/>
  <c r="F542" i="3"/>
  <c r="AG542" i="3"/>
  <c r="N542" i="3" s="1"/>
  <c r="AJ545" i="3"/>
  <c r="G546" i="3"/>
  <c r="H546" i="3"/>
  <c r="F546" i="3"/>
  <c r="AG546" i="3"/>
  <c r="N546" i="3" s="1"/>
  <c r="AJ549" i="3"/>
  <c r="G550" i="3"/>
  <c r="H550" i="3"/>
  <c r="F550" i="3"/>
  <c r="AG550" i="3"/>
  <c r="N550" i="3" s="1"/>
  <c r="AJ553" i="3"/>
  <c r="G554" i="3"/>
  <c r="H554" i="3"/>
  <c r="F554" i="3"/>
  <c r="AG554" i="3"/>
  <c r="N554" i="3" s="1"/>
  <c r="AJ557" i="3"/>
  <c r="G558" i="3"/>
  <c r="H558" i="3"/>
  <c r="F558" i="3"/>
  <c r="AG558" i="3"/>
  <c r="N558" i="3" s="1"/>
  <c r="AJ561" i="3"/>
  <c r="G562" i="3"/>
  <c r="H562" i="3"/>
  <c r="F562" i="3"/>
  <c r="AG562" i="3"/>
  <c r="N562" i="3" s="1"/>
  <c r="L565" i="3"/>
  <c r="I565" i="3"/>
  <c r="J567" i="3"/>
  <c r="G569" i="3"/>
  <c r="J569" i="3"/>
  <c r="F569" i="3"/>
  <c r="AG569" i="3"/>
  <c r="N569" i="3" s="1"/>
  <c r="H569" i="3"/>
  <c r="I572" i="3"/>
  <c r="L572" i="3"/>
  <c r="AJ572" i="3" s="1"/>
  <c r="O573" i="3"/>
  <c r="K573" i="3"/>
  <c r="AI573" i="3"/>
  <c r="AJ582" i="3"/>
  <c r="AH582" i="3"/>
  <c r="N585" i="3"/>
  <c r="AH589" i="3"/>
  <c r="L591" i="3"/>
  <c r="I591" i="3"/>
  <c r="AH605" i="3"/>
  <c r="L607" i="3"/>
  <c r="I607" i="3"/>
  <c r="L649" i="3"/>
  <c r="AJ649" i="3" s="1"/>
  <c r="I649" i="3"/>
  <c r="N462" i="3"/>
  <c r="AG464" i="3"/>
  <c r="H464" i="3"/>
  <c r="G464" i="3"/>
  <c r="M464" i="3"/>
  <c r="AJ477" i="3"/>
  <c r="G478" i="3"/>
  <c r="H478" i="3"/>
  <c r="F478" i="3"/>
  <c r="AG478" i="3"/>
  <c r="N478" i="3" s="1"/>
  <c r="J482" i="3"/>
  <c r="G486" i="3"/>
  <c r="H486" i="3"/>
  <c r="F486" i="3"/>
  <c r="AG486" i="3"/>
  <c r="M486" i="3" s="1"/>
  <c r="N488" i="3"/>
  <c r="J490" i="3"/>
  <c r="G494" i="3"/>
  <c r="H494" i="3"/>
  <c r="F494" i="3"/>
  <c r="AG494" i="3"/>
  <c r="N494" i="3" s="1"/>
  <c r="J498" i="3"/>
  <c r="G502" i="3"/>
  <c r="H502" i="3"/>
  <c r="F502" i="3"/>
  <c r="AG502" i="3"/>
  <c r="N502" i="3" s="1"/>
  <c r="N504" i="3"/>
  <c r="J506" i="3"/>
  <c r="G510" i="3"/>
  <c r="H510" i="3"/>
  <c r="F510" i="3"/>
  <c r="AG510" i="3"/>
  <c r="M510" i="3" s="1"/>
  <c r="J514" i="3"/>
  <c r="J519" i="3"/>
  <c r="AJ521" i="3"/>
  <c r="G522" i="3"/>
  <c r="H522" i="3"/>
  <c r="F522" i="3"/>
  <c r="AG522" i="3"/>
  <c r="N522" i="3" s="1"/>
  <c r="I525" i="3"/>
  <c r="AG527" i="3"/>
  <c r="H527" i="3"/>
  <c r="N527" i="3"/>
  <c r="M527" i="3"/>
  <c r="G527" i="3"/>
  <c r="J530" i="3"/>
  <c r="F531" i="3"/>
  <c r="N534" i="3"/>
  <c r="J535" i="3"/>
  <c r="AJ537" i="3"/>
  <c r="G538" i="3"/>
  <c r="H538" i="3"/>
  <c r="F538" i="3"/>
  <c r="AG538" i="3"/>
  <c r="N538" i="3" s="1"/>
  <c r="I541" i="3"/>
  <c r="AG543" i="3"/>
  <c r="H543" i="3"/>
  <c r="N543" i="3"/>
  <c r="M543" i="3"/>
  <c r="G543" i="3"/>
  <c r="I545" i="3"/>
  <c r="AG547" i="3"/>
  <c r="N547" i="3" s="1"/>
  <c r="H547" i="3"/>
  <c r="G547" i="3"/>
  <c r="I549" i="3"/>
  <c r="AG551" i="3"/>
  <c r="H551" i="3"/>
  <c r="N551" i="3"/>
  <c r="M551" i="3"/>
  <c r="G551" i="3"/>
  <c r="I553" i="3"/>
  <c r="AG555" i="3"/>
  <c r="N555" i="3" s="1"/>
  <c r="H555" i="3"/>
  <c r="G555" i="3"/>
  <c r="I557" i="3"/>
  <c r="AG559" i="3"/>
  <c r="H559" i="3"/>
  <c r="N559" i="3"/>
  <c r="M559" i="3"/>
  <c r="G559" i="3"/>
  <c r="I561" i="3"/>
  <c r="AG563" i="3"/>
  <c r="N563" i="3" s="1"/>
  <c r="H563" i="3"/>
  <c r="G563" i="3"/>
  <c r="M569" i="3"/>
  <c r="L583" i="3"/>
  <c r="I583" i="3"/>
  <c r="AG584" i="3"/>
  <c r="M584" i="3" s="1"/>
  <c r="H584" i="3"/>
  <c r="G584" i="3"/>
  <c r="F584" i="3"/>
  <c r="J584" i="3"/>
  <c r="AJ598" i="3"/>
  <c r="AH598" i="3"/>
  <c r="N601" i="3"/>
  <c r="J566" i="3"/>
  <c r="AG566" i="3"/>
  <c r="N566" i="3" s="1"/>
  <c r="AG574" i="3"/>
  <c r="M574" i="3" s="1"/>
  <c r="H574" i="3"/>
  <c r="G574" i="3"/>
  <c r="AG580" i="3"/>
  <c r="H580" i="3"/>
  <c r="M580" i="3"/>
  <c r="G580" i="3"/>
  <c r="F580" i="3"/>
  <c r="N581" i="3"/>
  <c r="AI590" i="3"/>
  <c r="K590" i="3"/>
  <c r="O590" i="3"/>
  <c r="N597" i="3"/>
  <c r="L603" i="3"/>
  <c r="I603" i="3"/>
  <c r="AI606" i="3"/>
  <c r="K606" i="3"/>
  <c r="O606" i="3"/>
  <c r="AI610" i="3"/>
  <c r="K610" i="3"/>
  <c r="O610" i="3"/>
  <c r="AG623" i="3"/>
  <c r="H623" i="3"/>
  <c r="N623" i="3"/>
  <c r="J623" i="3"/>
  <c r="G623" i="3"/>
  <c r="F623" i="3"/>
  <c r="M623" i="3" s="1"/>
  <c r="N632" i="3"/>
  <c r="N637" i="3"/>
  <c r="J637" i="3"/>
  <c r="F637" i="3"/>
  <c r="G637" i="3"/>
  <c r="AG637" i="3"/>
  <c r="H637" i="3"/>
  <c r="N640" i="3"/>
  <c r="AG655" i="3"/>
  <c r="H655" i="3"/>
  <c r="N655" i="3"/>
  <c r="J655" i="3"/>
  <c r="G655" i="3"/>
  <c r="F655" i="3"/>
  <c r="M655" i="3" s="1"/>
  <c r="M298" i="3"/>
  <c r="M302" i="3"/>
  <c r="M310" i="3"/>
  <c r="M314" i="3"/>
  <c r="M318" i="3"/>
  <c r="M326" i="3"/>
  <c r="M334" i="3"/>
  <c r="M338" i="3"/>
  <c r="M342" i="3"/>
  <c r="M350" i="3"/>
  <c r="M354" i="3"/>
  <c r="M358" i="3"/>
  <c r="M362" i="3"/>
  <c r="H369" i="3"/>
  <c r="AG369" i="3"/>
  <c r="N369" i="3" s="1"/>
  <c r="M370" i="3"/>
  <c r="H373" i="3"/>
  <c r="AG373" i="3"/>
  <c r="N373" i="3" s="1"/>
  <c r="M374" i="3"/>
  <c r="H377" i="3"/>
  <c r="AG377" i="3"/>
  <c r="N377" i="3" s="1"/>
  <c r="M378" i="3"/>
  <c r="H381" i="3"/>
  <c r="AG381" i="3"/>
  <c r="M382" i="3"/>
  <c r="H385" i="3"/>
  <c r="AG385" i="3"/>
  <c r="N385" i="3" s="1"/>
  <c r="M386" i="3"/>
  <c r="H389" i="3"/>
  <c r="AG389" i="3"/>
  <c r="N389" i="3" s="1"/>
  <c r="M390" i="3"/>
  <c r="H393" i="3"/>
  <c r="AG393" i="3"/>
  <c r="N393" i="3" s="1"/>
  <c r="H397" i="3"/>
  <c r="AG397" i="3"/>
  <c r="M398" i="3"/>
  <c r="H401" i="3"/>
  <c r="AG401" i="3"/>
  <c r="N401" i="3" s="1"/>
  <c r="M402" i="3"/>
  <c r="H405" i="3"/>
  <c r="AG405" i="3"/>
  <c r="N405" i="3" s="1"/>
  <c r="M406" i="3"/>
  <c r="H409" i="3"/>
  <c r="AG409" i="3"/>
  <c r="N409" i="3" s="1"/>
  <c r="M410" i="3"/>
  <c r="H413" i="3"/>
  <c r="AG413" i="3"/>
  <c r="N413" i="3" s="1"/>
  <c r="H417" i="3"/>
  <c r="AG417" i="3"/>
  <c r="N417" i="3" s="1"/>
  <c r="M418" i="3"/>
  <c r="H421" i="3"/>
  <c r="AG421" i="3"/>
  <c r="M422" i="3"/>
  <c r="H425" i="3"/>
  <c r="AG425" i="3"/>
  <c r="N425" i="3" s="1"/>
  <c r="M426" i="3"/>
  <c r="H429" i="3"/>
  <c r="AG429" i="3"/>
  <c r="N429" i="3" s="1"/>
  <c r="H433" i="3"/>
  <c r="AG433" i="3"/>
  <c r="N433" i="3" s="1"/>
  <c r="M434" i="3"/>
  <c r="H437" i="3"/>
  <c r="AG437" i="3"/>
  <c r="M437" i="3" s="1"/>
  <c r="M438" i="3"/>
  <c r="H441" i="3"/>
  <c r="AG441" i="3"/>
  <c r="N441" i="3" s="1"/>
  <c r="M442" i="3"/>
  <c r="H445" i="3"/>
  <c r="AG445" i="3"/>
  <c r="H449" i="3"/>
  <c r="AG449" i="3"/>
  <c r="N449" i="3" s="1"/>
  <c r="M450" i="3"/>
  <c r="H453" i="3"/>
  <c r="AG453" i="3"/>
  <c r="M454" i="3"/>
  <c r="H457" i="3"/>
  <c r="AG457" i="3"/>
  <c r="N457" i="3" s="1"/>
  <c r="M458" i="3"/>
  <c r="H461" i="3"/>
  <c r="AG461" i="3"/>
  <c r="N461" i="3" s="1"/>
  <c r="M462" i="3"/>
  <c r="H465" i="3"/>
  <c r="AG465" i="3"/>
  <c r="N465" i="3" s="1"/>
  <c r="I468" i="3"/>
  <c r="J469" i="3"/>
  <c r="F469" i="3"/>
  <c r="AG469" i="3"/>
  <c r="N473" i="3"/>
  <c r="J473" i="3"/>
  <c r="F473" i="3"/>
  <c r="AG473" i="3"/>
  <c r="N477" i="3"/>
  <c r="J477" i="3"/>
  <c r="K477" i="3" s="1"/>
  <c r="F477" i="3"/>
  <c r="AG477" i="3"/>
  <c r="N481" i="3"/>
  <c r="J481" i="3"/>
  <c r="F481" i="3"/>
  <c r="AG481" i="3"/>
  <c r="J485" i="3"/>
  <c r="F485" i="3"/>
  <c r="AG485" i="3"/>
  <c r="N489" i="3"/>
  <c r="J489" i="3"/>
  <c r="F489" i="3"/>
  <c r="AG489" i="3"/>
  <c r="J493" i="3"/>
  <c r="F493" i="3"/>
  <c r="AG493" i="3"/>
  <c r="N497" i="3"/>
  <c r="J497" i="3"/>
  <c r="F497" i="3"/>
  <c r="AG497" i="3"/>
  <c r="N501" i="3"/>
  <c r="J501" i="3"/>
  <c r="F501" i="3"/>
  <c r="AG501" i="3"/>
  <c r="N505" i="3"/>
  <c r="J505" i="3"/>
  <c r="F505" i="3"/>
  <c r="AG505" i="3"/>
  <c r="J509" i="3"/>
  <c r="F509" i="3"/>
  <c r="AG509" i="3"/>
  <c r="N513" i="3"/>
  <c r="J513" i="3"/>
  <c r="F513" i="3"/>
  <c r="AG513" i="3"/>
  <c r="N517" i="3"/>
  <c r="J517" i="3"/>
  <c r="F517" i="3"/>
  <c r="AG517" i="3"/>
  <c r="M517" i="3" s="1"/>
  <c r="I520" i="3"/>
  <c r="N521" i="3"/>
  <c r="J521" i="3"/>
  <c r="K521" i="3" s="1"/>
  <c r="F521" i="3"/>
  <c r="AG521" i="3"/>
  <c r="M521" i="3" s="1"/>
  <c r="I524" i="3"/>
  <c r="J525" i="3"/>
  <c r="F525" i="3"/>
  <c r="AG525" i="3"/>
  <c r="M525" i="3" s="1"/>
  <c r="I528" i="3"/>
  <c r="N529" i="3"/>
  <c r="J529" i="3"/>
  <c r="F529" i="3"/>
  <c r="AG529" i="3"/>
  <c r="I532" i="3"/>
  <c r="N533" i="3"/>
  <c r="J533" i="3"/>
  <c r="F533" i="3"/>
  <c r="AG533" i="3"/>
  <c r="M533" i="3" s="1"/>
  <c r="I536" i="3"/>
  <c r="N537" i="3"/>
  <c r="J537" i="3"/>
  <c r="K537" i="3" s="1"/>
  <c r="F537" i="3"/>
  <c r="AG537" i="3"/>
  <c r="M537" i="3" s="1"/>
  <c r="I540" i="3"/>
  <c r="J541" i="3"/>
  <c r="F541" i="3"/>
  <c r="AG541" i="3"/>
  <c r="M541" i="3" s="1"/>
  <c r="J545" i="3"/>
  <c r="F545" i="3"/>
  <c r="AG545" i="3"/>
  <c r="M545" i="3" s="1"/>
  <c r="J549" i="3"/>
  <c r="F549" i="3"/>
  <c r="AG549" i="3"/>
  <c r="M549" i="3" s="1"/>
  <c r="N553" i="3"/>
  <c r="J553" i="3"/>
  <c r="F553" i="3"/>
  <c r="AG553" i="3"/>
  <c r="J557" i="3"/>
  <c r="F557" i="3"/>
  <c r="AG557" i="3"/>
  <c r="M557" i="3" s="1"/>
  <c r="J561" i="3"/>
  <c r="F561" i="3"/>
  <c r="AG561" i="3"/>
  <c r="M561" i="3" s="1"/>
  <c r="J565" i="3"/>
  <c r="F565" i="3"/>
  <c r="AG565" i="3"/>
  <c r="M565" i="3" s="1"/>
  <c r="F566" i="3"/>
  <c r="O568" i="3"/>
  <c r="G573" i="3"/>
  <c r="J573" i="3"/>
  <c r="F573" i="3"/>
  <c r="M573" i="3" s="1"/>
  <c r="F574" i="3"/>
  <c r="N574" i="3"/>
  <c r="O576" i="3"/>
  <c r="AI586" i="3"/>
  <c r="K586" i="3"/>
  <c r="O586" i="3"/>
  <c r="AH594" i="3"/>
  <c r="AH597" i="3"/>
  <c r="L599" i="3"/>
  <c r="I599" i="3"/>
  <c r="AI602" i="3"/>
  <c r="K602" i="3"/>
  <c r="O602" i="3"/>
  <c r="I612" i="3"/>
  <c r="L612" i="3"/>
  <c r="AJ612" i="3" s="1"/>
  <c r="AI613" i="3"/>
  <c r="O613" i="3"/>
  <c r="K613" i="3"/>
  <c r="L633" i="3"/>
  <c r="AJ633" i="3" s="1"/>
  <c r="I633" i="3"/>
  <c r="M637" i="3"/>
  <c r="G638" i="3"/>
  <c r="H638" i="3"/>
  <c r="J638" i="3"/>
  <c r="AG638" i="3"/>
  <c r="N638" i="3" s="1"/>
  <c r="F638" i="3"/>
  <c r="I644" i="3"/>
  <c r="L644" i="3"/>
  <c r="AJ644" i="3" s="1"/>
  <c r="N664" i="3"/>
  <c r="N668" i="3"/>
  <c r="M377" i="3"/>
  <c r="M381" i="3"/>
  <c r="M393" i="3"/>
  <c r="M397" i="3"/>
  <c r="M409" i="3"/>
  <c r="M413" i="3"/>
  <c r="M425" i="3"/>
  <c r="M429" i="3"/>
  <c r="M441" i="3"/>
  <c r="M445" i="3"/>
  <c r="M457" i="3"/>
  <c r="M461" i="3"/>
  <c r="AH472" i="3"/>
  <c r="AH544" i="3"/>
  <c r="AH548" i="3"/>
  <c r="AH552" i="3"/>
  <c r="AH556" i="3"/>
  <c r="AH560" i="3"/>
  <c r="AH564" i="3"/>
  <c r="H566" i="3"/>
  <c r="M566" i="3"/>
  <c r="AH568" i="3"/>
  <c r="N568" i="3"/>
  <c r="AG570" i="3"/>
  <c r="N570" i="3" s="1"/>
  <c r="H570" i="3"/>
  <c r="G570" i="3"/>
  <c r="AH576" i="3"/>
  <c r="N576" i="3"/>
  <c r="AG578" i="3"/>
  <c r="N578" i="3" s="1"/>
  <c r="H578" i="3"/>
  <c r="G578" i="3"/>
  <c r="J580" i="3"/>
  <c r="AI582" i="3"/>
  <c r="K582" i="3"/>
  <c r="O582" i="3"/>
  <c r="AJ587" i="3"/>
  <c r="AH587" i="3"/>
  <c r="AG588" i="3"/>
  <c r="N588" i="3" s="1"/>
  <c r="H588" i="3"/>
  <c r="G588" i="3"/>
  <c r="F588" i="3"/>
  <c r="N589" i="3"/>
  <c r="AH593" i="3"/>
  <c r="L595" i="3"/>
  <c r="I595" i="3"/>
  <c r="AI598" i="3"/>
  <c r="K598" i="3"/>
  <c r="O598" i="3"/>
  <c r="N605" i="3"/>
  <c r="N614" i="3"/>
  <c r="N616" i="3"/>
  <c r="N620" i="3"/>
  <c r="J621" i="3"/>
  <c r="F621" i="3"/>
  <c r="G621" i="3"/>
  <c r="AG621" i="3"/>
  <c r="H621" i="3"/>
  <c r="N624" i="3"/>
  <c r="AG639" i="3"/>
  <c r="N639" i="3" s="1"/>
  <c r="H639" i="3"/>
  <c r="J639" i="3"/>
  <c r="G639" i="3"/>
  <c r="F639" i="3"/>
  <c r="N646" i="3"/>
  <c r="N648" i="3"/>
  <c r="N652" i="3"/>
  <c r="J653" i="3"/>
  <c r="F653" i="3"/>
  <c r="G653" i="3"/>
  <c r="AG653" i="3"/>
  <c r="H653" i="3"/>
  <c r="N656" i="3"/>
  <c r="N662" i="3"/>
  <c r="I660" i="3"/>
  <c r="J669" i="3"/>
  <c r="F669" i="3"/>
  <c r="G669" i="3"/>
  <c r="G670" i="3"/>
  <c r="H670" i="3"/>
  <c r="AG671" i="3"/>
  <c r="N671" i="3" s="1"/>
  <c r="H671" i="3"/>
  <c r="G673" i="3"/>
  <c r="N673" i="3"/>
  <c r="M673" i="3"/>
  <c r="F673" i="3"/>
  <c r="AG673" i="3"/>
  <c r="AG592" i="3"/>
  <c r="N592" i="3" s="1"/>
  <c r="H592" i="3"/>
  <c r="J592" i="3"/>
  <c r="AG596" i="3"/>
  <c r="N596" i="3" s="1"/>
  <c r="H596" i="3"/>
  <c r="J596" i="3"/>
  <c r="AG600" i="3"/>
  <c r="N600" i="3" s="1"/>
  <c r="H600" i="3"/>
  <c r="J600" i="3"/>
  <c r="AG604" i="3"/>
  <c r="N604" i="3" s="1"/>
  <c r="H604" i="3"/>
  <c r="J604" i="3"/>
  <c r="AG608" i="3"/>
  <c r="H608" i="3"/>
  <c r="J608" i="3"/>
  <c r="AG611" i="3"/>
  <c r="H611" i="3"/>
  <c r="N611" i="3"/>
  <c r="J625" i="3"/>
  <c r="F625" i="3"/>
  <c r="G625" i="3"/>
  <c r="G626" i="3"/>
  <c r="H626" i="3"/>
  <c r="AG627" i="3"/>
  <c r="H627" i="3"/>
  <c r="N627" i="3"/>
  <c r="I632" i="3"/>
  <c r="J641" i="3"/>
  <c r="F641" i="3"/>
  <c r="M641" i="3" s="1"/>
  <c r="G641" i="3"/>
  <c r="G642" i="3"/>
  <c r="H642" i="3"/>
  <c r="AG643" i="3"/>
  <c r="N643" i="3" s="1"/>
  <c r="H643" i="3"/>
  <c r="I648" i="3"/>
  <c r="N657" i="3"/>
  <c r="J657" i="3"/>
  <c r="F657" i="3"/>
  <c r="G657" i="3"/>
  <c r="M657" i="3"/>
  <c r="G658" i="3"/>
  <c r="H658" i="3"/>
  <c r="AG659" i="3"/>
  <c r="N659" i="3" s="1"/>
  <c r="H659" i="3"/>
  <c r="K661" i="3"/>
  <c r="I664" i="3"/>
  <c r="I665" i="3"/>
  <c r="H669" i="3"/>
  <c r="F670" i="3"/>
  <c r="F671" i="3"/>
  <c r="H673" i="3"/>
  <c r="M468" i="3"/>
  <c r="M472" i="3"/>
  <c r="M476" i="3"/>
  <c r="M480" i="3"/>
  <c r="M484" i="3"/>
  <c r="M488" i="3"/>
  <c r="M492" i="3"/>
  <c r="M496" i="3"/>
  <c r="M500" i="3"/>
  <c r="M504" i="3"/>
  <c r="M508" i="3"/>
  <c r="M512" i="3"/>
  <c r="M516" i="3"/>
  <c r="M520" i="3"/>
  <c r="M524" i="3"/>
  <c r="M528" i="3"/>
  <c r="M532" i="3"/>
  <c r="M536" i="3"/>
  <c r="M540" i="3"/>
  <c r="M544" i="3"/>
  <c r="M548" i="3"/>
  <c r="M552" i="3"/>
  <c r="M556" i="3"/>
  <c r="M560" i="3"/>
  <c r="M564" i="3"/>
  <c r="M568" i="3"/>
  <c r="H571" i="3"/>
  <c r="AG571" i="3"/>
  <c r="N571" i="3" s="1"/>
  <c r="H575" i="3"/>
  <c r="AG575" i="3"/>
  <c r="N575" i="3" s="1"/>
  <c r="M576" i="3"/>
  <c r="H579" i="3"/>
  <c r="AG579" i="3"/>
  <c r="L581" i="3"/>
  <c r="AJ581" i="3" s="1"/>
  <c r="J583" i="3"/>
  <c r="AG583" i="3"/>
  <c r="L585" i="3"/>
  <c r="AJ585" i="3" s="1"/>
  <c r="J587" i="3"/>
  <c r="AG587" i="3"/>
  <c r="L589" i="3"/>
  <c r="AJ589" i="3" s="1"/>
  <c r="J591" i="3"/>
  <c r="AG591" i="3"/>
  <c r="F592" i="3"/>
  <c r="L593" i="3"/>
  <c r="AJ593" i="3" s="1"/>
  <c r="J595" i="3"/>
  <c r="AG595" i="3"/>
  <c r="F596" i="3"/>
  <c r="L597" i="3"/>
  <c r="AJ597" i="3" s="1"/>
  <c r="J599" i="3"/>
  <c r="AG599" i="3"/>
  <c r="F600" i="3"/>
  <c r="M600" i="3" s="1"/>
  <c r="L601" i="3"/>
  <c r="AJ601" i="3" s="1"/>
  <c r="J603" i="3"/>
  <c r="AG603" i="3"/>
  <c r="F604" i="3"/>
  <c r="L605" i="3"/>
  <c r="AJ605" i="3" s="1"/>
  <c r="J607" i="3"/>
  <c r="AG607" i="3"/>
  <c r="F608" i="3"/>
  <c r="L609" i="3"/>
  <c r="AJ609" i="3" s="1"/>
  <c r="F611" i="3"/>
  <c r="M611" i="3"/>
  <c r="N613" i="3"/>
  <c r="J613" i="3"/>
  <c r="F613" i="3"/>
  <c r="M613" i="3" s="1"/>
  <c r="AH613" i="3"/>
  <c r="G613" i="3"/>
  <c r="G614" i="3"/>
  <c r="M614" i="3"/>
  <c r="H614" i="3"/>
  <c r="AG615" i="3"/>
  <c r="M615" i="3" s="1"/>
  <c r="H615" i="3"/>
  <c r="N615" i="3"/>
  <c r="J618" i="3"/>
  <c r="J619" i="3"/>
  <c r="H625" i="3"/>
  <c r="F626" i="3"/>
  <c r="M626" i="3" s="1"/>
  <c r="F627" i="3"/>
  <c r="M627" i="3"/>
  <c r="N629" i="3"/>
  <c r="J629" i="3"/>
  <c r="F629" i="3"/>
  <c r="M629" i="3" s="1"/>
  <c r="G629" i="3"/>
  <c r="G630" i="3"/>
  <c r="H630" i="3"/>
  <c r="AG631" i="3"/>
  <c r="M631" i="3" s="1"/>
  <c r="H631" i="3"/>
  <c r="N631" i="3"/>
  <c r="J634" i="3"/>
  <c r="J635" i="3"/>
  <c r="I636" i="3"/>
  <c r="H641" i="3"/>
  <c r="F642" i="3"/>
  <c r="F643" i="3"/>
  <c r="M643" i="3"/>
  <c r="N645" i="3"/>
  <c r="J645" i="3"/>
  <c r="F645" i="3"/>
  <c r="M645" i="3" s="1"/>
  <c r="G645" i="3"/>
  <c r="G646" i="3"/>
  <c r="M646" i="3"/>
  <c r="H646" i="3"/>
  <c r="AG647" i="3"/>
  <c r="M647" i="3" s="1"/>
  <c r="H647" i="3"/>
  <c r="N647" i="3"/>
  <c r="J650" i="3"/>
  <c r="J651" i="3"/>
  <c r="I652" i="3"/>
  <c r="H657" i="3"/>
  <c r="F658" i="3"/>
  <c r="F659" i="3"/>
  <c r="N661" i="3"/>
  <c r="J661" i="3"/>
  <c r="F661" i="3"/>
  <c r="AH661" i="3"/>
  <c r="G661" i="3"/>
  <c r="M661" i="3"/>
  <c r="G662" i="3"/>
  <c r="M662" i="3"/>
  <c r="H662" i="3"/>
  <c r="AG663" i="3"/>
  <c r="M663" i="3" s="1"/>
  <c r="H663" i="3"/>
  <c r="N663" i="3"/>
  <c r="J666" i="3"/>
  <c r="J667" i="3"/>
  <c r="I668" i="3"/>
  <c r="AG669" i="3"/>
  <c r="N669" i="3" s="1"/>
  <c r="AG670" i="3"/>
  <c r="M670" i="3" s="1"/>
  <c r="G671" i="3"/>
  <c r="J673" i="3"/>
  <c r="I675" i="3"/>
  <c r="L675" i="3"/>
  <c r="AJ675" i="3" s="1"/>
  <c r="N582" i="3"/>
  <c r="J582" i="3"/>
  <c r="F582" i="3"/>
  <c r="AG582" i="3"/>
  <c r="M582" i="3" s="1"/>
  <c r="N586" i="3"/>
  <c r="J586" i="3"/>
  <c r="F586" i="3"/>
  <c r="AG586" i="3"/>
  <c r="N590" i="3"/>
  <c r="J590" i="3"/>
  <c r="F590" i="3"/>
  <c r="AG590" i="3"/>
  <c r="M590" i="3" s="1"/>
  <c r="G592" i="3"/>
  <c r="N594" i="3"/>
  <c r="J594" i="3"/>
  <c r="F594" i="3"/>
  <c r="AG594" i="3"/>
  <c r="G596" i="3"/>
  <c r="M596" i="3"/>
  <c r="N598" i="3"/>
  <c r="J598" i="3"/>
  <c r="F598" i="3"/>
  <c r="AG598" i="3"/>
  <c r="G600" i="3"/>
  <c r="N602" i="3"/>
  <c r="J602" i="3"/>
  <c r="F602" i="3"/>
  <c r="AG602" i="3"/>
  <c r="G604" i="3"/>
  <c r="N606" i="3"/>
  <c r="J606" i="3"/>
  <c r="F606" i="3"/>
  <c r="AG606" i="3"/>
  <c r="G608" i="3"/>
  <c r="N610" i="3"/>
  <c r="J610" i="3"/>
  <c r="F610" i="3"/>
  <c r="AG610" i="3"/>
  <c r="G611" i="3"/>
  <c r="K616" i="3"/>
  <c r="AI616" i="3"/>
  <c r="N617" i="3"/>
  <c r="J617" i="3"/>
  <c r="F617" i="3"/>
  <c r="M617" i="3" s="1"/>
  <c r="AH617" i="3"/>
  <c r="G617" i="3"/>
  <c r="G618" i="3"/>
  <c r="H618" i="3"/>
  <c r="AG619" i="3"/>
  <c r="H619" i="3"/>
  <c r="N619" i="3"/>
  <c r="I624" i="3"/>
  <c r="AG625" i="3"/>
  <c r="N625" i="3" s="1"/>
  <c r="AG626" i="3"/>
  <c r="N626" i="3" s="1"/>
  <c r="G627" i="3"/>
  <c r="J633" i="3"/>
  <c r="F633" i="3"/>
  <c r="M633" i="3" s="1"/>
  <c r="G633" i="3"/>
  <c r="G634" i="3"/>
  <c r="M634" i="3"/>
  <c r="H634" i="3"/>
  <c r="AG635" i="3"/>
  <c r="M635" i="3" s="1"/>
  <c r="H635" i="3"/>
  <c r="N635" i="3"/>
  <c r="I640" i="3"/>
  <c r="AG641" i="3"/>
  <c r="N641" i="3" s="1"/>
  <c r="AG642" i="3"/>
  <c r="M642" i="3" s="1"/>
  <c r="G643" i="3"/>
  <c r="J649" i="3"/>
  <c r="F649" i="3"/>
  <c r="M649" i="3" s="1"/>
  <c r="G649" i="3"/>
  <c r="G650" i="3"/>
  <c r="H650" i="3"/>
  <c r="AG651" i="3"/>
  <c r="M651" i="3" s="1"/>
  <c r="H651" i="3"/>
  <c r="N651" i="3"/>
  <c r="I656" i="3"/>
  <c r="AG657" i="3"/>
  <c r="AG658" i="3"/>
  <c r="N658" i="3" s="1"/>
  <c r="G659" i="3"/>
  <c r="L660" i="3"/>
  <c r="AJ660" i="3" s="1"/>
  <c r="O661" i="3"/>
  <c r="N665" i="3"/>
  <c r="J665" i="3"/>
  <c r="F665" i="3"/>
  <c r="G665" i="3"/>
  <c r="M665" i="3"/>
  <c r="G666" i="3"/>
  <c r="H666" i="3"/>
  <c r="AG667" i="3"/>
  <c r="M667" i="3" s="1"/>
  <c r="H667" i="3"/>
  <c r="J670" i="3"/>
  <c r="J671" i="3"/>
  <c r="J672" i="3"/>
  <c r="F672" i="3"/>
  <c r="H672" i="3"/>
  <c r="G672" i="3"/>
  <c r="AG672" i="3"/>
  <c r="M672" i="3" s="1"/>
  <c r="N676" i="3"/>
  <c r="J676" i="3"/>
  <c r="F676" i="3"/>
  <c r="M676" i="3" s="1"/>
  <c r="H676" i="3"/>
  <c r="M581" i="3"/>
  <c r="M585" i="3"/>
  <c r="M589" i="3"/>
  <c r="M593" i="3"/>
  <c r="M597" i="3"/>
  <c r="M601" i="3"/>
  <c r="M605" i="3"/>
  <c r="M609" i="3"/>
  <c r="AH616" i="3"/>
  <c r="AH620" i="3"/>
  <c r="M616" i="3"/>
  <c r="M620" i="3"/>
  <c r="M624" i="3"/>
  <c r="M632" i="3"/>
  <c r="M640" i="3"/>
  <c r="M648" i="3"/>
  <c r="M652" i="3"/>
  <c r="M656" i="3"/>
  <c r="M664" i="3"/>
  <c r="M668" i="3"/>
  <c r="AG674" i="3"/>
  <c r="H674" i="3"/>
  <c r="J674" i="3"/>
  <c r="B39" i="7"/>
  <c r="J39" i="7" s="1"/>
  <c r="R39" i="7"/>
  <c r="C39" i="7"/>
  <c r="G39" i="7" s="1"/>
  <c r="S39" i="7"/>
  <c r="D39" i="7"/>
  <c r="T39" i="7"/>
  <c r="I39" i="7"/>
  <c r="AA32" i="2" l="1"/>
  <c r="AC32" i="2"/>
  <c r="Y23" i="2"/>
  <c r="O375" i="3"/>
  <c r="K375" i="3"/>
  <c r="AI375" i="3"/>
  <c r="AI262" i="3"/>
  <c r="O262" i="3"/>
  <c r="K262" i="3"/>
  <c r="X19" i="2"/>
  <c r="Y19" i="2" s="1"/>
  <c r="Y6" i="2"/>
  <c r="AI134" i="3"/>
  <c r="O134" i="3"/>
  <c r="K134" i="3"/>
  <c r="AI19" i="3"/>
  <c r="O19" i="3"/>
  <c r="K19" i="3"/>
  <c r="U39" i="7"/>
  <c r="Q39" i="7"/>
  <c r="P39" i="7"/>
  <c r="L39" i="7"/>
  <c r="O39" i="7"/>
  <c r="K39" i="7"/>
  <c r="M39" i="7" s="1"/>
  <c r="V39" i="7"/>
  <c r="N39" i="7"/>
  <c r="U7" i="3"/>
  <c r="AD6" i="3"/>
  <c r="AI362" i="3"/>
  <c r="K362" i="3"/>
  <c r="O362" i="3"/>
  <c r="O516" i="3"/>
  <c r="AI516" i="3"/>
  <c r="K516" i="3"/>
  <c r="Y28" i="2"/>
  <c r="AI378" i="3"/>
  <c r="O378" i="3"/>
  <c r="K378" i="3"/>
  <c r="AI177" i="3"/>
  <c r="O177" i="3"/>
  <c r="K177" i="3"/>
  <c r="O504" i="3"/>
  <c r="K504" i="3"/>
  <c r="AI504" i="3"/>
  <c r="Y25" i="2"/>
  <c r="O512" i="3"/>
  <c r="K512" i="3"/>
  <c r="AI512" i="3"/>
  <c r="AI454" i="3"/>
  <c r="O454" i="3"/>
  <c r="K454" i="3"/>
  <c r="AI422" i="3"/>
  <c r="O422" i="3"/>
  <c r="K422" i="3"/>
  <c r="AI493" i="3"/>
  <c r="K493" i="3"/>
  <c r="O493" i="3"/>
  <c r="AJ435" i="3"/>
  <c r="O288" i="3"/>
  <c r="K288" i="3"/>
  <c r="AI288" i="3"/>
  <c r="AJ335" i="3"/>
  <c r="K334" i="3"/>
  <c r="O334" i="3"/>
  <c r="AI334" i="3"/>
  <c r="AI270" i="3"/>
  <c r="O270" i="3"/>
  <c r="K270" i="3"/>
  <c r="W17" i="2"/>
  <c r="AJ419" i="3"/>
  <c r="I434" i="3"/>
  <c r="CK36" i="1"/>
  <c r="CL36" i="1" s="1"/>
  <c r="CM36" i="1" s="1"/>
  <c r="U54" i="2"/>
  <c r="CK32" i="1"/>
  <c r="CL32" i="1" s="1"/>
  <c r="CM32" i="1" s="1"/>
  <c r="AI645" i="3"/>
  <c r="O645" i="3"/>
  <c r="K645" i="3"/>
  <c r="Z108" i="2"/>
  <c r="CK42" i="1"/>
  <c r="CL42" i="1" s="1"/>
  <c r="CM42" i="1" s="1"/>
  <c r="CK38" i="1"/>
  <c r="CL38" i="1" s="1"/>
  <c r="CM38" i="1" s="1"/>
  <c r="CK24" i="1"/>
  <c r="CL24" i="1" s="1"/>
  <c r="CM24" i="1" s="1"/>
  <c r="U84" i="2"/>
  <c r="X21" i="2" s="1"/>
  <c r="Y21" i="2" s="1"/>
  <c r="U77" i="2"/>
  <c r="Z105" i="2"/>
  <c r="U29" i="2"/>
  <c r="CK23" i="1"/>
  <c r="CL23" i="1" s="1"/>
  <c r="CM23" i="1" s="1"/>
  <c r="Z107" i="2"/>
  <c r="Z120" i="2"/>
  <c r="AI26" i="3"/>
  <c r="K26" i="3"/>
  <c r="O26" i="3"/>
  <c r="U50" i="2"/>
  <c r="X18" i="2" s="1"/>
  <c r="Y18" i="2" s="1"/>
  <c r="L662" i="3"/>
  <c r="I662" i="3"/>
  <c r="N587" i="3"/>
  <c r="M587" i="3"/>
  <c r="L643" i="3"/>
  <c r="I643" i="3"/>
  <c r="L592" i="3"/>
  <c r="I592" i="3"/>
  <c r="AJ595" i="3"/>
  <c r="AH595" i="3"/>
  <c r="O524" i="3"/>
  <c r="K524" i="3"/>
  <c r="AI524" i="3"/>
  <c r="I413" i="3"/>
  <c r="L413" i="3"/>
  <c r="I397" i="3"/>
  <c r="L397" i="3"/>
  <c r="L580" i="3"/>
  <c r="I580" i="3"/>
  <c r="L555" i="3"/>
  <c r="I555" i="3"/>
  <c r="L522" i="3"/>
  <c r="I522" i="3"/>
  <c r="M502" i="3"/>
  <c r="M478" i="3"/>
  <c r="M562" i="3"/>
  <c r="L550" i="3"/>
  <c r="I550" i="3"/>
  <c r="AI402" i="3"/>
  <c r="O402" i="3"/>
  <c r="K402" i="3"/>
  <c r="L567" i="3"/>
  <c r="I567" i="3"/>
  <c r="M506" i="3"/>
  <c r="M654" i="3"/>
  <c r="I622" i="3"/>
  <c r="L622" i="3"/>
  <c r="L539" i="3"/>
  <c r="I539" i="3"/>
  <c r="O451" i="3"/>
  <c r="K451" i="3"/>
  <c r="AI451" i="3"/>
  <c r="N439" i="3"/>
  <c r="L365" i="3"/>
  <c r="I365" i="3"/>
  <c r="L357" i="3"/>
  <c r="I357" i="3"/>
  <c r="L353" i="3"/>
  <c r="I353" i="3"/>
  <c r="L404" i="3"/>
  <c r="I404" i="3"/>
  <c r="L388" i="3"/>
  <c r="I388" i="3"/>
  <c r="M360" i="3"/>
  <c r="L424" i="3"/>
  <c r="I424" i="3"/>
  <c r="K346" i="3"/>
  <c r="O346" i="3"/>
  <c r="AI346" i="3"/>
  <c r="O326" i="3"/>
  <c r="AI326" i="3"/>
  <c r="K326" i="3"/>
  <c r="AI306" i="3"/>
  <c r="K306" i="3"/>
  <c r="O306" i="3"/>
  <c r="L325" i="3"/>
  <c r="I325" i="3"/>
  <c r="AI323" i="3"/>
  <c r="K323" i="3"/>
  <c r="O323" i="3"/>
  <c r="L328" i="3"/>
  <c r="I328" i="3"/>
  <c r="L312" i="3"/>
  <c r="I312" i="3"/>
  <c r="AI294" i="3"/>
  <c r="K294" i="3"/>
  <c r="O294" i="3"/>
  <c r="L219" i="3"/>
  <c r="I219" i="3"/>
  <c r="AI205" i="3"/>
  <c r="O205" i="3"/>
  <c r="K205" i="3"/>
  <c r="AI198" i="3"/>
  <c r="O198" i="3"/>
  <c r="K198" i="3"/>
  <c r="L191" i="3"/>
  <c r="I191" i="3"/>
  <c r="AI42" i="3"/>
  <c r="O42" i="3"/>
  <c r="K42" i="3"/>
  <c r="B188" i="3"/>
  <c r="M188" i="3" s="1"/>
  <c r="AI249" i="3"/>
  <c r="O249" i="3"/>
  <c r="K249" i="3"/>
  <c r="AI222" i="3"/>
  <c r="O222" i="3"/>
  <c r="K222" i="3"/>
  <c r="L215" i="3"/>
  <c r="I215" i="3"/>
  <c r="L199" i="3"/>
  <c r="I199" i="3"/>
  <c r="L167" i="3"/>
  <c r="I167" i="3"/>
  <c r="L163" i="3"/>
  <c r="I163" i="3"/>
  <c r="L64" i="3"/>
  <c r="I64" i="3"/>
  <c r="AI34" i="3"/>
  <c r="K34" i="3"/>
  <c r="O34" i="3"/>
  <c r="L304" i="3"/>
  <c r="I304" i="3"/>
  <c r="L227" i="3"/>
  <c r="I227" i="3"/>
  <c r="AI141" i="3"/>
  <c r="O141" i="3"/>
  <c r="K141" i="3"/>
  <c r="B650" i="3"/>
  <c r="M650" i="3" s="1"/>
  <c r="B675" i="3"/>
  <c r="N675" i="3" s="1"/>
  <c r="O500" i="3"/>
  <c r="K500" i="3"/>
  <c r="AI500" i="3"/>
  <c r="O39" i="3"/>
  <c r="K39" i="3"/>
  <c r="AI39" i="3"/>
  <c r="N116" i="3"/>
  <c r="B116" i="3"/>
  <c r="M116" i="3" s="1"/>
  <c r="M675" i="3"/>
  <c r="L651" i="3"/>
  <c r="I651" i="3"/>
  <c r="L619" i="3"/>
  <c r="I619" i="3"/>
  <c r="M604" i="3"/>
  <c r="M579" i="3"/>
  <c r="L641" i="3"/>
  <c r="I641" i="3"/>
  <c r="M630" i="3"/>
  <c r="N591" i="3"/>
  <c r="M591" i="3"/>
  <c r="I658" i="3"/>
  <c r="L658" i="3"/>
  <c r="N608" i="3"/>
  <c r="M621" i="3"/>
  <c r="L566" i="3"/>
  <c r="I566" i="3"/>
  <c r="I433" i="3"/>
  <c r="L433" i="3"/>
  <c r="N421" i="3"/>
  <c r="I417" i="3"/>
  <c r="L417" i="3"/>
  <c r="I385" i="3"/>
  <c r="L385" i="3"/>
  <c r="M306" i="3"/>
  <c r="M538" i="3"/>
  <c r="M522" i="3"/>
  <c r="AJ607" i="3"/>
  <c r="AH607" i="3"/>
  <c r="M550" i="3"/>
  <c r="L507" i="3"/>
  <c r="I507" i="3"/>
  <c r="N414" i="3"/>
  <c r="L408" i="3"/>
  <c r="I408" i="3"/>
  <c r="M577" i="3"/>
  <c r="M519" i="3"/>
  <c r="M514" i="3"/>
  <c r="L482" i="3"/>
  <c r="I482" i="3"/>
  <c r="L471" i="3"/>
  <c r="I471" i="3"/>
  <c r="L511" i="3"/>
  <c r="I511" i="3"/>
  <c r="N423" i="3"/>
  <c r="L392" i="3"/>
  <c r="I392" i="3"/>
  <c r="L518" i="3"/>
  <c r="I518" i="3"/>
  <c r="AJ517" i="3"/>
  <c r="L487" i="3"/>
  <c r="I487" i="3"/>
  <c r="L448" i="3"/>
  <c r="I448" i="3"/>
  <c r="N395" i="3"/>
  <c r="AI390" i="3"/>
  <c r="K390" i="3"/>
  <c r="O390" i="3"/>
  <c r="N353" i="3"/>
  <c r="L341" i="3"/>
  <c r="I341" i="3"/>
  <c r="N510" i="3"/>
  <c r="N400" i="3"/>
  <c r="N384" i="3"/>
  <c r="I364" i="3"/>
  <c r="L364" i="3"/>
  <c r="I360" i="3"/>
  <c r="L360" i="3"/>
  <c r="I356" i="3"/>
  <c r="L356" i="3"/>
  <c r="L523" i="3"/>
  <c r="I523" i="3"/>
  <c r="L503" i="3"/>
  <c r="I503" i="3"/>
  <c r="L479" i="3"/>
  <c r="I479" i="3"/>
  <c r="N455" i="3"/>
  <c r="AI450" i="3"/>
  <c r="K450" i="3"/>
  <c r="O450" i="3"/>
  <c r="L412" i="3"/>
  <c r="I412" i="3"/>
  <c r="L368" i="3"/>
  <c r="I368" i="3"/>
  <c r="M359" i="3"/>
  <c r="AI358" i="3"/>
  <c r="K358" i="3"/>
  <c r="O358" i="3"/>
  <c r="AI354" i="3"/>
  <c r="K354" i="3"/>
  <c r="O354" i="3"/>
  <c r="N335" i="3"/>
  <c r="AI322" i="3"/>
  <c r="K322" i="3"/>
  <c r="O322" i="3"/>
  <c r="N319" i="3"/>
  <c r="M303" i="3"/>
  <c r="O302" i="3"/>
  <c r="K302" i="3"/>
  <c r="AI302" i="3"/>
  <c r="I340" i="3"/>
  <c r="L340" i="3"/>
  <c r="L276" i="3"/>
  <c r="I276" i="3"/>
  <c r="I336" i="3"/>
  <c r="L336" i="3"/>
  <c r="N322" i="3"/>
  <c r="L321" i="3"/>
  <c r="I321" i="3"/>
  <c r="N316" i="3"/>
  <c r="N300" i="3"/>
  <c r="L297" i="3"/>
  <c r="I297" i="3"/>
  <c r="I295" i="3"/>
  <c r="L295" i="3"/>
  <c r="N292" i="3"/>
  <c r="L289" i="3"/>
  <c r="I289" i="3"/>
  <c r="I287" i="3"/>
  <c r="L287" i="3"/>
  <c r="N284" i="3"/>
  <c r="L281" i="3"/>
  <c r="I281" i="3"/>
  <c r="I279" i="3"/>
  <c r="L279" i="3"/>
  <c r="M78" i="3"/>
  <c r="M62" i="3"/>
  <c r="M365" i="3"/>
  <c r="I348" i="3"/>
  <c r="L348" i="3"/>
  <c r="O324" i="3"/>
  <c r="K324" i="3"/>
  <c r="AI324" i="3"/>
  <c r="M316" i="3"/>
  <c r="N313" i="3"/>
  <c r="O383" i="3"/>
  <c r="K383" i="3"/>
  <c r="AI383" i="3"/>
  <c r="M333" i="3"/>
  <c r="AI290" i="3"/>
  <c r="K290" i="3"/>
  <c r="O290" i="3"/>
  <c r="N269" i="3"/>
  <c r="AI253" i="3"/>
  <c r="O253" i="3"/>
  <c r="K253" i="3"/>
  <c r="AI214" i="3"/>
  <c r="O214" i="3"/>
  <c r="K214" i="3"/>
  <c r="L207" i="3"/>
  <c r="I207" i="3"/>
  <c r="M183" i="3"/>
  <c r="AI173" i="3"/>
  <c r="O173" i="3"/>
  <c r="K173" i="3"/>
  <c r="AI166" i="3"/>
  <c r="O166" i="3"/>
  <c r="K166" i="3"/>
  <c r="M155" i="3"/>
  <c r="M147" i="3"/>
  <c r="N141" i="3"/>
  <c r="N125" i="3"/>
  <c r="AH121" i="3"/>
  <c r="O105" i="3"/>
  <c r="AI105" i="3"/>
  <c r="K105" i="3"/>
  <c r="L100" i="3"/>
  <c r="I100" i="3"/>
  <c r="I46" i="7" s="1"/>
  <c r="M92" i="3"/>
  <c r="AI90" i="3"/>
  <c r="O90" i="3"/>
  <c r="K90" i="3"/>
  <c r="L87" i="3"/>
  <c r="I87" i="3"/>
  <c r="M76" i="3"/>
  <c r="AI74" i="3"/>
  <c r="O74" i="3"/>
  <c r="K74" i="3"/>
  <c r="N62" i="3"/>
  <c r="L52" i="3"/>
  <c r="I52" i="3"/>
  <c r="M32" i="3"/>
  <c r="AI30" i="3"/>
  <c r="O30" i="3"/>
  <c r="K30" i="3"/>
  <c r="B294" i="3"/>
  <c r="M294" i="3" s="1"/>
  <c r="M10" i="3"/>
  <c r="B176" i="3"/>
  <c r="N176" i="3"/>
  <c r="M275" i="3"/>
  <c r="L251" i="3"/>
  <c r="I251" i="3"/>
  <c r="N251" i="3"/>
  <c r="L235" i="3"/>
  <c r="I235" i="3"/>
  <c r="N235" i="3"/>
  <c r="L231" i="3"/>
  <c r="I231" i="3"/>
  <c r="L203" i="3"/>
  <c r="I203" i="3"/>
  <c r="N203" i="3"/>
  <c r="AI185" i="3"/>
  <c r="O185" i="3"/>
  <c r="K185" i="3"/>
  <c r="M159" i="3"/>
  <c r="L151" i="3"/>
  <c r="I151" i="3"/>
  <c r="M87" i="3"/>
  <c r="M71" i="3"/>
  <c r="M47" i="3"/>
  <c r="L40" i="3"/>
  <c r="I40" i="3"/>
  <c r="I10" i="3"/>
  <c r="L10" i="3"/>
  <c r="AH145" i="3" s="1"/>
  <c r="B204" i="3"/>
  <c r="M204" i="3" s="1"/>
  <c r="M304" i="3"/>
  <c r="AJ292" i="3"/>
  <c r="AI274" i="3"/>
  <c r="O274" i="3"/>
  <c r="K274" i="3"/>
  <c r="AI245" i="3"/>
  <c r="K245" i="3"/>
  <c r="O245" i="3"/>
  <c r="AI206" i="3"/>
  <c r="O206" i="3"/>
  <c r="K206" i="3"/>
  <c r="N182" i="3"/>
  <c r="AI174" i="3"/>
  <c r="O174" i="3"/>
  <c r="K174" i="3"/>
  <c r="AI154" i="3"/>
  <c r="O154" i="3"/>
  <c r="K154" i="3"/>
  <c r="AI126" i="3"/>
  <c r="O126" i="3"/>
  <c r="K126" i="3"/>
  <c r="N118" i="3"/>
  <c r="L107" i="3"/>
  <c r="I107" i="3"/>
  <c r="N107" i="3"/>
  <c r="AI101" i="3"/>
  <c r="K101" i="3"/>
  <c r="O101" i="3"/>
  <c r="M96" i="3"/>
  <c r="AI93" i="3"/>
  <c r="K93" i="3"/>
  <c r="O93" i="3"/>
  <c r="L88" i="3"/>
  <c r="I88" i="3"/>
  <c r="T9" i="5" s="1"/>
  <c r="Z9" i="5" s="1"/>
  <c r="AA9" i="5" s="1"/>
  <c r="M80" i="3"/>
  <c r="AI77" i="3"/>
  <c r="K77" i="3"/>
  <c r="O77" i="3"/>
  <c r="L72" i="3"/>
  <c r="I72" i="3"/>
  <c r="M56" i="3"/>
  <c r="AI54" i="3"/>
  <c r="K54" i="3"/>
  <c r="O54" i="3"/>
  <c r="AI45" i="3"/>
  <c r="K45" i="3"/>
  <c r="O45" i="3"/>
  <c r="AI33" i="3"/>
  <c r="K33" i="3"/>
  <c r="O33" i="3"/>
  <c r="N304" i="3"/>
  <c r="N274" i="3"/>
  <c r="L243" i="3"/>
  <c r="I243" i="3"/>
  <c r="L211" i="3"/>
  <c r="I211" i="3"/>
  <c r="N194" i="3"/>
  <c r="AI186" i="3"/>
  <c r="O186" i="3"/>
  <c r="K186" i="3"/>
  <c r="N178" i="3"/>
  <c r="AI170" i="3"/>
  <c r="O170" i="3"/>
  <c r="K170" i="3"/>
  <c r="L143" i="3"/>
  <c r="I143" i="3"/>
  <c r="AI113" i="3"/>
  <c r="O113" i="3"/>
  <c r="K113" i="3"/>
  <c r="AI23" i="3"/>
  <c r="O23" i="3"/>
  <c r="K23" i="3"/>
  <c r="BV21" i="1"/>
  <c r="AI382" i="3"/>
  <c r="K382" i="3"/>
  <c r="O382" i="3"/>
  <c r="AI265" i="3"/>
  <c r="O265" i="3"/>
  <c r="K265" i="3"/>
  <c r="L75" i="3"/>
  <c r="I75" i="3"/>
  <c r="L43" i="3"/>
  <c r="I43" i="3"/>
  <c r="AJ39" i="3"/>
  <c r="AH38" i="1"/>
  <c r="M21" i="3"/>
  <c r="AH26" i="1"/>
  <c r="M9" i="3"/>
  <c r="I4" i="3"/>
  <c r="B8" i="7" s="1"/>
  <c r="D8" i="7" s="1"/>
  <c r="L4" i="3"/>
  <c r="O427" i="3"/>
  <c r="K427" i="3"/>
  <c r="AI427" i="3"/>
  <c r="O443" i="3"/>
  <c r="K443" i="3"/>
  <c r="AI443" i="3"/>
  <c r="AJ415" i="3"/>
  <c r="AI410" i="3"/>
  <c r="O410" i="3"/>
  <c r="K410" i="3"/>
  <c r="AI366" i="3"/>
  <c r="K366" i="3"/>
  <c r="O366" i="3"/>
  <c r="U103" i="2"/>
  <c r="Z104" i="2"/>
  <c r="AI266" i="3"/>
  <c r="O266" i="3"/>
  <c r="K266" i="3"/>
  <c r="AI226" i="3"/>
  <c r="O226" i="3"/>
  <c r="K226" i="3"/>
  <c r="AI27" i="3"/>
  <c r="O27" i="3"/>
  <c r="K27" i="3"/>
  <c r="L25" i="3"/>
  <c r="I25" i="3"/>
  <c r="M24" i="3"/>
  <c r="N20" i="3"/>
  <c r="BV27" i="1"/>
  <c r="B264" i="3"/>
  <c r="M264" i="3" s="1"/>
  <c r="N8" i="3"/>
  <c r="B152" i="3"/>
  <c r="M152" i="3" s="1"/>
  <c r="B45" i="3"/>
  <c r="M45" i="3" s="1"/>
  <c r="N45" i="3"/>
  <c r="AH24" i="1"/>
  <c r="AH32" i="1"/>
  <c r="AH39" i="1"/>
  <c r="AI39" i="1"/>
  <c r="AK39" i="1"/>
  <c r="AH27" i="1"/>
  <c r="AH35" i="1"/>
  <c r="AH41" i="1"/>
  <c r="AI41" i="1"/>
  <c r="AK41" i="1"/>
  <c r="AJ513" i="3"/>
  <c r="AI430" i="3"/>
  <c r="O430" i="3"/>
  <c r="K430" i="3"/>
  <c r="AJ505" i="3"/>
  <c r="AJ280" i="3"/>
  <c r="I66" i="3"/>
  <c r="O37" i="3"/>
  <c r="AI37" i="3"/>
  <c r="K37" i="3"/>
  <c r="CK44" i="1"/>
  <c r="CL44" i="1" s="1"/>
  <c r="CM44" i="1" s="1"/>
  <c r="CK37" i="1"/>
  <c r="CL37" i="1" s="1"/>
  <c r="CM37" i="1" s="1"/>
  <c r="CK25" i="1"/>
  <c r="CL25" i="1" s="1"/>
  <c r="CM25" i="1" s="1"/>
  <c r="CK18" i="1"/>
  <c r="CL18" i="1" s="1"/>
  <c r="CM18" i="1" s="1"/>
  <c r="AI150" i="3"/>
  <c r="O150" i="3"/>
  <c r="K150" i="3"/>
  <c r="L83" i="3"/>
  <c r="I83" i="3"/>
  <c r="N65" i="3"/>
  <c r="L31" i="3"/>
  <c r="I31" i="3"/>
  <c r="AH33" i="1"/>
  <c r="AH29" i="1"/>
  <c r="B220" i="3"/>
  <c r="M220" i="3" s="1"/>
  <c r="B236" i="3"/>
  <c r="M236" i="3" s="1"/>
  <c r="N236" i="3"/>
  <c r="L6" i="3"/>
  <c r="I6" i="3"/>
  <c r="AH17" i="1"/>
  <c r="AJ493" i="3"/>
  <c r="U102" i="2"/>
  <c r="K350" i="3"/>
  <c r="O350" i="3"/>
  <c r="AI350" i="3"/>
  <c r="AJ284" i="3"/>
  <c r="U92" i="2"/>
  <c r="AI234" i="3"/>
  <c r="O234" i="3"/>
  <c r="K234" i="3"/>
  <c r="AI258" i="3"/>
  <c r="O258" i="3"/>
  <c r="K258" i="3"/>
  <c r="U59" i="2"/>
  <c r="U14" i="2"/>
  <c r="X14" i="2" s="1"/>
  <c r="Y14" i="2" s="1"/>
  <c r="AI501" i="3"/>
  <c r="K501" i="3"/>
  <c r="O501" i="3"/>
  <c r="AI489" i="3"/>
  <c r="K489" i="3"/>
  <c r="O489" i="3"/>
  <c r="AI351" i="3"/>
  <c r="K351" i="3"/>
  <c r="O351" i="3"/>
  <c r="AI133" i="3"/>
  <c r="O133" i="3"/>
  <c r="K133" i="3"/>
  <c r="N85" i="3"/>
  <c r="I11" i="3"/>
  <c r="M91" i="3"/>
  <c r="U80" i="2"/>
  <c r="AI629" i="3"/>
  <c r="O629" i="3"/>
  <c r="K629" i="3"/>
  <c r="U114" i="2"/>
  <c r="X9" i="2"/>
  <c r="Y9" i="2" s="1"/>
  <c r="U106" i="2"/>
  <c r="U115" i="2"/>
  <c r="AJ26" i="3"/>
  <c r="AH26" i="3"/>
  <c r="X8" i="2"/>
  <c r="Y8" i="2" s="1"/>
  <c r="F39" i="7"/>
  <c r="L674" i="3"/>
  <c r="I674" i="3"/>
  <c r="L608" i="3"/>
  <c r="I608" i="3"/>
  <c r="L671" i="3"/>
  <c r="I671" i="3"/>
  <c r="M638" i="3"/>
  <c r="I445" i="3"/>
  <c r="L445" i="3"/>
  <c r="I429" i="3"/>
  <c r="L429" i="3"/>
  <c r="I381" i="3"/>
  <c r="L381" i="3"/>
  <c r="AI557" i="3"/>
  <c r="K557" i="3"/>
  <c r="O557" i="3"/>
  <c r="O607" i="3"/>
  <c r="K607" i="3"/>
  <c r="AI607" i="3"/>
  <c r="AJ591" i="3"/>
  <c r="AH591" i="3"/>
  <c r="M546" i="3"/>
  <c r="L515" i="3"/>
  <c r="I515" i="3"/>
  <c r="L483" i="3"/>
  <c r="I483" i="3"/>
  <c r="AI617" i="3"/>
  <c r="K617" i="3"/>
  <c r="O617" i="3"/>
  <c r="L535" i="3"/>
  <c r="I535" i="3"/>
  <c r="L514" i="3"/>
  <c r="I514" i="3"/>
  <c r="L460" i="3"/>
  <c r="I460" i="3"/>
  <c r="L444" i="3"/>
  <c r="I444" i="3"/>
  <c r="AI418" i="3"/>
  <c r="O418" i="3"/>
  <c r="K418" i="3"/>
  <c r="AI517" i="3"/>
  <c r="K517" i="3"/>
  <c r="O517" i="3"/>
  <c r="L337" i="3"/>
  <c r="I337" i="3"/>
  <c r="L495" i="3"/>
  <c r="I495" i="3"/>
  <c r="L463" i="3"/>
  <c r="I463" i="3"/>
  <c r="I455" i="3"/>
  <c r="L455" i="3"/>
  <c r="K338" i="3"/>
  <c r="O338" i="3"/>
  <c r="AI338" i="3"/>
  <c r="I344" i="3"/>
  <c r="L344" i="3"/>
  <c r="M293" i="3"/>
  <c r="N293" i="3"/>
  <c r="M285" i="3"/>
  <c r="N285" i="3"/>
  <c r="I277" i="3"/>
  <c r="L277" i="3"/>
  <c r="I273" i="3"/>
  <c r="L273" i="3"/>
  <c r="L329" i="3"/>
  <c r="I329" i="3"/>
  <c r="AI246" i="3"/>
  <c r="O246" i="3"/>
  <c r="K246" i="3"/>
  <c r="AI162" i="3"/>
  <c r="O162" i="3"/>
  <c r="K162" i="3"/>
  <c r="L155" i="3"/>
  <c r="I155" i="3"/>
  <c r="AI106" i="3"/>
  <c r="O106" i="3"/>
  <c r="K106" i="3"/>
  <c r="L103" i="3"/>
  <c r="I103" i="3"/>
  <c r="O97" i="3"/>
  <c r="AI97" i="3"/>
  <c r="K97" i="3"/>
  <c r="O81" i="3"/>
  <c r="AI81" i="3"/>
  <c r="K81" i="3"/>
  <c r="L68" i="3"/>
  <c r="I68" i="3"/>
  <c r="L60" i="3"/>
  <c r="I60" i="3"/>
  <c r="O49" i="3"/>
  <c r="AI49" i="3"/>
  <c r="K49" i="3"/>
  <c r="B612" i="3"/>
  <c r="M612" i="3" s="1"/>
  <c r="B290" i="3"/>
  <c r="N290" i="3"/>
  <c r="B172" i="3"/>
  <c r="M172" i="3" s="1"/>
  <c r="AI178" i="3"/>
  <c r="O178" i="3"/>
  <c r="K178" i="3"/>
  <c r="AI149" i="3"/>
  <c r="O149" i="3"/>
  <c r="K149" i="3"/>
  <c r="I22" i="3"/>
  <c r="L22" i="3"/>
  <c r="AH292" i="3" s="1"/>
  <c r="I18" i="3"/>
  <c r="L18" i="3"/>
  <c r="AH505" i="3" s="1"/>
  <c r="I14" i="3"/>
  <c r="L14" i="3"/>
  <c r="AH419" i="3" s="1"/>
  <c r="B324" i="3"/>
  <c r="N324" i="3" s="1"/>
  <c r="N305" i="3"/>
  <c r="N199" i="3"/>
  <c r="AI138" i="3"/>
  <c r="O138" i="3"/>
  <c r="K138" i="3"/>
  <c r="AI110" i="3"/>
  <c r="O110" i="3"/>
  <c r="K110" i="3"/>
  <c r="AI102" i="3"/>
  <c r="K102" i="3"/>
  <c r="O102" i="3"/>
  <c r="AI85" i="3"/>
  <c r="K85" i="3"/>
  <c r="O85" i="3"/>
  <c r="AI69" i="3"/>
  <c r="K69" i="3"/>
  <c r="O69" i="3"/>
  <c r="AI46" i="3"/>
  <c r="K46" i="3"/>
  <c r="O46" i="3"/>
  <c r="O296" i="3"/>
  <c r="K296" i="3"/>
  <c r="AI296" i="3"/>
  <c r="AI241" i="3"/>
  <c r="O241" i="3"/>
  <c r="K241" i="3"/>
  <c r="L223" i="3"/>
  <c r="I223" i="3"/>
  <c r="N213" i="3"/>
  <c r="AI209" i="3"/>
  <c r="O209" i="3"/>
  <c r="K209" i="3"/>
  <c r="N51" i="3"/>
  <c r="B660" i="3"/>
  <c r="M660" i="3" s="1"/>
  <c r="O492" i="3"/>
  <c r="K492" i="3"/>
  <c r="AI492" i="3"/>
  <c r="N200" i="3"/>
  <c r="L17" i="3"/>
  <c r="I17" i="3"/>
  <c r="I16" i="3"/>
  <c r="L16" i="3"/>
  <c r="B132" i="3"/>
  <c r="M132" i="3" s="1"/>
  <c r="N132" i="3"/>
  <c r="AH19" i="1"/>
  <c r="D4" i="5"/>
  <c r="CR32" i="4"/>
  <c r="BO17" i="1"/>
  <c r="AJ485" i="3"/>
  <c r="AJ427" i="3"/>
  <c r="O415" i="3"/>
  <c r="K415" i="3"/>
  <c r="AI415" i="3"/>
  <c r="AI137" i="3"/>
  <c r="O137" i="3"/>
  <c r="K137" i="3"/>
  <c r="AI129" i="3"/>
  <c r="O129" i="3"/>
  <c r="K129" i="3"/>
  <c r="B260" i="3"/>
  <c r="M260" i="3" s="1"/>
  <c r="AI513" i="3"/>
  <c r="K513" i="3"/>
  <c r="O513" i="3"/>
  <c r="AJ497" i="3"/>
  <c r="O367" i="3"/>
  <c r="K367" i="3"/>
  <c r="AI367" i="3"/>
  <c r="AI282" i="3"/>
  <c r="K282" i="3"/>
  <c r="O282" i="3"/>
  <c r="AI269" i="3"/>
  <c r="O269" i="3"/>
  <c r="K269" i="3"/>
  <c r="CK46" i="1"/>
  <c r="CL46" i="1" s="1"/>
  <c r="CM46" i="1" s="1"/>
  <c r="CK34" i="1"/>
  <c r="CL34" i="1" s="1"/>
  <c r="CM34" i="1" s="1"/>
  <c r="N15" i="3"/>
  <c r="AH25" i="1"/>
  <c r="B232" i="3"/>
  <c r="N232" i="3"/>
  <c r="AI7" i="3"/>
  <c r="O7" i="3"/>
  <c r="K7" i="3"/>
  <c r="B10" i="7"/>
  <c r="D10" i="7" s="1"/>
  <c r="CK17" i="1"/>
  <c r="CL17" i="1" s="1"/>
  <c r="CM17" i="1" s="1"/>
  <c r="H39" i="7"/>
  <c r="L666" i="3"/>
  <c r="I666" i="3"/>
  <c r="L635" i="3"/>
  <c r="I635" i="3"/>
  <c r="M598" i="3"/>
  <c r="M586" i="3"/>
  <c r="K675" i="3"/>
  <c r="AI675" i="3"/>
  <c r="O675" i="3"/>
  <c r="M659" i="3"/>
  <c r="L615" i="3"/>
  <c r="I615" i="3"/>
  <c r="I571" i="3"/>
  <c r="L571" i="3"/>
  <c r="I673" i="3"/>
  <c r="L673" i="3"/>
  <c r="L627" i="3"/>
  <c r="I627" i="3"/>
  <c r="M653" i="3"/>
  <c r="O536" i="3"/>
  <c r="K536" i="3"/>
  <c r="AI536" i="3"/>
  <c r="O520" i="3"/>
  <c r="K520" i="3"/>
  <c r="AI520" i="3"/>
  <c r="N453" i="3"/>
  <c r="I449" i="3"/>
  <c r="L449" i="3"/>
  <c r="M394" i="3"/>
  <c r="M290" i="3"/>
  <c r="AI572" i="3"/>
  <c r="K572" i="3"/>
  <c r="O572" i="3"/>
  <c r="M531" i="3"/>
  <c r="M491" i="3"/>
  <c r="AI462" i="3"/>
  <c r="O462" i="3"/>
  <c r="K462" i="3"/>
  <c r="M443" i="3"/>
  <c r="M416" i="3"/>
  <c r="L490" i="3"/>
  <c r="I490" i="3"/>
  <c r="L474" i="3"/>
  <c r="I474" i="3"/>
  <c r="L534" i="3"/>
  <c r="I534" i="3"/>
  <c r="M636" i="3"/>
  <c r="L676" i="3"/>
  <c r="I676" i="3"/>
  <c r="L672" i="3"/>
  <c r="I672" i="3"/>
  <c r="N672" i="3"/>
  <c r="N667" i="3"/>
  <c r="M619" i="3"/>
  <c r="M575" i="3"/>
  <c r="O668" i="3"/>
  <c r="AI668" i="3"/>
  <c r="K668" i="3"/>
  <c r="L663" i="3"/>
  <c r="I663" i="3"/>
  <c r="O652" i="3"/>
  <c r="K652" i="3"/>
  <c r="AI652" i="3"/>
  <c r="L647" i="3"/>
  <c r="I647" i="3"/>
  <c r="O636" i="3"/>
  <c r="K636" i="3"/>
  <c r="AI636" i="3"/>
  <c r="L631" i="3"/>
  <c r="I631" i="3"/>
  <c r="N603" i="3"/>
  <c r="M603" i="3"/>
  <c r="N579" i="3"/>
  <c r="I575" i="3"/>
  <c r="L575" i="3"/>
  <c r="M671" i="3"/>
  <c r="L669" i="3"/>
  <c r="I669" i="3"/>
  <c r="M658" i="3"/>
  <c r="O648" i="3"/>
  <c r="AI648" i="3"/>
  <c r="K648" i="3"/>
  <c r="I642" i="3"/>
  <c r="L642" i="3"/>
  <c r="M625" i="3"/>
  <c r="L600" i="3"/>
  <c r="I600" i="3"/>
  <c r="M669" i="3"/>
  <c r="N653" i="3"/>
  <c r="N621" i="3"/>
  <c r="N609" i="3"/>
  <c r="M588" i="3"/>
  <c r="M570" i="3"/>
  <c r="M453" i="3"/>
  <c r="M421" i="3"/>
  <c r="M405" i="3"/>
  <c r="M389" i="3"/>
  <c r="M373" i="3"/>
  <c r="O612" i="3"/>
  <c r="AI612" i="3"/>
  <c r="K612" i="3"/>
  <c r="O599" i="3"/>
  <c r="K599" i="3"/>
  <c r="AI599" i="3"/>
  <c r="N593" i="3"/>
  <c r="AH581" i="3"/>
  <c r="N573" i="3"/>
  <c r="O532" i="3"/>
  <c r="AI532" i="3"/>
  <c r="K532" i="3"/>
  <c r="N509" i="3"/>
  <c r="N493" i="3"/>
  <c r="N485" i="3"/>
  <c r="N469" i="3"/>
  <c r="I453" i="3"/>
  <c r="L453" i="3"/>
  <c r="M446" i="3"/>
  <c r="I437" i="3"/>
  <c r="L437" i="3"/>
  <c r="M430" i="3"/>
  <c r="I421" i="3"/>
  <c r="L421" i="3"/>
  <c r="M414" i="3"/>
  <c r="I405" i="3"/>
  <c r="L405" i="3"/>
  <c r="I389" i="3"/>
  <c r="L389" i="3"/>
  <c r="I373" i="3"/>
  <c r="L373" i="3"/>
  <c r="M366" i="3"/>
  <c r="L655" i="3"/>
  <c r="I655" i="3"/>
  <c r="L637" i="3"/>
  <c r="I637" i="3"/>
  <c r="L623" i="3"/>
  <c r="I623" i="3"/>
  <c r="AH585" i="3"/>
  <c r="N572" i="3"/>
  <c r="AH609" i="3"/>
  <c r="O583" i="3"/>
  <c r="K583" i="3"/>
  <c r="AI583" i="3"/>
  <c r="M563" i="3"/>
  <c r="AI561" i="3"/>
  <c r="K561" i="3"/>
  <c r="O561" i="3"/>
  <c r="L559" i="3"/>
  <c r="I559" i="3"/>
  <c r="M555" i="3"/>
  <c r="AI553" i="3"/>
  <c r="K553" i="3"/>
  <c r="O553" i="3"/>
  <c r="L551" i="3"/>
  <c r="I551" i="3"/>
  <c r="M547" i="3"/>
  <c r="AI545" i="3"/>
  <c r="K545" i="3"/>
  <c r="O545" i="3"/>
  <c r="L543" i="3"/>
  <c r="I543" i="3"/>
  <c r="N528" i="3"/>
  <c r="L527" i="3"/>
  <c r="I527" i="3"/>
  <c r="L464" i="3"/>
  <c r="I464" i="3"/>
  <c r="AI649" i="3"/>
  <c r="K649" i="3"/>
  <c r="O649" i="3"/>
  <c r="L569" i="3"/>
  <c r="I569" i="3"/>
  <c r="AI565" i="3"/>
  <c r="K565" i="3"/>
  <c r="O565" i="3"/>
  <c r="L558" i="3"/>
  <c r="I558" i="3"/>
  <c r="M554" i="3"/>
  <c r="L542" i="3"/>
  <c r="I542" i="3"/>
  <c r="M515" i="3"/>
  <c r="L499" i="3"/>
  <c r="I499" i="3"/>
  <c r="M483" i="3"/>
  <c r="L467" i="3"/>
  <c r="I467" i="3"/>
  <c r="N460" i="3"/>
  <c r="AI446" i="3"/>
  <c r="O446" i="3"/>
  <c r="K446" i="3"/>
  <c r="N408" i="3"/>
  <c r="AI386" i="3"/>
  <c r="O386" i="3"/>
  <c r="K386" i="3"/>
  <c r="M567" i="3"/>
  <c r="M535" i="3"/>
  <c r="AI533" i="3"/>
  <c r="K533" i="3"/>
  <c r="O533" i="3"/>
  <c r="L530" i="3"/>
  <c r="I530" i="3"/>
  <c r="L498" i="3"/>
  <c r="I498" i="3"/>
  <c r="N490" i="3"/>
  <c r="M490" i="3"/>
  <c r="M482" i="3"/>
  <c r="N474" i="3"/>
  <c r="M474" i="3"/>
  <c r="L466" i="3"/>
  <c r="I466" i="3"/>
  <c r="L452" i="3"/>
  <c r="I452" i="3"/>
  <c r="M444" i="3"/>
  <c r="M539" i="3"/>
  <c r="I447" i="3"/>
  <c r="L447" i="3"/>
  <c r="N436" i="3"/>
  <c r="BV33" i="1"/>
  <c r="BW33" i="1" s="1"/>
  <c r="L411" i="3"/>
  <c r="I411" i="3"/>
  <c r="L396" i="3"/>
  <c r="I396" i="3"/>
  <c r="N518" i="3"/>
  <c r="L428" i="3"/>
  <c r="I428" i="3"/>
  <c r="L345" i="3"/>
  <c r="I345" i="3"/>
  <c r="N341" i="3"/>
  <c r="M495" i="3"/>
  <c r="N486" i="3"/>
  <c r="AI469" i="3"/>
  <c r="K469" i="3"/>
  <c r="O469" i="3"/>
  <c r="L432" i="3"/>
  <c r="I432" i="3"/>
  <c r="L420" i="3"/>
  <c r="I420" i="3"/>
  <c r="O403" i="3"/>
  <c r="K403" i="3"/>
  <c r="AI403" i="3"/>
  <c r="O387" i="3"/>
  <c r="K387" i="3"/>
  <c r="AI387" i="3"/>
  <c r="AI370" i="3"/>
  <c r="K370" i="3"/>
  <c r="O370" i="3"/>
  <c r="I423" i="3"/>
  <c r="L423" i="3"/>
  <c r="M403" i="3"/>
  <c r="N403" i="3"/>
  <c r="AI398" i="3"/>
  <c r="K398" i="3"/>
  <c r="O398" i="3"/>
  <c r="O391" i="3"/>
  <c r="K391" i="3"/>
  <c r="AI391" i="3"/>
  <c r="L376" i="3"/>
  <c r="I376" i="3"/>
  <c r="L371" i="3"/>
  <c r="I371" i="3"/>
  <c r="N368" i="3"/>
  <c r="K342" i="3"/>
  <c r="O342" i="3"/>
  <c r="AI342" i="3"/>
  <c r="M335" i="3"/>
  <c r="M319" i="3"/>
  <c r="AI318" i="3"/>
  <c r="K318" i="3"/>
  <c r="O318" i="3"/>
  <c r="N456" i="3"/>
  <c r="M361" i="3"/>
  <c r="M349" i="3"/>
  <c r="N332" i="3"/>
  <c r="M292" i="3"/>
  <c r="M280" i="3"/>
  <c r="M269" i="3"/>
  <c r="M253" i="3"/>
  <c r="M241" i="3"/>
  <c r="M225" i="3"/>
  <c r="M213" i="3"/>
  <c r="M197" i="3"/>
  <c r="M185" i="3"/>
  <c r="M181" i="3"/>
  <c r="M169" i="3"/>
  <c r="M165" i="3"/>
  <c r="M157" i="3"/>
  <c r="M141" i="3"/>
  <c r="M125" i="3"/>
  <c r="M41" i="3"/>
  <c r="N321" i="3"/>
  <c r="L316" i="3"/>
  <c r="I316" i="3"/>
  <c r="M309" i="3"/>
  <c r="I299" i="3"/>
  <c r="L299" i="3"/>
  <c r="M297" i="3"/>
  <c r="N297" i="3"/>
  <c r="M289" i="3"/>
  <c r="N289" i="3"/>
  <c r="M281" i="3"/>
  <c r="N281" i="3"/>
  <c r="M278" i="3"/>
  <c r="M274" i="3"/>
  <c r="AH70" i="3"/>
  <c r="AH54" i="3"/>
  <c r="M50" i="3"/>
  <c r="M341" i="3"/>
  <c r="AI319" i="3"/>
  <c r="K319" i="3"/>
  <c r="O319" i="3"/>
  <c r="M317" i="3"/>
  <c r="M328" i="3"/>
  <c r="L301" i="3"/>
  <c r="I301" i="3"/>
  <c r="AI286" i="3"/>
  <c r="K286" i="3"/>
  <c r="O286" i="3"/>
  <c r="M232" i="3"/>
  <c r="M216" i="3"/>
  <c r="M200" i="3"/>
  <c r="M176" i="3"/>
  <c r="O300" i="3"/>
  <c r="K300" i="3"/>
  <c r="AI300" i="3"/>
  <c r="L271" i="3"/>
  <c r="I271" i="3"/>
  <c r="L267" i="3"/>
  <c r="I267" i="3"/>
  <c r="L263" i="3"/>
  <c r="I263" i="3"/>
  <c r="N263" i="3"/>
  <c r="L259" i="3"/>
  <c r="I259" i="3"/>
  <c r="L255" i="3"/>
  <c r="I255" i="3"/>
  <c r="N241" i="3"/>
  <c r="AI237" i="3"/>
  <c r="O237" i="3"/>
  <c r="K237" i="3"/>
  <c r="N218" i="3"/>
  <c r="M207" i="3"/>
  <c r="AI189" i="3"/>
  <c r="O189" i="3"/>
  <c r="K189" i="3"/>
  <c r="AI182" i="3"/>
  <c r="O182" i="3"/>
  <c r="K182" i="3"/>
  <c r="L175" i="3"/>
  <c r="I175" i="3"/>
  <c r="N154" i="3"/>
  <c r="AI146" i="3"/>
  <c r="O146" i="3"/>
  <c r="K146" i="3"/>
  <c r="L139" i="3"/>
  <c r="I139" i="3"/>
  <c r="L135" i="3"/>
  <c r="I135" i="3"/>
  <c r="N135" i="3"/>
  <c r="L131" i="3"/>
  <c r="I131" i="3"/>
  <c r="L127" i="3"/>
  <c r="AH370" i="3" s="1"/>
  <c r="I127" i="3"/>
  <c r="L123" i="3"/>
  <c r="I123" i="3"/>
  <c r="M119" i="3"/>
  <c r="AH109" i="3"/>
  <c r="N102" i="3"/>
  <c r="N100" i="3"/>
  <c r="BV26" i="1"/>
  <c r="BW26" i="1" s="1"/>
  <c r="O89" i="3"/>
  <c r="AI89" i="3"/>
  <c r="K89" i="3"/>
  <c r="L84" i="3"/>
  <c r="AH435" i="3" s="1"/>
  <c r="I84" i="3"/>
  <c r="O73" i="3"/>
  <c r="AI73" i="3"/>
  <c r="K73" i="3"/>
  <c r="M68" i="3"/>
  <c r="O65" i="3"/>
  <c r="AI65" i="3"/>
  <c r="K65" i="3"/>
  <c r="M60" i="3"/>
  <c r="AI58" i="3"/>
  <c r="O58" i="3"/>
  <c r="K58" i="3"/>
  <c r="L44" i="3"/>
  <c r="I44" i="3"/>
  <c r="B272" i="3"/>
  <c r="M272" i="3" s="1"/>
  <c r="B282" i="3"/>
  <c r="M282" i="3" s="1"/>
  <c r="N282" i="3"/>
  <c r="N180" i="3"/>
  <c r="B180" i="3"/>
  <c r="M180" i="3" s="1"/>
  <c r="U6" i="3"/>
  <c r="M251" i="3"/>
  <c r="M235" i="3"/>
  <c r="AI210" i="3"/>
  <c r="O210" i="3"/>
  <c r="K210" i="3"/>
  <c r="M203" i="3"/>
  <c r="M195" i="3"/>
  <c r="L187" i="3"/>
  <c r="I187" i="3"/>
  <c r="N173" i="3"/>
  <c r="AI169" i="3"/>
  <c r="O169" i="3"/>
  <c r="K169" i="3"/>
  <c r="AI158" i="3"/>
  <c r="O158" i="3"/>
  <c r="K158" i="3"/>
  <c r="M143" i="3"/>
  <c r="AI114" i="3"/>
  <c r="O114" i="3"/>
  <c r="K114" i="3"/>
  <c r="AH85" i="3"/>
  <c r="AH77" i="3"/>
  <c r="AH69" i="3"/>
  <c r="AH61" i="3"/>
  <c r="AH53" i="3"/>
  <c r="AH45" i="3"/>
  <c r="M23" i="3"/>
  <c r="M15" i="3"/>
  <c r="B192" i="3"/>
  <c r="M192" i="3" s="1"/>
  <c r="N192" i="3"/>
  <c r="B208" i="3"/>
  <c r="M208" i="3" s="1"/>
  <c r="N208" i="3"/>
  <c r="O292" i="3"/>
  <c r="K292" i="3"/>
  <c r="AI292" i="3"/>
  <c r="L247" i="3"/>
  <c r="I247" i="3"/>
  <c r="N214" i="3"/>
  <c r="N198" i="3"/>
  <c r="N185" i="3"/>
  <c r="AI181" i="3"/>
  <c r="K181" i="3"/>
  <c r="O181" i="3"/>
  <c r="N166" i="3"/>
  <c r="AI145" i="3"/>
  <c r="K145" i="3"/>
  <c r="O145" i="3"/>
  <c r="AH125" i="3"/>
  <c r="AI117" i="3"/>
  <c r="K117" i="3"/>
  <c r="O117" i="3"/>
  <c r="L104" i="3"/>
  <c r="AH266" i="3" s="1"/>
  <c r="I104" i="3"/>
  <c r="C26" i="5" s="1"/>
  <c r="BV30" i="1"/>
  <c r="BW30" i="1" s="1"/>
  <c r="N90" i="3"/>
  <c r="M64" i="3"/>
  <c r="AI62" i="3"/>
  <c r="K62" i="3"/>
  <c r="O62" i="3"/>
  <c r="AI53" i="3"/>
  <c r="K53" i="3"/>
  <c r="O53" i="3"/>
  <c r="L48" i="3"/>
  <c r="I48" i="3"/>
  <c r="L36" i="3"/>
  <c r="I36" i="3"/>
  <c r="N306" i="3"/>
  <c r="N222" i="3"/>
  <c r="N197" i="3"/>
  <c r="AI193" i="3"/>
  <c r="O193" i="3"/>
  <c r="K193" i="3"/>
  <c r="N181" i="3"/>
  <c r="N161" i="3"/>
  <c r="AI157" i="3"/>
  <c r="O157" i="3"/>
  <c r="K157" i="3"/>
  <c r="L115" i="3"/>
  <c r="AH250" i="3" s="1"/>
  <c r="I115" i="3"/>
  <c r="N115" i="3"/>
  <c r="N99" i="3"/>
  <c r="N216" i="3"/>
  <c r="L91" i="3"/>
  <c r="I91" i="3"/>
  <c r="AH57" i="3"/>
  <c r="N666" i="3"/>
  <c r="B666" i="3"/>
  <c r="M666" i="3" s="1"/>
  <c r="B628" i="3"/>
  <c r="M628" i="3" s="1"/>
  <c r="N628" i="3"/>
  <c r="B644" i="3"/>
  <c r="M644" i="3" s="1"/>
  <c r="AI426" i="3"/>
  <c r="K426" i="3"/>
  <c r="O426" i="3"/>
  <c r="O496" i="3"/>
  <c r="K496" i="3"/>
  <c r="AI496" i="3"/>
  <c r="N97" i="3"/>
  <c r="M75" i="3"/>
  <c r="N75" i="3"/>
  <c r="M43" i="3"/>
  <c r="N43" i="3"/>
  <c r="I24" i="3"/>
  <c r="L24" i="3"/>
  <c r="AH34" i="1"/>
  <c r="M17" i="3"/>
  <c r="L13" i="3"/>
  <c r="I13" i="3"/>
  <c r="I12" i="3"/>
  <c r="L12" i="3"/>
  <c r="BV24" i="1"/>
  <c r="BW24" i="1" s="1"/>
  <c r="AH22" i="1"/>
  <c r="B124" i="3"/>
  <c r="M124" i="3" s="1"/>
  <c r="N124" i="3"/>
  <c r="B4" i="3"/>
  <c r="CK29" i="1"/>
  <c r="CL29" i="1" s="1"/>
  <c r="CM29" i="1" s="1"/>
  <c r="CK22" i="1"/>
  <c r="CL22" i="1" s="1"/>
  <c r="CM22" i="1" s="1"/>
  <c r="T3" i="3"/>
  <c r="O431" i="3"/>
  <c r="K431" i="3"/>
  <c r="AI431" i="3"/>
  <c r="AI481" i="3"/>
  <c r="K481" i="3"/>
  <c r="O481" i="3"/>
  <c r="AJ443" i="3"/>
  <c r="AI315" i="3"/>
  <c r="K315" i="3"/>
  <c r="O315" i="3"/>
  <c r="AI311" i="3"/>
  <c r="K311" i="3"/>
  <c r="O311" i="3"/>
  <c r="AI165" i="3"/>
  <c r="K165" i="3"/>
  <c r="O165" i="3"/>
  <c r="U61" i="2"/>
  <c r="AI78" i="3"/>
  <c r="K78" i="3"/>
  <c r="O78" i="3"/>
  <c r="AI125" i="3"/>
  <c r="O125" i="3"/>
  <c r="K125" i="3"/>
  <c r="N184" i="3"/>
  <c r="L67" i="3"/>
  <c r="I67" i="3"/>
  <c r="N38" i="3"/>
  <c r="M20" i="3"/>
  <c r="N16" i="3"/>
  <c r="B252" i="3"/>
  <c r="M252" i="3" s="1"/>
  <c r="N252" i="3"/>
  <c r="B268" i="3"/>
  <c r="M268" i="3" s="1"/>
  <c r="N268" i="3"/>
  <c r="M8" i="3"/>
  <c r="BV23" i="1"/>
  <c r="BW23" i="1" s="1"/>
  <c r="B140" i="3"/>
  <c r="M140" i="3" s="1"/>
  <c r="N140" i="3"/>
  <c r="B156" i="3"/>
  <c r="M156" i="3" s="1"/>
  <c r="N156" i="3"/>
  <c r="AH20" i="1"/>
  <c r="B33" i="3"/>
  <c r="M33" i="3" s="1"/>
  <c r="N33" i="3"/>
  <c r="AK40" i="1"/>
  <c r="AI40" i="1"/>
  <c r="AH40" i="1"/>
  <c r="D19" i="5"/>
  <c r="BO32" i="1"/>
  <c r="AI509" i="3"/>
  <c r="K509" i="3"/>
  <c r="O509" i="3"/>
  <c r="O407" i="3"/>
  <c r="K407" i="3"/>
  <c r="AI407" i="3"/>
  <c r="O280" i="3"/>
  <c r="K280" i="3"/>
  <c r="AI280" i="3"/>
  <c r="X11" i="2"/>
  <c r="Y11" i="2" s="1"/>
  <c r="CK41" i="1"/>
  <c r="CL41" i="1" s="1"/>
  <c r="CM41" i="1" s="1"/>
  <c r="BW22" i="1"/>
  <c r="N120" i="3"/>
  <c r="M83" i="3"/>
  <c r="N83" i="3"/>
  <c r="O63" i="3"/>
  <c r="K63" i="3"/>
  <c r="AI63" i="3"/>
  <c r="N41" i="3"/>
  <c r="M31" i="3"/>
  <c r="N31" i="3"/>
  <c r="N23" i="3"/>
  <c r="AH15" i="3"/>
  <c r="N224" i="3"/>
  <c r="B224" i="3"/>
  <c r="M224" i="3" s="1"/>
  <c r="B240" i="3"/>
  <c r="M240" i="3" s="1"/>
  <c r="N240" i="3"/>
  <c r="AI3" i="3"/>
  <c r="O3" i="3"/>
  <c r="K3" i="3"/>
  <c r="AI458" i="3"/>
  <c r="K458" i="3"/>
  <c r="O458" i="3"/>
  <c r="O508" i="3"/>
  <c r="K508" i="3"/>
  <c r="AI508" i="3"/>
  <c r="O476" i="3"/>
  <c r="K476" i="3"/>
  <c r="AI476" i="3"/>
  <c r="U118" i="2"/>
  <c r="Z119" i="2"/>
  <c r="O284" i="3"/>
  <c r="K284" i="3"/>
  <c r="AI284" i="3"/>
  <c r="W22" i="2"/>
  <c r="U17" i="2"/>
  <c r="X17" i="2" s="1"/>
  <c r="Y17" i="2" s="1"/>
  <c r="X13" i="2"/>
  <c r="BW27" i="1"/>
  <c r="O480" i="3"/>
  <c r="K480" i="3"/>
  <c r="AI480" i="3"/>
  <c r="AJ501" i="3"/>
  <c r="AJ489" i="3"/>
  <c r="AJ351" i="3"/>
  <c r="N53" i="3"/>
  <c r="U120" i="2"/>
  <c r="CK28" i="1"/>
  <c r="CL28" i="1" s="1"/>
  <c r="CM28" i="1" s="1"/>
  <c r="CK26" i="1"/>
  <c r="CL26" i="1" s="1"/>
  <c r="CM26" i="1" s="1"/>
  <c r="N69" i="3"/>
  <c r="Z102" i="2"/>
  <c r="CK33" i="1"/>
  <c r="CL33" i="1" s="1"/>
  <c r="CM33" i="1" s="1"/>
  <c r="CK45" i="1"/>
  <c r="CL45" i="1" s="1"/>
  <c r="CM45" i="1" s="1"/>
  <c r="CK40" i="1"/>
  <c r="CL40" i="1" s="1"/>
  <c r="CM40" i="1" s="1"/>
  <c r="BW21" i="1"/>
  <c r="L646" i="3"/>
  <c r="I646" i="3"/>
  <c r="L630" i="3"/>
  <c r="I630" i="3"/>
  <c r="N595" i="3"/>
  <c r="M595" i="3"/>
  <c r="N670" i="3"/>
  <c r="O664" i="3"/>
  <c r="AI664" i="3"/>
  <c r="K664" i="3"/>
  <c r="O660" i="3"/>
  <c r="AI660" i="3"/>
  <c r="K660" i="3"/>
  <c r="L653" i="3"/>
  <c r="I653" i="3"/>
  <c r="L639" i="3"/>
  <c r="I639" i="3"/>
  <c r="L621" i="3"/>
  <c r="I621" i="3"/>
  <c r="L570" i="3"/>
  <c r="I570" i="3"/>
  <c r="O540" i="3"/>
  <c r="K540" i="3"/>
  <c r="AI540" i="3"/>
  <c r="I461" i="3"/>
  <c r="L461" i="3"/>
  <c r="AJ603" i="3"/>
  <c r="AH603" i="3"/>
  <c r="L574" i="3"/>
  <c r="I574" i="3"/>
  <c r="L584" i="3"/>
  <c r="I584" i="3"/>
  <c r="L563" i="3"/>
  <c r="I563" i="3"/>
  <c r="AI549" i="3"/>
  <c r="K549" i="3"/>
  <c r="O549" i="3"/>
  <c r="L547" i="3"/>
  <c r="I547" i="3"/>
  <c r="AI541" i="3"/>
  <c r="K541" i="3"/>
  <c r="O541" i="3"/>
  <c r="L538" i="3"/>
  <c r="I538" i="3"/>
  <c r="AI525" i="3"/>
  <c r="K525" i="3"/>
  <c r="O525" i="3"/>
  <c r="M494" i="3"/>
  <c r="L436" i="3"/>
  <c r="I436" i="3"/>
  <c r="O395" i="3"/>
  <c r="K395" i="3"/>
  <c r="AI395" i="3"/>
  <c r="L380" i="3"/>
  <c r="I380" i="3"/>
  <c r="L361" i="3"/>
  <c r="I361" i="3"/>
  <c r="AI505" i="3"/>
  <c r="K505" i="3"/>
  <c r="O505" i="3"/>
  <c r="AI414" i="3"/>
  <c r="O414" i="3"/>
  <c r="K414" i="3"/>
  <c r="CK39" i="1"/>
  <c r="CL39" i="1" s="1"/>
  <c r="CM39" i="1" s="1"/>
  <c r="CK19" i="1"/>
  <c r="CL19" i="1" s="1"/>
  <c r="CM19" i="1" s="1"/>
  <c r="N59" i="3"/>
  <c r="E39" i="7"/>
  <c r="M674" i="3"/>
  <c r="N674" i="3"/>
  <c r="M606" i="3"/>
  <c r="L657" i="3"/>
  <c r="I657" i="3"/>
  <c r="L625" i="3"/>
  <c r="I625" i="3"/>
  <c r="L611" i="3"/>
  <c r="I611" i="3"/>
  <c r="L596" i="3"/>
  <c r="I596" i="3"/>
  <c r="L578" i="3"/>
  <c r="I578" i="3"/>
  <c r="O644" i="3"/>
  <c r="AI644" i="3"/>
  <c r="K644" i="3"/>
  <c r="I465" i="3"/>
  <c r="L465" i="3"/>
  <c r="N437" i="3"/>
  <c r="I401" i="3"/>
  <c r="L401" i="3"/>
  <c r="I369" i="3"/>
  <c r="L369" i="3"/>
  <c r="M322" i="3"/>
  <c r="N636" i="3"/>
  <c r="AH601" i="3"/>
  <c r="L554" i="3"/>
  <c r="I554" i="3"/>
  <c r="AI529" i="3"/>
  <c r="K529" i="3"/>
  <c r="O529" i="3"/>
  <c r="L526" i="3"/>
  <c r="I526" i="3"/>
  <c r="L475" i="3"/>
  <c r="I475" i="3"/>
  <c r="M399" i="3"/>
  <c r="N446" i="3"/>
  <c r="L440" i="3"/>
  <c r="I440" i="3"/>
  <c r="M372" i="3"/>
  <c r="AH612" i="3"/>
  <c r="L667" i="3"/>
  <c r="I667" i="3"/>
  <c r="O656" i="3"/>
  <c r="AI656" i="3"/>
  <c r="K656" i="3"/>
  <c r="L650" i="3"/>
  <c r="I650" i="3"/>
  <c r="N649" i="3"/>
  <c r="O640" i="3"/>
  <c r="AI640" i="3"/>
  <c r="K640" i="3"/>
  <c r="L634" i="3"/>
  <c r="I634" i="3"/>
  <c r="N633" i="3"/>
  <c r="O624" i="3"/>
  <c r="AI624" i="3"/>
  <c r="K624" i="3"/>
  <c r="L618" i="3"/>
  <c r="I618" i="3"/>
  <c r="M610" i="3"/>
  <c r="M608" i="3"/>
  <c r="M602" i="3"/>
  <c r="M594" i="3"/>
  <c r="M592" i="3"/>
  <c r="M571" i="3"/>
  <c r="N642" i="3"/>
  <c r="L614" i="3"/>
  <c r="I614" i="3"/>
  <c r="N599" i="3"/>
  <c r="M599" i="3"/>
  <c r="N583" i="3"/>
  <c r="M583" i="3"/>
  <c r="I579" i="3"/>
  <c r="L579" i="3"/>
  <c r="M572" i="3"/>
  <c r="AI665" i="3"/>
  <c r="K665" i="3"/>
  <c r="O665" i="3"/>
  <c r="L659" i="3"/>
  <c r="I659" i="3"/>
  <c r="O632" i="3"/>
  <c r="AI632" i="3"/>
  <c r="K632" i="3"/>
  <c r="I626" i="3"/>
  <c r="L626" i="3"/>
  <c r="L604" i="3"/>
  <c r="I604" i="3"/>
  <c r="I670" i="3"/>
  <c r="L670" i="3"/>
  <c r="M639" i="3"/>
  <c r="O595" i="3"/>
  <c r="K595" i="3"/>
  <c r="AI595" i="3"/>
  <c r="L588" i="3"/>
  <c r="I588" i="3"/>
  <c r="M578" i="3"/>
  <c r="M465" i="3"/>
  <c r="M449" i="3"/>
  <c r="M433" i="3"/>
  <c r="M417" i="3"/>
  <c r="M401" i="3"/>
  <c r="M385" i="3"/>
  <c r="AI31" i="1" s="1"/>
  <c r="M369" i="3"/>
  <c r="I638" i="3"/>
  <c r="L638" i="3"/>
  <c r="AI633" i="3"/>
  <c r="K633" i="3"/>
  <c r="O633" i="3"/>
  <c r="AJ599" i="3"/>
  <c r="AH599" i="3"/>
  <c r="N565" i="3"/>
  <c r="N561" i="3"/>
  <c r="N557" i="3"/>
  <c r="N549" i="3"/>
  <c r="N545" i="3"/>
  <c r="N541" i="3"/>
  <c r="M529" i="3"/>
  <c r="O528" i="3"/>
  <c r="K528" i="3"/>
  <c r="AI528" i="3"/>
  <c r="N525" i="3"/>
  <c r="M513" i="3"/>
  <c r="M509" i="3"/>
  <c r="M505" i="3"/>
  <c r="M501" i="3"/>
  <c r="M497" i="3"/>
  <c r="M493" i="3"/>
  <c r="M489" i="3"/>
  <c r="M485" i="3"/>
  <c r="M481" i="3"/>
  <c r="M477" i="3"/>
  <c r="M473" i="3"/>
  <c r="M469" i="3"/>
  <c r="O468" i="3"/>
  <c r="AI468" i="3"/>
  <c r="K468" i="3"/>
  <c r="I457" i="3"/>
  <c r="L457" i="3"/>
  <c r="I441" i="3"/>
  <c r="L441" i="3"/>
  <c r="I425" i="3"/>
  <c r="L425" i="3"/>
  <c r="I409" i="3"/>
  <c r="L409" i="3"/>
  <c r="N397" i="3"/>
  <c r="I393" i="3"/>
  <c r="L393" i="3"/>
  <c r="N381" i="3"/>
  <c r="I377" i="3"/>
  <c r="L377" i="3"/>
  <c r="M346" i="3"/>
  <c r="M330" i="3"/>
  <c r="N630" i="3"/>
  <c r="O603" i="3"/>
  <c r="K603" i="3"/>
  <c r="AI603" i="3"/>
  <c r="AH572" i="3"/>
  <c r="N584" i="3"/>
  <c r="AJ583" i="3"/>
  <c r="AH583" i="3"/>
  <c r="N512" i="3"/>
  <c r="L510" i="3"/>
  <c r="I510" i="3"/>
  <c r="L502" i="3"/>
  <c r="I502" i="3"/>
  <c r="N496" i="3"/>
  <c r="L494" i="3"/>
  <c r="I494" i="3"/>
  <c r="L486" i="3"/>
  <c r="I486" i="3"/>
  <c r="N480" i="3"/>
  <c r="L478" i="3"/>
  <c r="I478" i="3"/>
  <c r="N464" i="3"/>
  <c r="O591" i="3"/>
  <c r="K591" i="3"/>
  <c r="AI591" i="3"/>
  <c r="AH565" i="3"/>
  <c r="AJ565" i="3"/>
  <c r="L562" i="3"/>
  <c r="I562" i="3"/>
  <c r="M558" i="3"/>
  <c r="L546" i="3"/>
  <c r="I546" i="3"/>
  <c r="M542" i="3"/>
  <c r="L531" i="3"/>
  <c r="I531" i="3"/>
  <c r="L491" i="3"/>
  <c r="I491" i="3"/>
  <c r="AI473" i="3"/>
  <c r="K473" i="3"/>
  <c r="O473" i="3"/>
  <c r="N459" i="3"/>
  <c r="AI438" i="3"/>
  <c r="O438" i="3"/>
  <c r="K438" i="3"/>
  <c r="L416" i="3"/>
  <c r="I416" i="3"/>
  <c r="M408" i="3"/>
  <c r="AI394" i="3"/>
  <c r="O394" i="3"/>
  <c r="K394" i="3"/>
  <c r="O628" i="3"/>
  <c r="AI628" i="3"/>
  <c r="K628" i="3"/>
  <c r="M530" i="3"/>
  <c r="L519" i="3"/>
  <c r="I519" i="3"/>
  <c r="L506" i="3"/>
  <c r="I506" i="3"/>
  <c r="M498" i="3"/>
  <c r="M466" i="3"/>
  <c r="I654" i="3"/>
  <c r="L654" i="3"/>
  <c r="L577" i="3"/>
  <c r="I577" i="3"/>
  <c r="N560" i="3"/>
  <c r="N544" i="3"/>
  <c r="L456" i="3"/>
  <c r="I456" i="3"/>
  <c r="O439" i="3"/>
  <c r="K439" i="3"/>
  <c r="AI439" i="3"/>
  <c r="N430" i="3"/>
  <c r="N396" i="3"/>
  <c r="AI374" i="3"/>
  <c r="K374" i="3"/>
  <c r="O374" i="3"/>
  <c r="M428" i="3"/>
  <c r="AH379" i="3"/>
  <c r="L372" i="3"/>
  <c r="I372" i="3"/>
  <c r="L349" i="3"/>
  <c r="I349" i="3"/>
  <c r="L333" i="3"/>
  <c r="I333" i="3"/>
  <c r="L470" i="3"/>
  <c r="I470" i="3"/>
  <c r="AJ469" i="3"/>
  <c r="N432" i="3"/>
  <c r="L400" i="3"/>
  <c r="I400" i="3"/>
  <c r="N394" i="3"/>
  <c r="L384" i="3"/>
  <c r="I384" i="3"/>
  <c r="AH343" i="3"/>
  <c r="M431" i="3"/>
  <c r="N431" i="3"/>
  <c r="N407" i="3"/>
  <c r="M387" i="3"/>
  <c r="N387" i="3"/>
  <c r="M376" i="3"/>
  <c r="M368" i="3"/>
  <c r="M351" i="3"/>
  <c r="N347" i="3"/>
  <c r="N339" i="3"/>
  <c r="M331" i="3"/>
  <c r="O330" i="3"/>
  <c r="AI330" i="3"/>
  <c r="K330" i="3"/>
  <c r="N327" i="3"/>
  <c r="M315" i="3"/>
  <c r="O314" i="3"/>
  <c r="AI314" i="3"/>
  <c r="K314" i="3"/>
  <c r="N311" i="3"/>
  <c r="N307" i="3"/>
  <c r="M296" i="3"/>
  <c r="L272" i="3"/>
  <c r="I272" i="3"/>
  <c r="L268" i="3"/>
  <c r="I268" i="3"/>
  <c r="L264" i="3"/>
  <c r="I264" i="3"/>
  <c r="L260" i="3"/>
  <c r="I260" i="3"/>
  <c r="L256" i="3"/>
  <c r="I256" i="3"/>
  <c r="L252" i="3"/>
  <c r="I252" i="3"/>
  <c r="L248" i="3"/>
  <c r="I248" i="3"/>
  <c r="L244" i="3"/>
  <c r="I244" i="3"/>
  <c r="L240" i="3"/>
  <c r="I240" i="3"/>
  <c r="L236" i="3"/>
  <c r="I236" i="3"/>
  <c r="L232" i="3"/>
  <c r="I232" i="3"/>
  <c r="L228" i="3"/>
  <c r="I228" i="3"/>
  <c r="L224" i="3"/>
  <c r="I224" i="3"/>
  <c r="L220" i="3"/>
  <c r="I220" i="3"/>
  <c r="L216" i="3"/>
  <c r="I216" i="3"/>
  <c r="L212" i="3"/>
  <c r="I212" i="3"/>
  <c r="L208" i="3"/>
  <c r="I208" i="3"/>
  <c r="L204" i="3"/>
  <c r="I204" i="3"/>
  <c r="L200" i="3"/>
  <c r="I200" i="3"/>
  <c r="L196" i="3"/>
  <c r="I196" i="3"/>
  <c r="I33" i="7" s="1"/>
  <c r="L192" i="3"/>
  <c r="I192" i="3"/>
  <c r="L188" i="3"/>
  <c r="I188" i="3"/>
  <c r="L184" i="3"/>
  <c r="I184" i="3"/>
  <c r="L180" i="3"/>
  <c r="I180" i="3"/>
  <c r="L176" i="3"/>
  <c r="I176" i="3"/>
  <c r="L172" i="3"/>
  <c r="I172" i="3"/>
  <c r="L168" i="3"/>
  <c r="I168" i="3"/>
  <c r="L164" i="3"/>
  <c r="I164" i="3"/>
  <c r="L160" i="3"/>
  <c r="I160" i="3"/>
  <c r="L156" i="3"/>
  <c r="I156" i="3"/>
  <c r="L152" i="3"/>
  <c r="I152" i="3"/>
  <c r="L148" i="3"/>
  <c r="I148" i="3"/>
  <c r="L144" i="3"/>
  <c r="I144" i="3"/>
  <c r="L140" i="3"/>
  <c r="I140" i="3"/>
  <c r="L136" i="3"/>
  <c r="I136" i="3"/>
  <c r="L132" i="3"/>
  <c r="I132" i="3"/>
  <c r="L128" i="3"/>
  <c r="I128" i="3"/>
  <c r="L124" i="3"/>
  <c r="I124" i="3"/>
  <c r="L120" i="3"/>
  <c r="I120" i="3"/>
  <c r="L116" i="3"/>
  <c r="I116" i="3"/>
  <c r="L112" i="3"/>
  <c r="AH382" i="3" s="1"/>
  <c r="I112" i="3"/>
  <c r="L108" i="3"/>
  <c r="I108" i="3"/>
  <c r="C30" i="5" s="1"/>
  <c r="M93" i="3"/>
  <c r="O399" i="3"/>
  <c r="K399" i="3"/>
  <c r="AI399" i="3"/>
  <c r="L309" i="3"/>
  <c r="I309" i="3"/>
  <c r="N296" i="3"/>
  <c r="L293" i="3"/>
  <c r="I293" i="3"/>
  <c r="I291" i="3"/>
  <c r="L291" i="3"/>
  <c r="N288" i="3"/>
  <c r="L285" i="3"/>
  <c r="I285" i="3"/>
  <c r="I283" i="3"/>
  <c r="L283" i="3"/>
  <c r="N280" i="3"/>
  <c r="N277" i="3"/>
  <c r="AH162" i="3"/>
  <c r="AH158" i="3"/>
  <c r="AH154" i="3"/>
  <c r="AH142" i="3"/>
  <c r="AH138" i="3"/>
  <c r="AH114" i="3"/>
  <c r="M357" i="3"/>
  <c r="AI30" i="1" s="1"/>
  <c r="I352" i="3"/>
  <c r="L352" i="3"/>
  <c r="M336" i="3"/>
  <c r="L317" i="3"/>
  <c r="I317" i="3"/>
  <c r="N346" i="3"/>
  <c r="O332" i="3"/>
  <c r="K332" i="3"/>
  <c r="AI332" i="3"/>
  <c r="L313" i="3"/>
  <c r="I313" i="3"/>
  <c r="N301" i="3"/>
  <c r="N299" i="3"/>
  <c r="M267" i="3"/>
  <c r="M263" i="3"/>
  <c r="M259" i="3"/>
  <c r="M255" i="3"/>
  <c r="L239" i="3"/>
  <c r="I239" i="3"/>
  <c r="N239" i="3"/>
  <c r="AH217" i="3"/>
  <c r="N206" i="3"/>
  <c r="AH169" i="3"/>
  <c r="N157" i="3"/>
  <c r="AI153" i="3"/>
  <c r="O153" i="3"/>
  <c r="K153" i="3"/>
  <c r="M139" i="3"/>
  <c r="M135" i="3"/>
  <c r="M131" i="3"/>
  <c r="M127" i="3"/>
  <c r="M123" i="3"/>
  <c r="AI118" i="3"/>
  <c r="O118" i="3"/>
  <c r="K118" i="3"/>
  <c r="L111" i="3"/>
  <c r="I111" i="3"/>
  <c r="C5" i="5" s="1"/>
  <c r="N111" i="3"/>
  <c r="M100" i="3"/>
  <c r="W22" i="5" s="1"/>
  <c r="AI98" i="3"/>
  <c r="O98" i="3"/>
  <c r="K98" i="3"/>
  <c r="L95" i="3"/>
  <c r="I95" i="3"/>
  <c r="L92" i="3"/>
  <c r="AY13" i="5" s="1"/>
  <c r="I92" i="3"/>
  <c r="N86" i="3"/>
  <c r="N84" i="3"/>
  <c r="L79" i="3"/>
  <c r="AH403" i="3" s="1"/>
  <c r="I79" i="3"/>
  <c r="L76" i="3"/>
  <c r="I76" i="3"/>
  <c r="O57" i="3"/>
  <c r="AI57" i="3"/>
  <c r="K57" i="3"/>
  <c r="M52" i="3"/>
  <c r="AI50" i="3"/>
  <c r="O50" i="3"/>
  <c r="K50" i="3"/>
  <c r="L32" i="3"/>
  <c r="I32" i="3"/>
  <c r="M27" i="3"/>
  <c r="B618" i="3"/>
  <c r="M618" i="3" s="1"/>
  <c r="N618" i="3"/>
  <c r="M18" i="3"/>
  <c r="N276" i="3"/>
  <c r="B276" i="3"/>
  <c r="M276" i="3" s="1"/>
  <c r="B286" i="3"/>
  <c r="M286" i="3" s="1"/>
  <c r="N286" i="3"/>
  <c r="AD7" i="3"/>
  <c r="AI278" i="3"/>
  <c r="O278" i="3"/>
  <c r="K278" i="3"/>
  <c r="N250" i="3"/>
  <c r="N234" i="3"/>
  <c r="AI201" i="3"/>
  <c r="O201" i="3"/>
  <c r="K201" i="3"/>
  <c r="AI194" i="3"/>
  <c r="O194" i="3"/>
  <c r="K194" i="3"/>
  <c r="M187" i="3"/>
  <c r="M179" i="3"/>
  <c r="L171" i="3"/>
  <c r="I171" i="3"/>
  <c r="N171" i="3"/>
  <c r="AI142" i="3"/>
  <c r="O142" i="3"/>
  <c r="K142" i="3"/>
  <c r="N88" i="3"/>
  <c r="N72" i="3"/>
  <c r="N48" i="3"/>
  <c r="AI38" i="3"/>
  <c r="K38" i="3"/>
  <c r="O38" i="3"/>
  <c r="AH33" i="3"/>
  <c r="N18" i="3"/>
  <c r="B196" i="3"/>
  <c r="M196" i="3" s="1"/>
  <c r="B212" i="3"/>
  <c r="M212" i="3" s="1"/>
  <c r="L305" i="3"/>
  <c r="I305" i="3"/>
  <c r="AH298" i="3"/>
  <c r="N278" i="3"/>
  <c r="AI254" i="3"/>
  <c r="O254" i="3"/>
  <c r="K254" i="3"/>
  <c r="AI238" i="3"/>
  <c r="O238" i="3"/>
  <c r="K238" i="3"/>
  <c r="AI218" i="3"/>
  <c r="O218" i="3"/>
  <c r="K218" i="3"/>
  <c r="AI213" i="3"/>
  <c r="K213" i="3"/>
  <c r="O213" i="3"/>
  <c r="N201" i="3"/>
  <c r="AI197" i="3"/>
  <c r="K197" i="3"/>
  <c r="O197" i="3"/>
  <c r="L183" i="3"/>
  <c r="I183" i="3"/>
  <c r="N169" i="3"/>
  <c r="N165" i="3"/>
  <c r="AI161" i="3"/>
  <c r="K161" i="3"/>
  <c r="O161" i="3"/>
  <c r="L147" i="3"/>
  <c r="I147" i="3"/>
  <c r="AH141" i="3"/>
  <c r="AI130" i="3"/>
  <c r="O130" i="3"/>
  <c r="K130" i="3"/>
  <c r="L119" i="3"/>
  <c r="I119" i="3"/>
  <c r="N106" i="3"/>
  <c r="L99" i="3"/>
  <c r="AH288" i="3" s="1"/>
  <c r="I99" i="3"/>
  <c r="L96" i="3"/>
  <c r="I96" i="3"/>
  <c r="T17" i="5" s="1"/>
  <c r="Z17" i="5" s="1"/>
  <c r="AI86" i="3"/>
  <c r="K86" i="3"/>
  <c r="O86" i="3"/>
  <c r="L80" i="3"/>
  <c r="AH648" i="3" s="1"/>
  <c r="I80" i="3"/>
  <c r="T29" i="5" s="1"/>
  <c r="Z29" i="5" s="1"/>
  <c r="AI70" i="3"/>
  <c r="K70" i="3"/>
  <c r="O70" i="3"/>
  <c r="AI61" i="3"/>
  <c r="K61" i="3"/>
  <c r="O61" i="3"/>
  <c r="L56" i="3"/>
  <c r="AH245" i="3" s="1"/>
  <c r="I56" i="3"/>
  <c r="AI19" i="1" s="1"/>
  <c r="N50" i="3"/>
  <c r="AJ296" i="3"/>
  <c r="AH296" i="3"/>
  <c r="L275" i="3"/>
  <c r="I275" i="3"/>
  <c r="AI250" i="3"/>
  <c r="O250" i="3"/>
  <c r="K250" i="3"/>
  <c r="AI230" i="3"/>
  <c r="O230" i="3"/>
  <c r="K230" i="3"/>
  <c r="N225" i="3"/>
  <c r="AI221" i="3"/>
  <c r="O221" i="3"/>
  <c r="K221" i="3"/>
  <c r="N210" i="3"/>
  <c r="L195" i="3"/>
  <c r="I195" i="3"/>
  <c r="L179" i="3"/>
  <c r="I179" i="3"/>
  <c r="L159" i="3"/>
  <c r="I159" i="3"/>
  <c r="AH153" i="3"/>
  <c r="N142" i="3"/>
  <c r="N168" i="3"/>
  <c r="L51" i="3"/>
  <c r="I51" i="3"/>
  <c r="AC6" i="3"/>
  <c r="AI242" i="3"/>
  <c r="O242" i="3"/>
  <c r="K242" i="3"/>
  <c r="AI122" i="3"/>
  <c r="O122" i="3"/>
  <c r="K122" i="3"/>
  <c r="AH49" i="3"/>
  <c r="L28" i="3"/>
  <c r="I28" i="3"/>
  <c r="L21" i="3"/>
  <c r="AH481" i="3" s="1"/>
  <c r="I21" i="3"/>
  <c r="I20" i="3"/>
  <c r="L20" i="3"/>
  <c r="AH101" i="3" s="1"/>
  <c r="BV32" i="1"/>
  <c r="BW32" i="1" s="1"/>
  <c r="AH30" i="1"/>
  <c r="AK30" i="1"/>
  <c r="L9" i="3"/>
  <c r="AH387" i="3" s="1"/>
  <c r="I9" i="3"/>
  <c r="I8" i="3"/>
  <c r="L8" i="3"/>
  <c r="AH89" i="3" s="1"/>
  <c r="B112" i="3"/>
  <c r="M112" i="3" s="1"/>
  <c r="B128" i="3"/>
  <c r="M128" i="3" s="1"/>
  <c r="N128" i="3"/>
  <c r="D30" i="5"/>
  <c r="BO43" i="1"/>
  <c r="AI485" i="3"/>
  <c r="K485" i="3"/>
  <c r="O485" i="3"/>
  <c r="AJ481" i="3"/>
  <c r="O488" i="3"/>
  <c r="K488" i="3"/>
  <c r="AI488" i="3"/>
  <c r="AI261" i="3"/>
  <c r="O261" i="3"/>
  <c r="K261" i="3"/>
  <c r="AI225" i="3"/>
  <c r="O225" i="3"/>
  <c r="K225" i="3"/>
  <c r="AX28" i="1"/>
  <c r="AW28" i="1"/>
  <c r="N164" i="3"/>
  <c r="BV31" i="1"/>
  <c r="BW31" i="1" s="1"/>
  <c r="N144" i="3"/>
  <c r="B144" i="3"/>
  <c r="M144" i="3" s="1"/>
  <c r="B160" i="3"/>
  <c r="M160" i="3" s="1"/>
  <c r="N4" i="3"/>
  <c r="B37" i="3"/>
  <c r="M37" i="3" s="1"/>
  <c r="AH28" i="1"/>
  <c r="AK36" i="1"/>
  <c r="AI36" i="1"/>
  <c r="AH36" i="1"/>
  <c r="AH23" i="1"/>
  <c r="AK23" i="1"/>
  <c r="AH31" i="1"/>
  <c r="D5" i="5"/>
  <c r="BO18" i="1"/>
  <c r="O484" i="3"/>
  <c r="K484" i="3"/>
  <c r="AI484" i="3"/>
  <c r="AH509" i="3"/>
  <c r="AJ509" i="3"/>
  <c r="I497" i="3"/>
  <c r="AJ407" i="3"/>
  <c r="AH407" i="3"/>
  <c r="AJ375" i="3"/>
  <c r="AH375" i="3"/>
  <c r="AJ367" i="3"/>
  <c r="AH367" i="3"/>
  <c r="W13" i="2"/>
  <c r="CK35" i="1"/>
  <c r="CL35" i="1" s="1"/>
  <c r="CM35" i="1" s="1"/>
  <c r="CK20" i="1"/>
  <c r="CL20" i="1" s="1"/>
  <c r="CM20" i="1" s="1"/>
  <c r="N93" i="3"/>
  <c r="L59" i="3"/>
  <c r="I59" i="3"/>
  <c r="AH37" i="3"/>
  <c r="N11" i="3"/>
  <c r="N228" i="3"/>
  <c r="B228" i="3"/>
  <c r="M228" i="3" s="1"/>
  <c r="AH21" i="1"/>
  <c r="AK21" i="1"/>
  <c r="B61" i="3"/>
  <c r="M61" i="3" s="1"/>
  <c r="AQ22" i="1" s="1"/>
  <c r="B77" i="3"/>
  <c r="M77" i="3" s="1"/>
  <c r="N77" i="3"/>
  <c r="M2" i="3"/>
  <c r="C9" i="5"/>
  <c r="C29" i="5"/>
  <c r="AY30" i="5"/>
  <c r="AY29" i="5"/>
  <c r="U117" i="2"/>
  <c r="AI442" i="3"/>
  <c r="K442" i="3"/>
  <c r="O442" i="3"/>
  <c r="O435" i="3"/>
  <c r="K435" i="3"/>
  <c r="AI435" i="3"/>
  <c r="AJ288" i="3"/>
  <c r="AI335" i="3"/>
  <c r="K335" i="3"/>
  <c r="O335" i="3"/>
  <c r="U90" i="2"/>
  <c r="AI233" i="3"/>
  <c r="O233" i="3"/>
  <c r="K233" i="3"/>
  <c r="AI257" i="3"/>
  <c r="O257" i="3"/>
  <c r="K257" i="3"/>
  <c r="U22" i="2"/>
  <c r="X22" i="2" s="1"/>
  <c r="Y22" i="2" s="1"/>
  <c r="W15" i="2"/>
  <c r="Y15" i="2" s="1"/>
  <c r="O419" i="3"/>
  <c r="K419" i="3"/>
  <c r="AI419" i="3"/>
  <c r="I41" i="3"/>
  <c r="AI37" i="1"/>
  <c r="Y24" i="2"/>
  <c r="CK31" i="1"/>
  <c r="CL31" i="1" s="1"/>
  <c r="CM31" i="1" s="1"/>
  <c r="BV17" i="1"/>
  <c r="BW17" i="1" s="1"/>
  <c r="CK43" i="1"/>
  <c r="CL43" i="1" s="1"/>
  <c r="CM43" i="1" s="1"/>
  <c r="CK30" i="1"/>
  <c r="CL30" i="1" s="1"/>
  <c r="CM30" i="1" s="1"/>
  <c r="CK27" i="1"/>
  <c r="CL27" i="1" s="1"/>
  <c r="CM27" i="1" s="1"/>
  <c r="AK32" i="1" l="1"/>
  <c r="AK27" i="1"/>
  <c r="AK29" i="1"/>
  <c r="AI33" i="1"/>
  <c r="AK34" i="1"/>
  <c r="AK20" i="1"/>
  <c r="W8" i="5"/>
  <c r="AI24" i="1"/>
  <c r="W5" i="5"/>
  <c r="BN18" i="1" s="1"/>
  <c r="AQ31" i="1"/>
  <c r="AQ41" i="1"/>
  <c r="AN28" i="1"/>
  <c r="AI23" i="1"/>
  <c r="AK31" i="1"/>
  <c r="AK35" i="1"/>
  <c r="AI18" i="1"/>
  <c r="AQ27" i="1"/>
  <c r="W7" i="5"/>
  <c r="AI26" i="5"/>
  <c r="AE26" i="5"/>
  <c r="AF26" i="5" s="1"/>
  <c r="AH26" i="5"/>
  <c r="G26" i="5"/>
  <c r="AG26" i="5"/>
  <c r="AJ26" i="5"/>
  <c r="AD26" i="5"/>
  <c r="D50" i="7" s="1"/>
  <c r="M26" i="5"/>
  <c r="BQ39" i="1"/>
  <c r="C50" i="7"/>
  <c r="AL5" i="5"/>
  <c r="CA18" i="1"/>
  <c r="BZ18" i="1" s="1"/>
  <c r="AL22" i="5"/>
  <c r="CA35" i="1"/>
  <c r="BZ35" i="1" s="1"/>
  <c r="BQ43" i="1"/>
  <c r="C54" i="7"/>
  <c r="AL7" i="5"/>
  <c r="CA20" i="1"/>
  <c r="BZ20" i="1" s="1"/>
  <c r="AC9" i="5"/>
  <c r="AB9" i="5"/>
  <c r="C29" i="7"/>
  <c r="BQ18" i="1"/>
  <c r="AL8" i="5"/>
  <c r="CA21" i="1"/>
  <c r="BZ21" i="1" s="1"/>
  <c r="BQ42" i="1"/>
  <c r="C53" i="7"/>
  <c r="AJ59" i="3"/>
  <c r="AH59" i="3"/>
  <c r="Z1" i="2"/>
  <c r="AI497" i="3"/>
  <c r="K497" i="3"/>
  <c r="O497" i="3"/>
  <c r="N160" i="3"/>
  <c r="O8" i="3"/>
  <c r="K8" i="3"/>
  <c r="AI8" i="3"/>
  <c r="I34" i="7"/>
  <c r="T10" i="5"/>
  <c r="Z10" i="5" s="1"/>
  <c r="C10" i="5"/>
  <c r="O20" i="3"/>
  <c r="K20" i="3"/>
  <c r="AI20" i="3"/>
  <c r="T23" i="5"/>
  <c r="Z23" i="5" s="1"/>
  <c r="C23" i="5"/>
  <c r="I47" i="7"/>
  <c r="AJ28" i="3"/>
  <c r="AH28" i="3"/>
  <c r="AJ159" i="3"/>
  <c r="AH159" i="3"/>
  <c r="AJ195" i="3"/>
  <c r="AH195" i="3"/>
  <c r="O275" i="3"/>
  <c r="K275" i="3"/>
  <c r="AI275" i="3"/>
  <c r="AJ96" i="3"/>
  <c r="AH96" i="3"/>
  <c r="AH113" i="3"/>
  <c r="AJ147" i="3"/>
  <c r="AH147" i="3"/>
  <c r="AH269" i="3"/>
  <c r="AJ305" i="3"/>
  <c r="AH305" i="3"/>
  <c r="AJ32" i="3"/>
  <c r="AH32" i="3"/>
  <c r="AH302" i="3"/>
  <c r="AH86" i="3"/>
  <c r="AH194" i="3"/>
  <c r="AH383" i="3"/>
  <c r="B31" i="7"/>
  <c r="AY7" i="5"/>
  <c r="O76" i="3"/>
  <c r="K76" i="3"/>
  <c r="AI76" i="3"/>
  <c r="O95" i="3"/>
  <c r="K95" i="3"/>
  <c r="AI95" i="3"/>
  <c r="AJ111" i="3"/>
  <c r="AH111" i="3"/>
  <c r="AJ317" i="3"/>
  <c r="AH317" i="3"/>
  <c r="AH150" i="3"/>
  <c r="AH258" i="3"/>
  <c r="AI283" i="3"/>
  <c r="O283" i="3"/>
  <c r="K283" i="3"/>
  <c r="AJ291" i="3"/>
  <c r="AH291" i="3"/>
  <c r="AJ108" i="3"/>
  <c r="AH108" i="3"/>
  <c r="AH541" i="3"/>
  <c r="B54" i="7"/>
  <c r="AH324" i="3"/>
  <c r="AH189" i="3"/>
  <c r="AH649" i="3"/>
  <c r="AJ116" i="3"/>
  <c r="AH116" i="3"/>
  <c r="AJ124" i="3"/>
  <c r="AH124" i="3"/>
  <c r="AJ132" i="3"/>
  <c r="AH132" i="3"/>
  <c r="AJ140" i="3"/>
  <c r="AH140" i="3"/>
  <c r="AJ148" i="3"/>
  <c r="AH148" i="3"/>
  <c r="AJ156" i="3"/>
  <c r="AH156" i="3"/>
  <c r="AJ164" i="3"/>
  <c r="AH164" i="3"/>
  <c r="AJ172" i="3"/>
  <c r="AH172" i="3"/>
  <c r="AJ180" i="3"/>
  <c r="AH180" i="3"/>
  <c r="AJ188" i="3"/>
  <c r="AH188" i="3"/>
  <c r="AJ196" i="3"/>
  <c r="AH196" i="3"/>
  <c r="AJ204" i="3"/>
  <c r="AH204" i="3"/>
  <c r="AJ212" i="3"/>
  <c r="AH212" i="3"/>
  <c r="AJ220" i="3"/>
  <c r="AH220" i="3"/>
  <c r="AJ228" i="3"/>
  <c r="AH228" i="3"/>
  <c r="AJ236" i="3"/>
  <c r="AH236" i="3"/>
  <c r="AJ244" i="3"/>
  <c r="AH244" i="3"/>
  <c r="AJ252" i="3"/>
  <c r="AH252" i="3"/>
  <c r="AJ260" i="3"/>
  <c r="AH260" i="3"/>
  <c r="AJ268" i="3"/>
  <c r="AH268" i="3"/>
  <c r="AH410" i="3"/>
  <c r="AH354" i="3"/>
  <c r="O333" i="3"/>
  <c r="AI333" i="3"/>
  <c r="K333" i="3"/>
  <c r="O372" i="3"/>
  <c r="K372" i="3"/>
  <c r="AI372" i="3"/>
  <c r="O456" i="3"/>
  <c r="K456" i="3"/>
  <c r="AI456" i="3"/>
  <c r="O577" i="3"/>
  <c r="K577" i="3"/>
  <c r="AI577" i="3"/>
  <c r="AI519" i="3"/>
  <c r="O519" i="3"/>
  <c r="K519" i="3"/>
  <c r="AJ491" i="3"/>
  <c r="AH491" i="3"/>
  <c r="O546" i="3"/>
  <c r="K546" i="3"/>
  <c r="AI546" i="3"/>
  <c r="AJ562" i="3"/>
  <c r="AH562" i="3"/>
  <c r="AJ478" i="3"/>
  <c r="AH478" i="3"/>
  <c r="O494" i="3"/>
  <c r="K494" i="3"/>
  <c r="AI494" i="3"/>
  <c r="AJ502" i="3"/>
  <c r="AH502" i="3"/>
  <c r="AJ409" i="3"/>
  <c r="AH409" i="3"/>
  <c r="AJ441" i="3"/>
  <c r="AH441" i="3"/>
  <c r="O638" i="3"/>
  <c r="K638" i="3"/>
  <c r="AI638" i="3"/>
  <c r="AH528" i="3"/>
  <c r="AJ670" i="3"/>
  <c r="AH670" i="3"/>
  <c r="AJ626" i="3"/>
  <c r="AH626" i="3"/>
  <c r="K579" i="3"/>
  <c r="AI579" i="3"/>
  <c r="O579" i="3"/>
  <c r="O634" i="3"/>
  <c r="K634" i="3"/>
  <c r="AI634" i="3"/>
  <c r="AJ667" i="3"/>
  <c r="AH667" i="3"/>
  <c r="O526" i="3"/>
  <c r="K526" i="3"/>
  <c r="AI526" i="3"/>
  <c r="AJ401" i="3"/>
  <c r="AH401" i="3"/>
  <c r="AI465" i="3"/>
  <c r="K465" i="3"/>
  <c r="O465" i="3"/>
  <c r="O578" i="3"/>
  <c r="K578" i="3"/>
  <c r="AI578" i="3"/>
  <c r="O611" i="3"/>
  <c r="AI611" i="3"/>
  <c r="K611" i="3"/>
  <c r="AI657" i="3"/>
  <c r="O657" i="3"/>
  <c r="K657" i="3"/>
  <c r="K361" i="3"/>
  <c r="O361" i="3"/>
  <c r="AI361" i="3"/>
  <c r="AJ436" i="3"/>
  <c r="AH436" i="3"/>
  <c r="AJ563" i="3"/>
  <c r="AH563" i="3"/>
  <c r="AJ574" i="3"/>
  <c r="AH574" i="3"/>
  <c r="AI461" i="3"/>
  <c r="O461" i="3"/>
  <c r="K461" i="3"/>
  <c r="O570" i="3"/>
  <c r="K570" i="3"/>
  <c r="AI570" i="3"/>
  <c r="O639" i="3"/>
  <c r="AI639" i="3"/>
  <c r="K639" i="3"/>
  <c r="AJ646" i="3"/>
  <c r="AH646" i="3"/>
  <c r="AY5" i="5"/>
  <c r="AK18" i="1"/>
  <c r="AI22" i="1"/>
  <c r="AJ12" i="3"/>
  <c r="AY14" i="5"/>
  <c r="AH390" i="3"/>
  <c r="AH660" i="3"/>
  <c r="AH12" i="3"/>
  <c r="AH363" i="3"/>
  <c r="B38" i="7"/>
  <c r="AH282" i="3"/>
  <c r="AH525" i="3"/>
  <c r="AH174" i="3"/>
  <c r="AH633" i="3"/>
  <c r="W19" i="5"/>
  <c r="AQ32" i="1"/>
  <c r="AJ24" i="3"/>
  <c r="AY27" i="5"/>
  <c r="AH484" i="3"/>
  <c r="AH213" i="3"/>
  <c r="AH294" i="3"/>
  <c r="AH186" i="3"/>
  <c r="B51" i="7"/>
  <c r="AH78" i="3"/>
  <c r="AH402" i="3"/>
  <c r="AH430" i="3"/>
  <c r="AH24" i="3"/>
  <c r="O91" i="3"/>
  <c r="K91" i="3"/>
  <c r="AI91" i="3"/>
  <c r="AH105" i="3"/>
  <c r="AJ48" i="3"/>
  <c r="AH48" i="3"/>
  <c r="O247" i="3"/>
  <c r="K247" i="3"/>
  <c r="AI247" i="3"/>
  <c r="AQ35" i="1"/>
  <c r="AH93" i="3"/>
  <c r="AH181" i="3"/>
  <c r="O44" i="3"/>
  <c r="K44" i="3"/>
  <c r="AI44" i="3"/>
  <c r="AJ123" i="3"/>
  <c r="AH123" i="3"/>
  <c r="AJ131" i="3"/>
  <c r="AH131" i="3"/>
  <c r="O139" i="3"/>
  <c r="K139" i="3"/>
  <c r="AI139" i="3"/>
  <c r="AJ175" i="3"/>
  <c r="AH175" i="3"/>
  <c r="AJ255" i="3"/>
  <c r="AH255" i="3"/>
  <c r="O263" i="3"/>
  <c r="K263" i="3"/>
  <c r="AI263" i="3"/>
  <c r="O271" i="3"/>
  <c r="K271" i="3"/>
  <c r="AI271" i="3"/>
  <c r="AH300" i="3"/>
  <c r="AH102" i="3"/>
  <c r="AJ371" i="3"/>
  <c r="AH371" i="3"/>
  <c r="O423" i="3"/>
  <c r="K423" i="3"/>
  <c r="AI423" i="3"/>
  <c r="I44" i="7"/>
  <c r="C20" i="5"/>
  <c r="T20" i="5"/>
  <c r="Z20" i="5" s="1"/>
  <c r="AA20" i="5" s="1"/>
  <c r="AH398" i="3"/>
  <c r="O420" i="3"/>
  <c r="K420" i="3"/>
  <c r="AI420" i="3"/>
  <c r="AJ411" i="3"/>
  <c r="AH411" i="3"/>
  <c r="O447" i="3"/>
  <c r="K447" i="3"/>
  <c r="AI447" i="3"/>
  <c r="AJ452" i="3"/>
  <c r="AH452" i="3"/>
  <c r="O498" i="3"/>
  <c r="K498" i="3"/>
  <c r="AI498" i="3"/>
  <c r="AI499" i="3"/>
  <c r="O499" i="3"/>
  <c r="K499" i="3"/>
  <c r="AJ542" i="3"/>
  <c r="AH542" i="3"/>
  <c r="AJ569" i="3"/>
  <c r="AH569" i="3"/>
  <c r="O464" i="3"/>
  <c r="K464" i="3"/>
  <c r="AI464" i="3"/>
  <c r="AJ551" i="3"/>
  <c r="AH551" i="3"/>
  <c r="AJ637" i="3"/>
  <c r="AH637" i="3"/>
  <c r="AJ373" i="3"/>
  <c r="AH373" i="3"/>
  <c r="AJ405" i="3"/>
  <c r="AH405" i="3"/>
  <c r="O421" i="3"/>
  <c r="K421" i="3"/>
  <c r="AI421" i="3"/>
  <c r="AJ669" i="3"/>
  <c r="AH669" i="3"/>
  <c r="AJ631" i="3"/>
  <c r="AH631" i="3"/>
  <c r="AI647" i="3"/>
  <c r="K647" i="3"/>
  <c r="O647" i="3"/>
  <c r="AI676" i="3"/>
  <c r="K676" i="3"/>
  <c r="AU42" i="1" s="1"/>
  <c r="O676" i="3"/>
  <c r="O534" i="3"/>
  <c r="K534" i="3"/>
  <c r="AI534" i="3"/>
  <c r="O490" i="3"/>
  <c r="K490" i="3"/>
  <c r="AI490" i="3"/>
  <c r="O627" i="3"/>
  <c r="AI627" i="3"/>
  <c r="K627" i="3"/>
  <c r="AJ571" i="3"/>
  <c r="AH571" i="3"/>
  <c r="O666" i="3"/>
  <c r="K666" i="3"/>
  <c r="AI666" i="3"/>
  <c r="AH427" i="3"/>
  <c r="AJ17" i="3"/>
  <c r="AH17" i="3"/>
  <c r="AH422" i="3"/>
  <c r="AH476" i="3"/>
  <c r="AY19" i="5"/>
  <c r="AH233" i="3"/>
  <c r="AH395" i="3"/>
  <c r="AH665" i="3"/>
  <c r="B43" i="7"/>
  <c r="AH71" i="3"/>
  <c r="AH98" i="3"/>
  <c r="AH314" i="3"/>
  <c r="AH206" i="3"/>
  <c r="O14" i="3"/>
  <c r="AI14" i="3"/>
  <c r="K14" i="3"/>
  <c r="C16" i="5"/>
  <c r="I40" i="7"/>
  <c r="W16" i="5"/>
  <c r="T16" i="5"/>
  <c r="Z16" i="5" s="1"/>
  <c r="O22" i="3"/>
  <c r="AI22" i="3"/>
  <c r="K22" i="3"/>
  <c r="C25" i="5"/>
  <c r="T25" i="5"/>
  <c r="Z25" i="5" s="1"/>
  <c r="W25" i="5"/>
  <c r="I49" i="7"/>
  <c r="O68" i="3"/>
  <c r="K68" i="3"/>
  <c r="AI68" i="3"/>
  <c r="O103" i="3"/>
  <c r="K103" i="3"/>
  <c r="AI103" i="3"/>
  <c r="AI273" i="3"/>
  <c r="O273" i="3"/>
  <c r="K273" i="3"/>
  <c r="O344" i="3"/>
  <c r="K344" i="3"/>
  <c r="AI344" i="3"/>
  <c r="AJ455" i="3"/>
  <c r="AH455" i="3"/>
  <c r="AI495" i="3"/>
  <c r="K495" i="3"/>
  <c r="O495" i="3"/>
  <c r="O460" i="3"/>
  <c r="K460" i="3"/>
  <c r="AI460" i="3"/>
  <c r="AI535" i="3"/>
  <c r="O535" i="3"/>
  <c r="K535" i="3"/>
  <c r="AJ515" i="3"/>
  <c r="AH515" i="3"/>
  <c r="AJ429" i="3"/>
  <c r="AH429" i="3"/>
  <c r="AJ608" i="3"/>
  <c r="AH608" i="3"/>
  <c r="X27" i="2"/>
  <c r="Y27" i="2" s="1"/>
  <c r="AH284" i="3"/>
  <c r="T30" i="5"/>
  <c r="Z30" i="5" s="1"/>
  <c r="AI29" i="1"/>
  <c r="O83" i="3"/>
  <c r="K83" i="3"/>
  <c r="AI83" i="3"/>
  <c r="AI66" i="3"/>
  <c r="O66" i="3"/>
  <c r="K66" i="3"/>
  <c r="AI27" i="1"/>
  <c r="AI32" i="1"/>
  <c r="AJ25" i="3"/>
  <c r="AH25" i="3"/>
  <c r="AH106" i="3"/>
  <c r="AH458" i="3"/>
  <c r="AH512" i="3"/>
  <c r="AY28" i="5"/>
  <c r="AH133" i="3"/>
  <c r="AH322" i="3"/>
  <c r="B52" i="7"/>
  <c r="AH214" i="3"/>
  <c r="AH431" i="3"/>
  <c r="AQ24" i="1"/>
  <c r="W11" i="5"/>
  <c r="AQ37" i="1"/>
  <c r="W24" i="5"/>
  <c r="AH39" i="3"/>
  <c r="O75" i="3"/>
  <c r="K75" i="3"/>
  <c r="AI75" i="3"/>
  <c r="O143" i="3"/>
  <c r="K143" i="3"/>
  <c r="AI143" i="3"/>
  <c r="AH237" i="3"/>
  <c r="AJ72" i="3"/>
  <c r="AH72" i="3"/>
  <c r="AJ107" i="3"/>
  <c r="AH107" i="3"/>
  <c r="AH323" i="3"/>
  <c r="O10" i="3"/>
  <c r="AI10" i="3"/>
  <c r="K10" i="3"/>
  <c r="T12" i="5"/>
  <c r="Z12" i="5" s="1"/>
  <c r="I36" i="7"/>
  <c r="C12" i="5"/>
  <c r="AJ151" i="3"/>
  <c r="AH151" i="3"/>
  <c r="O231" i="3"/>
  <c r="K231" i="3"/>
  <c r="AI231" i="3"/>
  <c r="AJ235" i="3"/>
  <c r="AH235" i="3"/>
  <c r="AJ251" i="3"/>
  <c r="AH251" i="3"/>
  <c r="AQ38" i="1"/>
  <c r="O87" i="3"/>
  <c r="K87" i="3"/>
  <c r="AI87" i="3"/>
  <c r="AJ207" i="3"/>
  <c r="AH207" i="3"/>
  <c r="AH290" i="3"/>
  <c r="AH230" i="3"/>
  <c r="K281" i="3"/>
  <c r="O281" i="3"/>
  <c r="AI281" i="3"/>
  <c r="AI287" i="3"/>
  <c r="O287" i="3"/>
  <c r="K287" i="3"/>
  <c r="AJ295" i="3"/>
  <c r="AH295" i="3"/>
  <c r="AJ276" i="3"/>
  <c r="AH276" i="3"/>
  <c r="AJ368" i="3"/>
  <c r="AH368" i="3"/>
  <c r="AJ479" i="3"/>
  <c r="AH479" i="3"/>
  <c r="AJ523" i="3"/>
  <c r="AH523" i="3"/>
  <c r="AJ360" i="3"/>
  <c r="AH360" i="3"/>
  <c r="AJ341" i="3"/>
  <c r="AH341" i="3"/>
  <c r="AI487" i="3"/>
  <c r="K487" i="3"/>
  <c r="O487" i="3"/>
  <c r="O518" i="3"/>
  <c r="K518" i="3"/>
  <c r="AI518" i="3"/>
  <c r="AJ471" i="3"/>
  <c r="AH471" i="3"/>
  <c r="O417" i="3"/>
  <c r="K417" i="3"/>
  <c r="AI417" i="3"/>
  <c r="O566" i="3"/>
  <c r="K566" i="3"/>
  <c r="AI566" i="3"/>
  <c r="AJ658" i="3"/>
  <c r="AH658" i="3"/>
  <c r="AJ651" i="3"/>
  <c r="AH651" i="3"/>
  <c r="AJ227" i="3"/>
  <c r="AH227" i="3"/>
  <c r="O163" i="3"/>
  <c r="K163" i="3"/>
  <c r="AI163" i="3"/>
  <c r="AH177" i="3"/>
  <c r="AJ215" i="3"/>
  <c r="AH215" i="3"/>
  <c r="N188" i="3"/>
  <c r="O328" i="3"/>
  <c r="K328" i="3"/>
  <c r="AI328" i="3"/>
  <c r="AJ404" i="3"/>
  <c r="AH404" i="3"/>
  <c r="AH357" i="3"/>
  <c r="AJ357" i="3"/>
  <c r="AJ539" i="3"/>
  <c r="AH539" i="3"/>
  <c r="AJ522" i="3"/>
  <c r="AH522" i="3"/>
  <c r="AJ580" i="3"/>
  <c r="AH580" i="3"/>
  <c r="AI413" i="3"/>
  <c r="O413" i="3"/>
  <c r="K413" i="3"/>
  <c r="O643" i="3"/>
  <c r="AI643" i="3"/>
  <c r="K643" i="3"/>
  <c r="O662" i="3"/>
  <c r="K662" i="3"/>
  <c r="AI662" i="3"/>
  <c r="AH335" i="3"/>
  <c r="W9" i="5"/>
  <c r="C17" i="5"/>
  <c r="N61" i="3"/>
  <c r="AI21" i="1"/>
  <c r="N37" i="3"/>
  <c r="N112" i="3"/>
  <c r="O9" i="3"/>
  <c r="K9" i="3"/>
  <c r="AU24" i="1" s="1"/>
  <c r="AI9" i="3"/>
  <c r="C11" i="5"/>
  <c r="I35" i="7"/>
  <c r="T11" i="5"/>
  <c r="Z11" i="5" s="1"/>
  <c r="O21" i="3"/>
  <c r="K21" i="3"/>
  <c r="AI21" i="3"/>
  <c r="T24" i="5"/>
  <c r="Z24" i="5" s="1"/>
  <c r="I48" i="7"/>
  <c r="C24" i="5"/>
  <c r="O179" i="3"/>
  <c r="K179" i="3"/>
  <c r="AI179" i="3"/>
  <c r="AJ275" i="3"/>
  <c r="AH275" i="3"/>
  <c r="O99" i="3"/>
  <c r="K99" i="3"/>
  <c r="AI99" i="3"/>
  <c r="O119" i="3"/>
  <c r="K119" i="3"/>
  <c r="AI119" i="3"/>
  <c r="U8" i="3"/>
  <c r="N196" i="3"/>
  <c r="O171" i="3"/>
  <c r="K171" i="3"/>
  <c r="AI171" i="3"/>
  <c r="U9" i="3"/>
  <c r="AQ34" i="1"/>
  <c r="W21" i="5"/>
  <c r="AJ76" i="3"/>
  <c r="AH76" i="3"/>
  <c r="AJ95" i="3"/>
  <c r="AH95" i="3"/>
  <c r="O239" i="3"/>
  <c r="K239" i="3"/>
  <c r="AI239" i="3"/>
  <c r="AI313" i="3"/>
  <c r="O313" i="3"/>
  <c r="K313" i="3"/>
  <c r="K285" i="3"/>
  <c r="O285" i="3"/>
  <c r="AI285" i="3"/>
  <c r="AI291" i="3"/>
  <c r="O291" i="3"/>
  <c r="K291" i="3"/>
  <c r="AI309" i="3"/>
  <c r="K309" i="3"/>
  <c r="O309" i="3"/>
  <c r="O112" i="3"/>
  <c r="K112" i="3"/>
  <c r="AI112" i="3"/>
  <c r="O120" i="3"/>
  <c r="K120" i="3"/>
  <c r="AI120" i="3"/>
  <c r="O128" i="3"/>
  <c r="K128" i="3"/>
  <c r="AI128" i="3"/>
  <c r="O136" i="3"/>
  <c r="K136" i="3"/>
  <c r="AI136" i="3"/>
  <c r="O144" i="3"/>
  <c r="K144" i="3"/>
  <c r="AI144" i="3"/>
  <c r="O152" i="3"/>
  <c r="K152" i="3"/>
  <c r="AI152" i="3"/>
  <c r="O160" i="3"/>
  <c r="K160" i="3"/>
  <c r="AI160" i="3"/>
  <c r="O168" i="3"/>
  <c r="K168" i="3"/>
  <c r="AI168" i="3"/>
  <c r="O176" i="3"/>
  <c r="K176" i="3"/>
  <c r="AI176" i="3"/>
  <c r="O184" i="3"/>
  <c r="K184" i="3"/>
  <c r="AI184" i="3"/>
  <c r="O192" i="3"/>
  <c r="K192" i="3"/>
  <c r="AI192" i="3"/>
  <c r="O200" i="3"/>
  <c r="K200" i="3"/>
  <c r="AI200" i="3"/>
  <c r="O208" i="3"/>
  <c r="K208" i="3"/>
  <c r="AI208" i="3"/>
  <c r="O216" i="3"/>
  <c r="K216" i="3"/>
  <c r="AI216" i="3"/>
  <c r="O224" i="3"/>
  <c r="K224" i="3"/>
  <c r="AI224" i="3"/>
  <c r="O232" i="3"/>
  <c r="K232" i="3"/>
  <c r="AI232" i="3"/>
  <c r="O240" i="3"/>
  <c r="K240" i="3"/>
  <c r="AI240" i="3"/>
  <c r="O248" i="3"/>
  <c r="K248" i="3"/>
  <c r="AI248" i="3"/>
  <c r="O256" i="3"/>
  <c r="K256" i="3"/>
  <c r="AI256" i="3"/>
  <c r="O264" i="3"/>
  <c r="K264" i="3"/>
  <c r="AI264" i="3"/>
  <c r="O272" i="3"/>
  <c r="K272" i="3"/>
  <c r="AI272" i="3"/>
  <c r="AH366" i="3"/>
  <c r="O400" i="3"/>
  <c r="K400" i="3"/>
  <c r="AI400" i="3"/>
  <c r="AH469" i="3"/>
  <c r="AJ333" i="3"/>
  <c r="AH333" i="3"/>
  <c r="AJ372" i="3"/>
  <c r="AH372" i="3"/>
  <c r="AJ456" i="3"/>
  <c r="AH456" i="3"/>
  <c r="AJ577" i="3"/>
  <c r="AH577" i="3"/>
  <c r="AJ519" i="3"/>
  <c r="AH519" i="3"/>
  <c r="AI531" i="3"/>
  <c r="O531" i="3"/>
  <c r="K531" i="3"/>
  <c r="AJ546" i="3"/>
  <c r="AH546" i="3"/>
  <c r="AJ494" i="3"/>
  <c r="AH494" i="3"/>
  <c r="O510" i="3"/>
  <c r="K510" i="3"/>
  <c r="AI510" i="3"/>
  <c r="AJ393" i="3"/>
  <c r="AH393" i="3"/>
  <c r="O409" i="3"/>
  <c r="K409" i="3"/>
  <c r="AI409" i="3"/>
  <c r="K441" i="3"/>
  <c r="AI441" i="3"/>
  <c r="O441" i="3"/>
  <c r="O670" i="3"/>
  <c r="K670" i="3"/>
  <c r="AI670" i="3"/>
  <c r="O626" i="3"/>
  <c r="K626" i="3"/>
  <c r="AI626" i="3"/>
  <c r="O659" i="3"/>
  <c r="AI659" i="3"/>
  <c r="K659" i="3"/>
  <c r="O614" i="3"/>
  <c r="K614" i="3"/>
  <c r="AI614" i="3"/>
  <c r="AJ634" i="3"/>
  <c r="AH634" i="3"/>
  <c r="AH675" i="3"/>
  <c r="I54" i="7"/>
  <c r="AH378" i="3"/>
  <c r="AJ526" i="3"/>
  <c r="AH526" i="3"/>
  <c r="O554" i="3"/>
  <c r="K554" i="3"/>
  <c r="AI554" i="3"/>
  <c r="O401" i="3"/>
  <c r="K401" i="3"/>
  <c r="AI401" i="3"/>
  <c r="AJ578" i="3"/>
  <c r="AH578" i="3"/>
  <c r="AJ611" i="3"/>
  <c r="AH611" i="3"/>
  <c r="AJ657" i="3"/>
  <c r="AH657" i="3"/>
  <c r="AH361" i="3"/>
  <c r="AJ361" i="3"/>
  <c r="O538" i="3"/>
  <c r="K538" i="3"/>
  <c r="AI538" i="3"/>
  <c r="AI584" i="3"/>
  <c r="K584" i="3"/>
  <c r="O584" i="3"/>
  <c r="AJ570" i="3"/>
  <c r="AH570" i="3"/>
  <c r="AJ639" i="3"/>
  <c r="AH639" i="3"/>
  <c r="O630" i="3"/>
  <c r="K630" i="3"/>
  <c r="AI630" i="3"/>
  <c r="AH489" i="3"/>
  <c r="W29" i="5"/>
  <c r="T26" i="5"/>
  <c r="Z26" i="5" s="1"/>
  <c r="AA26" i="5" s="1"/>
  <c r="AQ23" i="1"/>
  <c r="W10" i="5"/>
  <c r="O67" i="3"/>
  <c r="K67" i="3"/>
  <c r="AI67" i="3"/>
  <c r="AH443" i="3"/>
  <c r="T4" i="3"/>
  <c r="AN23" i="1"/>
  <c r="AN21" i="1"/>
  <c r="AN22" i="1"/>
  <c r="AN20" i="1"/>
  <c r="M4" i="3"/>
  <c r="AI17" i="1" s="1"/>
  <c r="AN19" i="1"/>
  <c r="AK22" i="1"/>
  <c r="O12" i="3"/>
  <c r="K12" i="3"/>
  <c r="AI12" i="3"/>
  <c r="T14" i="5"/>
  <c r="Z14" i="5" s="1"/>
  <c r="W14" i="5"/>
  <c r="I38" i="7"/>
  <c r="C14" i="5"/>
  <c r="AI34" i="1"/>
  <c r="O24" i="3"/>
  <c r="K24" i="3"/>
  <c r="AI24" i="3"/>
  <c r="C27" i="5"/>
  <c r="I51" i="7"/>
  <c r="T27" i="5"/>
  <c r="Z27" i="5" s="1"/>
  <c r="N644" i="3"/>
  <c r="AJ91" i="3"/>
  <c r="AH91" i="3"/>
  <c r="AH205" i="3"/>
  <c r="O36" i="3"/>
  <c r="K36" i="3"/>
  <c r="AI36" i="3"/>
  <c r="AJ247" i="3"/>
  <c r="AH247" i="3"/>
  <c r="AD8" i="3"/>
  <c r="AQ39" i="1"/>
  <c r="W26" i="5"/>
  <c r="O187" i="3"/>
  <c r="K187" i="3"/>
  <c r="AI187" i="3"/>
  <c r="N272" i="3"/>
  <c r="AJ44" i="3"/>
  <c r="AH44" i="3"/>
  <c r="O84" i="3"/>
  <c r="AD5" i="5" s="1"/>
  <c r="K84" i="3"/>
  <c r="AI84" i="3"/>
  <c r="T5" i="5"/>
  <c r="Z5" i="5" s="1"/>
  <c r="I29" i="7"/>
  <c r="O127" i="3"/>
  <c r="K127" i="3"/>
  <c r="AI127" i="3"/>
  <c r="AJ139" i="3"/>
  <c r="AH139" i="3"/>
  <c r="O259" i="3"/>
  <c r="K259" i="3"/>
  <c r="AI259" i="3"/>
  <c r="AJ263" i="3"/>
  <c r="AH263" i="3"/>
  <c r="AJ271" i="3"/>
  <c r="AH271" i="3"/>
  <c r="AI301" i="3"/>
  <c r="O301" i="3"/>
  <c r="K301" i="3"/>
  <c r="AH134" i="3"/>
  <c r="AH270" i="3"/>
  <c r="O316" i="3"/>
  <c r="K316" i="3"/>
  <c r="AI316" i="3"/>
  <c r="M324" i="3"/>
  <c r="AI28" i="1" s="1"/>
  <c r="O376" i="3"/>
  <c r="K376" i="3"/>
  <c r="AI376" i="3"/>
  <c r="AJ420" i="3"/>
  <c r="AH420" i="3"/>
  <c r="O428" i="3"/>
  <c r="K428" i="3"/>
  <c r="AI428" i="3"/>
  <c r="O396" i="3"/>
  <c r="K396" i="3"/>
  <c r="AI396" i="3"/>
  <c r="O466" i="3"/>
  <c r="K466" i="3"/>
  <c r="AI466" i="3"/>
  <c r="AJ498" i="3"/>
  <c r="AH498" i="3"/>
  <c r="AI467" i="3"/>
  <c r="O467" i="3"/>
  <c r="K467" i="3"/>
  <c r="AJ499" i="3"/>
  <c r="AH499" i="3"/>
  <c r="AJ464" i="3"/>
  <c r="AH464" i="3"/>
  <c r="AI543" i="3"/>
  <c r="O543" i="3"/>
  <c r="K543" i="3"/>
  <c r="AI559" i="3"/>
  <c r="O559" i="3"/>
  <c r="K559" i="3"/>
  <c r="O623" i="3"/>
  <c r="AI623" i="3"/>
  <c r="K623" i="3"/>
  <c r="O655" i="3"/>
  <c r="AI655" i="3"/>
  <c r="K655" i="3"/>
  <c r="O373" i="3"/>
  <c r="K373" i="3"/>
  <c r="AI373" i="3"/>
  <c r="K405" i="3"/>
  <c r="O405" i="3"/>
  <c r="AI405" i="3"/>
  <c r="AJ453" i="3"/>
  <c r="AH453" i="3"/>
  <c r="AJ642" i="3"/>
  <c r="AH642" i="3"/>
  <c r="AJ647" i="3"/>
  <c r="AH647" i="3"/>
  <c r="AI663" i="3"/>
  <c r="K663" i="3"/>
  <c r="O663" i="3"/>
  <c r="AJ676" i="3"/>
  <c r="AH676" i="3"/>
  <c r="AJ534" i="3"/>
  <c r="AH534" i="3"/>
  <c r="AJ490" i="3"/>
  <c r="AH490" i="3"/>
  <c r="AJ627" i="3"/>
  <c r="AH627" i="3"/>
  <c r="K571" i="3"/>
  <c r="AI571" i="3"/>
  <c r="O571" i="3"/>
  <c r="AJ666" i="3"/>
  <c r="AH666" i="3"/>
  <c r="CV50" i="1"/>
  <c r="AK25" i="1"/>
  <c r="AH497" i="3"/>
  <c r="N260" i="3"/>
  <c r="AK19" i="1"/>
  <c r="AJ16" i="3"/>
  <c r="AH394" i="3"/>
  <c r="B42" i="7"/>
  <c r="AY18" i="5"/>
  <c r="AH16" i="3"/>
  <c r="AH529" i="3"/>
  <c r="AH664" i="3"/>
  <c r="AH178" i="3"/>
  <c r="AH286" i="3"/>
  <c r="AH97" i="3"/>
  <c r="AQ21" i="1"/>
  <c r="O223" i="3"/>
  <c r="K223" i="3"/>
  <c r="AI223" i="3"/>
  <c r="AJ18" i="3"/>
  <c r="B45" i="7"/>
  <c r="AH18" i="3"/>
  <c r="AH234" i="3"/>
  <c r="AH532" i="3"/>
  <c r="AH126" i="3"/>
  <c r="AH342" i="3"/>
  <c r="AH640" i="3"/>
  <c r="AH315" i="3"/>
  <c r="AH261" i="3"/>
  <c r="AH451" i="3"/>
  <c r="AY21" i="5"/>
  <c r="AQ42" i="1"/>
  <c r="AH161" i="3"/>
  <c r="N172" i="3"/>
  <c r="N612" i="3"/>
  <c r="AJ68" i="3"/>
  <c r="AH68" i="3"/>
  <c r="AJ103" i="3"/>
  <c r="AH103" i="3"/>
  <c r="O155" i="3"/>
  <c r="K155" i="3"/>
  <c r="AI155" i="3"/>
  <c r="AI329" i="3"/>
  <c r="O329" i="3"/>
  <c r="K329" i="3"/>
  <c r="AJ277" i="3"/>
  <c r="AH277" i="3"/>
  <c r="O455" i="3"/>
  <c r="K455" i="3"/>
  <c r="AI455" i="3"/>
  <c r="AJ495" i="3"/>
  <c r="AH495" i="3"/>
  <c r="AJ460" i="3"/>
  <c r="AH460" i="3"/>
  <c r="AJ535" i="3"/>
  <c r="AH535" i="3"/>
  <c r="AI483" i="3"/>
  <c r="O483" i="3"/>
  <c r="K483" i="3"/>
  <c r="O429" i="3"/>
  <c r="K429" i="3"/>
  <c r="AI429" i="3"/>
  <c r="AI671" i="3"/>
  <c r="O671" i="3"/>
  <c r="K671" i="3"/>
  <c r="O674" i="3"/>
  <c r="K674" i="3"/>
  <c r="AI674" i="3"/>
  <c r="AI11" i="3"/>
  <c r="O11" i="3"/>
  <c r="K11" i="3"/>
  <c r="C13" i="5"/>
  <c r="I37" i="7"/>
  <c r="T13" i="5"/>
  <c r="Z13" i="5" s="1"/>
  <c r="AI6" i="3"/>
  <c r="O6" i="3"/>
  <c r="K6" i="3"/>
  <c r="I32" i="7"/>
  <c r="T8" i="5"/>
  <c r="Z8" i="5" s="1"/>
  <c r="C8" i="5"/>
  <c r="BN21" i="1" s="1"/>
  <c r="N220" i="3"/>
  <c r="O31" i="3"/>
  <c r="K31" i="3"/>
  <c r="AI31" i="3"/>
  <c r="AJ83" i="3"/>
  <c r="AH83" i="3"/>
  <c r="AH280" i="3"/>
  <c r="AH513" i="3"/>
  <c r="AI35" i="1"/>
  <c r="AK24" i="1"/>
  <c r="N264" i="3"/>
  <c r="AI26" i="1"/>
  <c r="AJ75" i="3"/>
  <c r="AH75" i="3"/>
  <c r="AJ143" i="3"/>
  <c r="AH143" i="3"/>
  <c r="O243" i="3"/>
  <c r="K243" i="3"/>
  <c r="AI243" i="3"/>
  <c r="O88" i="3"/>
  <c r="K88" i="3"/>
  <c r="AU22" i="1" s="1"/>
  <c r="AV22" i="1" s="1"/>
  <c r="AI88" i="3"/>
  <c r="N204" i="3"/>
  <c r="AC28" i="1" s="1"/>
  <c r="O40" i="3"/>
  <c r="K40" i="3"/>
  <c r="AI40" i="3"/>
  <c r="AJ231" i="3"/>
  <c r="AH231" i="3"/>
  <c r="AQ25" i="1"/>
  <c r="W12" i="5"/>
  <c r="O52" i="3"/>
  <c r="K52" i="3"/>
  <c r="AI52" i="3"/>
  <c r="AJ87" i="3"/>
  <c r="AH87" i="3"/>
  <c r="AJ348" i="3"/>
  <c r="AH348" i="3"/>
  <c r="AH66" i="3"/>
  <c r="AH281" i="3"/>
  <c r="AJ281" i="3"/>
  <c r="K289" i="3"/>
  <c r="O289" i="3"/>
  <c r="AI289" i="3"/>
  <c r="AI295" i="3"/>
  <c r="O295" i="3"/>
  <c r="K295" i="3"/>
  <c r="AJ336" i="3"/>
  <c r="AH336" i="3"/>
  <c r="AJ340" i="3"/>
  <c r="AH340" i="3"/>
  <c r="O412" i="3"/>
  <c r="K412" i="3"/>
  <c r="AI412" i="3"/>
  <c r="AI503" i="3"/>
  <c r="K503" i="3"/>
  <c r="O503" i="3"/>
  <c r="AH339" i="3"/>
  <c r="O360" i="3"/>
  <c r="K360" i="3"/>
  <c r="AI360" i="3"/>
  <c r="AJ487" i="3"/>
  <c r="AH487" i="3"/>
  <c r="AJ518" i="3"/>
  <c r="AH518" i="3"/>
  <c r="AI511" i="3"/>
  <c r="K511" i="3"/>
  <c r="O511" i="3"/>
  <c r="O482" i="3"/>
  <c r="K482" i="3"/>
  <c r="AI482" i="3"/>
  <c r="AI507" i="3"/>
  <c r="O507" i="3"/>
  <c r="K507" i="3"/>
  <c r="AJ385" i="3"/>
  <c r="AH385" i="3"/>
  <c r="AJ566" i="3"/>
  <c r="AH566" i="3"/>
  <c r="O658" i="3"/>
  <c r="K658" i="3"/>
  <c r="AI658" i="3"/>
  <c r="AI641" i="3"/>
  <c r="O641" i="3"/>
  <c r="K641" i="3"/>
  <c r="AI619" i="3"/>
  <c r="K619" i="3"/>
  <c r="O619" i="3"/>
  <c r="O304" i="3"/>
  <c r="K304" i="3"/>
  <c r="AI304" i="3"/>
  <c r="AJ163" i="3"/>
  <c r="AH163" i="3"/>
  <c r="O199" i="3"/>
  <c r="K199" i="3"/>
  <c r="AI199" i="3"/>
  <c r="O191" i="3"/>
  <c r="K191" i="3"/>
  <c r="AI191" i="3"/>
  <c r="O219" i="3"/>
  <c r="K219" i="3"/>
  <c r="AI219" i="3"/>
  <c r="AJ328" i="3"/>
  <c r="AH328" i="3"/>
  <c r="AI325" i="3"/>
  <c r="K325" i="3"/>
  <c r="O325" i="3"/>
  <c r="AN30" i="1"/>
  <c r="O388" i="3"/>
  <c r="K388" i="3"/>
  <c r="AI388" i="3"/>
  <c r="K353" i="3"/>
  <c r="O353" i="3"/>
  <c r="AI353" i="3"/>
  <c r="K365" i="3"/>
  <c r="O365" i="3"/>
  <c r="AI365" i="3"/>
  <c r="AJ622" i="3"/>
  <c r="AH622" i="3"/>
  <c r="AI567" i="3"/>
  <c r="K567" i="3"/>
  <c r="O567" i="3"/>
  <c r="AI555" i="3"/>
  <c r="O555" i="3"/>
  <c r="K555" i="3"/>
  <c r="AJ397" i="3"/>
  <c r="AH397" i="3"/>
  <c r="AJ643" i="3"/>
  <c r="AH643" i="3"/>
  <c r="AJ662" i="3"/>
  <c r="AH662" i="3"/>
  <c r="W13" i="5"/>
  <c r="W28" i="5"/>
  <c r="C33" i="7"/>
  <c r="AI9" i="5"/>
  <c r="AE9" i="5"/>
  <c r="AF9" i="5" s="1"/>
  <c r="AG9" i="5"/>
  <c r="AJ9" i="5"/>
  <c r="M9" i="5"/>
  <c r="AH9" i="5"/>
  <c r="AD9" i="5"/>
  <c r="D33" i="7" s="1"/>
  <c r="G9" i="5"/>
  <c r="BQ22" i="1"/>
  <c r="AN17" i="1"/>
  <c r="AN27" i="1"/>
  <c r="W4" i="5"/>
  <c r="AQ17" i="1"/>
  <c r="AJ9" i="3"/>
  <c r="AH9" i="3"/>
  <c r="AH90" i="3"/>
  <c r="B35" i="7"/>
  <c r="AH63" i="3"/>
  <c r="AH225" i="3"/>
  <c r="AH306" i="3"/>
  <c r="AH414" i="3"/>
  <c r="AH468" i="3"/>
  <c r="AY11" i="5"/>
  <c r="AH117" i="3"/>
  <c r="AH198" i="3"/>
  <c r="AJ21" i="3"/>
  <c r="AH21" i="3"/>
  <c r="AY24" i="5"/>
  <c r="B48" i="7"/>
  <c r="AH454" i="3"/>
  <c r="AH318" i="3"/>
  <c r="AH210" i="3"/>
  <c r="AH508" i="3"/>
  <c r="AH399" i="3"/>
  <c r="AH129" i="3"/>
  <c r="O51" i="3"/>
  <c r="K51" i="3"/>
  <c r="AI51" i="3"/>
  <c r="AJ179" i="3"/>
  <c r="AH179" i="3"/>
  <c r="O56" i="3"/>
  <c r="K56" i="3"/>
  <c r="AI56" i="3"/>
  <c r="I28" i="7"/>
  <c r="C4" i="5"/>
  <c r="T4" i="5"/>
  <c r="O80" i="3"/>
  <c r="AD29" i="5" s="1"/>
  <c r="K80" i="3"/>
  <c r="AI80" i="3"/>
  <c r="I53" i="7"/>
  <c r="AJ99" i="3"/>
  <c r="AH99" i="3"/>
  <c r="AJ119" i="3"/>
  <c r="AH119" i="3"/>
  <c r="O183" i="3"/>
  <c r="K183" i="3"/>
  <c r="AI183" i="3"/>
  <c r="AQ26" i="1"/>
  <c r="AJ171" i="3"/>
  <c r="AH171" i="3"/>
  <c r="O79" i="3"/>
  <c r="K79" i="3"/>
  <c r="AI79" i="3"/>
  <c r="O92" i="3"/>
  <c r="K92" i="3"/>
  <c r="AI92" i="3"/>
  <c r="AJ239" i="3"/>
  <c r="AH239" i="3"/>
  <c r="AJ313" i="3"/>
  <c r="AH313" i="3"/>
  <c r="AJ352" i="3"/>
  <c r="AH352" i="3"/>
  <c r="AH285" i="3"/>
  <c r="AJ285" i="3"/>
  <c r="K293" i="3"/>
  <c r="O293" i="3"/>
  <c r="AI293" i="3"/>
  <c r="AJ309" i="3"/>
  <c r="AH309" i="3"/>
  <c r="AJ112" i="3"/>
  <c r="AH112" i="3"/>
  <c r="AJ120" i="3"/>
  <c r="AH120" i="3"/>
  <c r="AJ128" i="3"/>
  <c r="AH128" i="3"/>
  <c r="AJ136" i="3"/>
  <c r="AH136" i="3"/>
  <c r="AJ144" i="3"/>
  <c r="AH144" i="3"/>
  <c r="AJ152" i="3"/>
  <c r="AH152" i="3"/>
  <c r="AJ160" i="3"/>
  <c r="AH160" i="3"/>
  <c r="AJ168" i="3"/>
  <c r="AH168" i="3"/>
  <c r="AJ176" i="3"/>
  <c r="AH176" i="3"/>
  <c r="AJ184" i="3"/>
  <c r="AH184" i="3"/>
  <c r="AJ192" i="3"/>
  <c r="AH192" i="3"/>
  <c r="AJ200" i="3"/>
  <c r="AH200" i="3"/>
  <c r="AJ208" i="3"/>
  <c r="AH208" i="3"/>
  <c r="AJ216" i="3"/>
  <c r="AH216" i="3"/>
  <c r="AJ224" i="3"/>
  <c r="AH224" i="3"/>
  <c r="AJ232" i="3"/>
  <c r="AH232" i="3"/>
  <c r="AJ240" i="3"/>
  <c r="AH240" i="3"/>
  <c r="AJ248" i="3"/>
  <c r="AH248" i="3"/>
  <c r="AJ256" i="3"/>
  <c r="AH256" i="3"/>
  <c r="AJ264" i="3"/>
  <c r="AH264" i="3"/>
  <c r="AJ272" i="3"/>
  <c r="AH272" i="3"/>
  <c r="O384" i="3"/>
  <c r="K384" i="3"/>
  <c r="AI384" i="3"/>
  <c r="AJ400" i="3"/>
  <c r="AH400" i="3"/>
  <c r="O470" i="3"/>
  <c r="K470" i="3"/>
  <c r="AI470" i="3"/>
  <c r="O349" i="3"/>
  <c r="AI349" i="3"/>
  <c r="K349" i="3"/>
  <c r="AJ654" i="3"/>
  <c r="AH654" i="3"/>
  <c r="O506" i="3"/>
  <c r="K506" i="3"/>
  <c r="AI506" i="3"/>
  <c r="O416" i="3"/>
  <c r="K416" i="3"/>
  <c r="AI416" i="3"/>
  <c r="AJ531" i="3"/>
  <c r="AH531" i="3"/>
  <c r="O486" i="3"/>
  <c r="K486" i="3"/>
  <c r="AI486" i="3"/>
  <c r="AJ510" i="3"/>
  <c r="AH510" i="3"/>
  <c r="AJ377" i="3"/>
  <c r="AH377" i="3"/>
  <c r="O393" i="3"/>
  <c r="AI393" i="3"/>
  <c r="K393" i="3"/>
  <c r="AJ425" i="3"/>
  <c r="AH425" i="3"/>
  <c r="AJ457" i="3"/>
  <c r="AH457" i="3"/>
  <c r="AI588" i="3"/>
  <c r="K588" i="3"/>
  <c r="O588" i="3"/>
  <c r="AI604" i="3"/>
  <c r="K604" i="3"/>
  <c r="O604" i="3"/>
  <c r="AJ659" i="3"/>
  <c r="AH659" i="3"/>
  <c r="AJ614" i="3"/>
  <c r="AH614" i="3"/>
  <c r="O618" i="3"/>
  <c r="K618" i="3"/>
  <c r="AI618" i="3"/>
  <c r="O650" i="3"/>
  <c r="K650" i="3"/>
  <c r="AI650" i="3"/>
  <c r="B41" i="7"/>
  <c r="O440" i="3"/>
  <c r="K440" i="3"/>
  <c r="AI440" i="3"/>
  <c r="AI475" i="3"/>
  <c r="O475" i="3"/>
  <c r="K475" i="3"/>
  <c r="AJ554" i="3"/>
  <c r="AH554" i="3"/>
  <c r="AJ369" i="3"/>
  <c r="AH369" i="3"/>
  <c r="AI596" i="3"/>
  <c r="K596" i="3"/>
  <c r="O596" i="3"/>
  <c r="AI625" i="3"/>
  <c r="O625" i="3"/>
  <c r="K625" i="3"/>
  <c r="O380" i="3"/>
  <c r="K380" i="3"/>
  <c r="AI380" i="3"/>
  <c r="AJ538" i="3"/>
  <c r="AH538" i="3"/>
  <c r="AI547" i="3"/>
  <c r="O547" i="3"/>
  <c r="K547" i="3"/>
  <c r="AJ584" i="3"/>
  <c r="AH584" i="3"/>
  <c r="AI621" i="3"/>
  <c r="K621" i="3"/>
  <c r="O621" i="3"/>
  <c r="AI653" i="3"/>
  <c r="K653" i="3"/>
  <c r="O653" i="3"/>
  <c r="AJ630" i="3"/>
  <c r="AH630" i="3"/>
  <c r="AH351" i="3"/>
  <c r="AY26" i="5"/>
  <c r="AS26" i="5" s="1"/>
  <c r="AJ67" i="3"/>
  <c r="AH67" i="3"/>
  <c r="O13" i="3"/>
  <c r="K13" i="3"/>
  <c r="AI13" i="3"/>
  <c r="O115" i="3"/>
  <c r="K115" i="3"/>
  <c r="AI115" i="3"/>
  <c r="AJ36" i="3"/>
  <c r="AH36" i="3"/>
  <c r="O104" i="3"/>
  <c r="K104" i="3"/>
  <c r="AI104" i="3"/>
  <c r="AH221" i="3"/>
  <c r="AJ187" i="3"/>
  <c r="AH187" i="3"/>
  <c r="AH274" i="3"/>
  <c r="AJ84" i="3"/>
  <c r="AH84" i="3"/>
  <c r="AH462" i="3"/>
  <c r="AH624" i="3"/>
  <c r="B29" i="7"/>
  <c r="AH516" i="3"/>
  <c r="AH327" i="3"/>
  <c r="AJ127" i="3"/>
  <c r="AH127" i="3"/>
  <c r="O135" i="3"/>
  <c r="K135" i="3"/>
  <c r="AI135" i="3"/>
  <c r="AH165" i="3"/>
  <c r="AH249" i="3"/>
  <c r="AJ259" i="3"/>
  <c r="AH259" i="3"/>
  <c r="O267" i="3"/>
  <c r="K267" i="3"/>
  <c r="AI267" i="3"/>
  <c r="AJ301" i="3"/>
  <c r="AH301" i="3"/>
  <c r="AH242" i="3"/>
  <c r="AJ299" i="3"/>
  <c r="AH299" i="3"/>
  <c r="AJ316" i="3"/>
  <c r="AH316" i="3"/>
  <c r="AJ376" i="3"/>
  <c r="AH376" i="3"/>
  <c r="O432" i="3"/>
  <c r="K432" i="3"/>
  <c r="AI432" i="3"/>
  <c r="O345" i="3"/>
  <c r="AI345" i="3"/>
  <c r="K345" i="3"/>
  <c r="AJ428" i="3"/>
  <c r="AH428" i="3"/>
  <c r="AJ396" i="3"/>
  <c r="AH396" i="3"/>
  <c r="AJ466" i="3"/>
  <c r="AH466" i="3"/>
  <c r="O530" i="3"/>
  <c r="K530" i="3"/>
  <c r="AI530" i="3"/>
  <c r="AJ467" i="3"/>
  <c r="AH467" i="3"/>
  <c r="O558" i="3"/>
  <c r="K558" i="3"/>
  <c r="AI558" i="3"/>
  <c r="AI527" i="3"/>
  <c r="O527" i="3"/>
  <c r="K527" i="3"/>
  <c r="AJ543" i="3"/>
  <c r="AH543" i="3"/>
  <c r="AJ559" i="3"/>
  <c r="AH559" i="3"/>
  <c r="AJ623" i="3"/>
  <c r="AH623" i="3"/>
  <c r="AJ655" i="3"/>
  <c r="AH655" i="3"/>
  <c r="AJ389" i="3"/>
  <c r="AH389" i="3"/>
  <c r="AJ437" i="3"/>
  <c r="AH437" i="3"/>
  <c r="O453" i="3"/>
  <c r="AI453" i="3"/>
  <c r="K453" i="3"/>
  <c r="AI600" i="3"/>
  <c r="K600" i="3"/>
  <c r="O600" i="3"/>
  <c r="O642" i="3"/>
  <c r="K642" i="3"/>
  <c r="AI642" i="3"/>
  <c r="AJ575" i="3"/>
  <c r="AH575" i="3"/>
  <c r="AJ663" i="3"/>
  <c r="AH663" i="3"/>
  <c r="AI672" i="3"/>
  <c r="O672" i="3"/>
  <c r="K672" i="3"/>
  <c r="O474" i="3"/>
  <c r="K474" i="3"/>
  <c r="AI474" i="3"/>
  <c r="AJ449" i="3"/>
  <c r="AH449" i="3"/>
  <c r="AJ673" i="3"/>
  <c r="AH673" i="3"/>
  <c r="AI615" i="3"/>
  <c r="K615" i="3"/>
  <c r="O615" i="3"/>
  <c r="AI635" i="3"/>
  <c r="K635" i="3"/>
  <c r="O635" i="3"/>
  <c r="AH636" i="3"/>
  <c r="AC18" i="1"/>
  <c r="O16" i="3"/>
  <c r="K16" i="3"/>
  <c r="AI16" i="3"/>
  <c r="I42" i="7"/>
  <c r="T18" i="5"/>
  <c r="Z18" i="5" s="1"/>
  <c r="C18" i="5"/>
  <c r="N660" i="3"/>
  <c r="AJ223" i="3"/>
  <c r="AH223" i="3"/>
  <c r="O18" i="3"/>
  <c r="AI18" i="3"/>
  <c r="K18" i="3"/>
  <c r="AU34" i="1" s="1"/>
  <c r="T21" i="5"/>
  <c r="Z21" i="5" s="1"/>
  <c r="C21" i="5"/>
  <c r="I45" i="7"/>
  <c r="O60" i="3"/>
  <c r="K60" i="3"/>
  <c r="AI60" i="3"/>
  <c r="AJ155" i="3"/>
  <c r="AH155" i="3"/>
  <c r="AJ329" i="3"/>
  <c r="AH329" i="3"/>
  <c r="AI277" i="3"/>
  <c r="O277" i="3"/>
  <c r="K277" i="3"/>
  <c r="O463" i="3"/>
  <c r="K463" i="3"/>
  <c r="AI463" i="3"/>
  <c r="O337" i="3"/>
  <c r="AI337" i="3"/>
  <c r="K337" i="3"/>
  <c r="O444" i="3"/>
  <c r="K444" i="3"/>
  <c r="AI444" i="3"/>
  <c r="O514" i="3"/>
  <c r="K514" i="3"/>
  <c r="AI514" i="3"/>
  <c r="AJ483" i="3"/>
  <c r="AH483" i="3"/>
  <c r="AJ381" i="3"/>
  <c r="AH381" i="3"/>
  <c r="AJ445" i="3"/>
  <c r="AH445" i="3"/>
  <c r="AJ671" i="3"/>
  <c r="AH671" i="3"/>
  <c r="AJ674" i="3"/>
  <c r="AH674" i="3"/>
  <c r="AK17" i="1"/>
  <c r="AJ6" i="3"/>
  <c r="B32" i="7"/>
  <c r="AY8" i="5"/>
  <c r="AH303" i="3"/>
  <c r="AH438" i="3"/>
  <c r="AH492" i="3"/>
  <c r="AH330" i="3"/>
  <c r="AH6" i="3"/>
  <c r="AH222" i="3"/>
  <c r="AK33" i="1"/>
  <c r="AJ31" i="3"/>
  <c r="AH31" i="3"/>
  <c r="N152" i="3"/>
  <c r="AQ40" i="1"/>
  <c r="W27" i="5"/>
  <c r="AH415" i="3"/>
  <c r="AJ4" i="3"/>
  <c r="V30" i="5"/>
  <c r="E30" i="5" s="1"/>
  <c r="BP43" i="1" s="1"/>
  <c r="V22" i="5"/>
  <c r="E22" i="5" s="1"/>
  <c r="V19" i="5"/>
  <c r="E19" i="5" s="1"/>
  <c r="BP32" i="1" s="1"/>
  <c r="AY6" i="5"/>
  <c r="V16" i="5"/>
  <c r="E16" i="5" s="1"/>
  <c r="V13" i="5"/>
  <c r="E13" i="5" s="1"/>
  <c r="AH58" i="3"/>
  <c r="V20" i="5"/>
  <c r="E20" i="5" s="1"/>
  <c r="V11" i="5"/>
  <c r="E11" i="5" s="1"/>
  <c r="V27" i="5"/>
  <c r="E27" i="5" s="1"/>
  <c r="V24" i="5"/>
  <c r="E24" i="5" s="1"/>
  <c r="V4" i="5"/>
  <c r="V6" i="5"/>
  <c r="E6" i="5" s="1"/>
  <c r="V12" i="5"/>
  <c r="E12" i="5" s="1"/>
  <c r="V9" i="5"/>
  <c r="E9" i="5" s="1"/>
  <c r="V8" i="5"/>
  <c r="E8" i="5" s="1"/>
  <c r="V7" i="5"/>
  <c r="E7" i="5" s="1"/>
  <c r="H1" i="5"/>
  <c r="AH355" i="3"/>
  <c r="V29" i="5"/>
  <c r="E29" i="5" s="1"/>
  <c r="AH4" i="3"/>
  <c r="B30" i="7"/>
  <c r="V25" i="5"/>
  <c r="E25" i="5" s="1"/>
  <c r="V26" i="5"/>
  <c r="E26" i="5" s="1"/>
  <c r="V18" i="5"/>
  <c r="E18" i="5" s="1"/>
  <c r="V23" i="5"/>
  <c r="E23" i="5" s="1"/>
  <c r="V17" i="5"/>
  <c r="E17" i="5" s="1"/>
  <c r="V5" i="5"/>
  <c r="E5" i="5" s="1"/>
  <c r="BP18" i="1" s="1"/>
  <c r="V14" i="5"/>
  <c r="E14" i="5" s="1"/>
  <c r="AH193" i="3"/>
  <c r="AH652" i="3"/>
  <c r="V21" i="5"/>
  <c r="E21" i="5" s="1"/>
  <c r="V28" i="5"/>
  <c r="E28" i="5" s="1"/>
  <c r="V10" i="5"/>
  <c r="E10" i="5" s="1"/>
  <c r="AH166" i="3"/>
  <c r="AK26" i="1"/>
  <c r="AI38" i="1"/>
  <c r="O43" i="3"/>
  <c r="K43" i="3"/>
  <c r="AI43" i="3"/>
  <c r="O211" i="3"/>
  <c r="K211" i="3"/>
  <c r="AI211" i="3"/>
  <c r="AJ243" i="3"/>
  <c r="AH243" i="3"/>
  <c r="AJ88" i="3"/>
  <c r="AH88" i="3"/>
  <c r="AH358" i="3"/>
  <c r="AH628" i="3"/>
  <c r="AH520" i="3"/>
  <c r="B33" i="7"/>
  <c r="AH439" i="3"/>
  <c r="AH331" i="3"/>
  <c r="AJ40" i="3"/>
  <c r="AH40" i="3"/>
  <c r="O203" i="3"/>
  <c r="K203" i="3"/>
  <c r="AI203" i="3"/>
  <c r="N294" i="3"/>
  <c r="AJ52" i="3"/>
  <c r="AH52" i="3"/>
  <c r="O100" i="3"/>
  <c r="K100" i="3"/>
  <c r="AU35" i="1" s="1"/>
  <c r="AI100" i="3"/>
  <c r="O348" i="3"/>
  <c r="K348" i="3"/>
  <c r="AI348" i="3"/>
  <c r="AJ279" i="3"/>
  <c r="AH279" i="3"/>
  <c r="AH289" i="3"/>
  <c r="AJ289" i="3"/>
  <c r="K297" i="3"/>
  <c r="O297" i="3"/>
  <c r="AI297" i="3"/>
  <c r="AI321" i="3"/>
  <c r="K321" i="3"/>
  <c r="O321" i="3"/>
  <c r="O336" i="3"/>
  <c r="K336" i="3"/>
  <c r="AI336" i="3"/>
  <c r="O340" i="3"/>
  <c r="K340" i="3"/>
  <c r="AI340" i="3"/>
  <c r="AJ412" i="3"/>
  <c r="AH412" i="3"/>
  <c r="AJ503" i="3"/>
  <c r="AH503" i="3"/>
  <c r="AJ356" i="3"/>
  <c r="AH356" i="3"/>
  <c r="AJ364" i="3"/>
  <c r="AH364" i="3"/>
  <c r="O448" i="3"/>
  <c r="K448" i="3"/>
  <c r="AI448" i="3"/>
  <c r="O392" i="3"/>
  <c r="K392" i="3"/>
  <c r="AI392" i="3"/>
  <c r="AJ511" i="3"/>
  <c r="AH511" i="3"/>
  <c r="AJ482" i="3"/>
  <c r="AH482" i="3"/>
  <c r="O408" i="3"/>
  <c r="K408" i="3"/>
  <c r="AI408" i="3"/>
  <c r="AJ507" i="3"/>
  <c r="AH507" i="3"/>
  <c r="O385" i="3"/>
  <c r="K385" i="3"/>
  <c r="AI385" i="3"/>
  <c r="AJ433" i="3"/>
  <c r="AH433" i="3"/>
  <c r="AJ641" i="3"/>
  <c r="AH641" i="3"/>
  <c r="AJ619" i="3"/>
  <c r="AH619" i="3"/>
  <c r="AY17" i="5"/>
  <c r="N650" i="3"/>
  <c r="AJ304" i="3"/>
  <c r="AH304" i="3"/>
  <c r="O64" i="3"/>
  <c r="K64" i="3"/>
  <c r="AI64" i="3"/>
  <c r="O167" i="3"/>
  <c r="K167" i="3"/>
  <c r="AI167" i="3"/>
  <c r="AJ199" i="3"/>
  <c r="AH199" i="3"/>
  <c r="AJ191" i="3"/>
  <c r="AH191" i="3"/>
  <c r="AJ219" i="3"/>
  <c r="AH219" i="3"/>
  <c r="O312" i="3"/>
  <c r="K312" i="3"/>
  <c r="AI312" i="3"/>
  <c r="AJ325" i="3"/>
  <c r="AH325" i="3"/>
  <c r="O424" i="3"/>
  <c r="K424" i="3"/>
  <c r="AI424" i="3"/>
  <c r="AJ388" i="3"/>
  <c r="AH388" i="3"/>
  <c r="AH353" i="3"/>
  <c r="AJ353" i="3"/>
  <c r="AH365" i="3"/>
  <c r="AJ365" i="3"/>
  <c r="O622" i="3"/>
  <c r="K622" i="3"/>
  <c r="AI622" i="3"/>
  <c r="AJ567" i="3"/>
  <c r="AH567" i="3"/>
  <c r="O550" i="3"/>
  <c r="K550" i="3"/>
  <c r="AI550" i="3"/>
  <c r="AJ555" i="3"/>
  <c r="AH555" i="3"/>
  <c r="K397" i="3"/>
  <c r="AI397" i="3"/>
  <c r="O397" i="3"/>
  <c r="AI592" i="3"/>
  <c r="K592" i="3"/>
  <c r="O592" i="3"/>
  <c r="X29" i="2"/>
  <c r="Y29" i="2" s="1"/>
  <c r="AQ18" i="1"/>
  <c r="T22" i="5"/>
  <c r="Z22" i="5" s="1"/>
  <c r="AQ33" i="1"/>
  <c r="AC8" i="3"/>
  <c r="O41" i="3"/>
  <c r="AI41" i="3"/>
  <c r="K41" i="3"/>
  <c r="O59" i="3"/>
  <c r="K59" i="3"/>
  <c r="AI59" i="3"/>
  <c r="AJ8" i="3"/>
  <c r="AH278" i="3"/>
  <c r="AH629" i="3"/>
  <c r="AH359" i="3"/>
  <c r="B34" i="7"/>
  <c r="AH35" i="3"/>
  <c r="AH170" i="3"/>
  <c r="AH521" i="3"/>
  <c r="AH656" i="3"/>
  <c r="AY10" i="5"/>
  <c r="AH8" i="3"/>
  <c r="AH197" i="3"/>
  <c r="AH332" i="3"/>
  <c r="AH386" i="3"/>
  <c r="AH62" i="3"/>
  <c r="AJ20" i="3"/>
  <c r="B47" i="7"/>
  <c r="AH74" i="3"/>
  <c r="AH480" i="3"/>
  <c r="AY23" i="5"/>
  <c r="AH20" i="3"/>
  <c r="AH47" i="3"/>
  <c r="AH209" i="3"/>
  <c r="AH182" i="3"/>
  <c r="AH426" i="3"/>
  <c r="AI28" i="3"/>
  <c r="O28" i="3"/>
  <c r="K28" i="3"/>
  <c r="AJ51" i="3"/>
  <c r="AH51" i="3"/>
  <c r="O159" i="3"/>
  <c r="K159" i="3"/>
  <c r="AI159" i="3"/>
  <c r="O195" i="3"/>
  <c r="K195" i="3"/>
  <c r="AI195" i="3"/>
  <c r="AJ56" i="3"/>
  <c r="AY4" i="5"/>
  <c r="AH110" i="3"/>
  <c r="AH434" i="3"/>
  <c r="AH56" i="3"/>
  <c r="AH218" i="3"/>
  <c r="AH137" i="3"/>
  <c r="AH326" i="3"/>
  <c r="AH488" i="3"/>
  <c r="B28" i="7"/>
  <c r="AJ80" i="3"/>
  <c r="AU29" i="5" s="1"/>
  <c r="AH80" i="3"/>
  <c r="AH350" i="3"/>
  <c r="AH540" i="3"/>
  <c r="O96" i="3"/>
  <c r="K96" i="3"/>
  <c r="AI96" i="3"/>
  <c r="I41" i="7"/>
  <c r="O147" i="3"/>
  <c r="K147" i="3"/>
  <c r="AI147" i="3"/>
  <c r="AJ183" i="3"/>
  <c r="AH183" i="3"/>
  <c r="AI305" i="3"/>
  <c r="O305" i="3"/>
  <c r="K305" i="3"/>
  <c r="N212" i="3"/>
  <c r="AC29" i="1" s="1"/>
  <c r="O32" i="3"/>
  <c r="K32" i="3"/>
  <c r="AI32" i="3"/>
  <c r="C7" i="5"/>
  <c r="I31" i="7"/>
  <c r="T7" i="5"/>
  <c r="Z7" i="5" s="1"/>
  <c r="AJ79" i="3"/>
  <c r="AH79" i="3"/>
  <c r="AJ92" i="3"/>
  <c r="AH92" i="3"/>
  <c r="AH146" i="3"/>
  <c r="AH308" i="3"/>
  <c r="AH362" i="3"/>
  <c r="AH524" i="3"/>
  <c r="AH254" i="3"/>
  <c r="AH632" i="3"/>
  <c r="AH173" i="3"/>
  <c r="B37" i="7"/>
  <c r="O111" i="3"/>
  <c r="K111" i="3"/>
  <c r="AI111" i="3"/>
  <c r="AI317" i="3"/>
  <c r="O317" i="3"/>
  <c r="K317" i="3"/>
  <c r="AU36" i="1" s="1"/>
  <c r="O352" i="3"/>
  <c r="K352" i="3"/>
  <c r="AI352" i="3"/>
  <c r="AJ283" i="3"/>
  <c r="AH283" i="3"/>
  <c r="AH293" i="3"/>
  <c r="AJ293" i="3"/>
  <c r="O108" i="3"/>
  <c r="AD30" i="5" s="1"/>
  <c r="K108" i="3"/>
  <c r="AU43" i="1" s="1"/>
  <c r="AI108" i="3"/>
  <c r="O116" i="3"/>
  <c r="K116" i="3"/>
  <c r="AU23" i="1" s="1"/>
  <c r="AI116" i="3"/>
  <c r="O124" i="3"/>
  <c r="K124" i="3"/>
  <c r="AI124" i="3"/>
  <c r="O132" i="3"/>
  <c r="K132" i="3"/>
  <c r="AU40" i="1" s="1"/>
  <c r="AI132" i="3"/>
  <c r="O140" i="3"/>
  <c r="K140" i="3"/>
  <c r="AI140" i="3"/>
  <c r="O148" i="3"/>
  <c r="K148" i="3"/>
  <c r="AI148" i="3"/>
  <c r="O156" i="3"/>
  <c r="K156" i="3"/>
  <c r="AI156" i="3"/>
  <c r="O164" i="3"/>
  <c r="K164" i="3"/>
  <c r="AU17" i="1" s="1"/>
  <c r="AI164" i="3"/>
  <c r="O172" i="3"/>
  <c r="K172" i="3"/>
  <c r="AI172" i="3"/>
  <c r="O180" i="3"/>
  <c r="K180" i="3"/>
  <c r="AI180" i="3"/>
  <c r="O188" i="3"/>
  <c r="K188" i="3"/>
  <c r="AI188" i="3"/>
  <c r="O196" i="3"/>
  <c r="K196" i="3"/>
  <c r="AI196" i="3"/>
  <c r="O204" i="3"/>
  <c r="K204" i="3"/>
  <c r="AI204" i="3"/>
  <c r="O212" i="3"/>
  <c r="K212" i="3"/>
  <c r="AI212" i="3"/>
  <c r="O220" i="3"/>
  <c r="K220" i="3"/>
  <c r="AI220" i="3"/>
  <c r="O228" i="3"/>
  <c r="K228" i="3"/>
  <c r="AI228" i="3"/>
  <c r="O236" i="3"/>
  <c r="K236" i="3"/>
  <c r="AI236" i="3"/>
  <c r="O244" i="3"/>
  <c r="K244" i="3"/>
  <c r="AI244" i="3"/>
  <c r="O252" i="3"/>
  <c r="K252" i="3"/>
  <c r="AI252" i="3"/>
  <c r="O260" i="3"/>
  <c r="K260" i="3"/>
  <c r="AI260" i="3"/>
  <c r="O268" i="3"/>
  <c r="K268" i="3"/>
  <c r="AI268" i="3"/>
  <c r="AJ384" i="3"/>
  <c r="AH384" i="3"/>
  <c r="AJ470" i="3"/>
  <c r="AH470" i="3"/>
  <c r="AJ349" i="3"/>
  <c r="AH349" i="3"/>
  <c r="O654" i="3"/>
  <c r="K654" i="3"/>
  <c r="AI654" i="3"/>
  <c r="AJ506" i="3"/>
  <c r="AH506" i="3"/>
  <c r="AJ416" i="3"/>
  <c r="AH416" i="3"/>
  <c r="AI491" i="3"/>
  <c r="O491" i="3"/>
  <c r="K491" i="3"/>
  <c r="AN31" i="1"/>
  <c r="O562" i="3"/>
  <c r="K562" i="3"/>
  <c r="AI562" i="3"/>
  <c r="O478" i="3"/>
  <c r="K478" i="3"/>
  <c r="AI478" i="3"/>
  <c r="AJ486" i="3"/>
  <c r="AH486" i="3"/>
  <c r="O502" i="3"/>
  <c r="K502" i="3"/>
  <c r="AI502" i="3"/>
  <c r="O377" i="3"/>
  <c r="AI377" i="3"/>
  <c r="K377" i="3"/>
  <c r="K425" i="3"/>
  <c r="AI425" i="3"/>
  <c r="O425" i="3"/>
  <c r="K457" i="3"/>
  <c r="AI457" i="3"/>
  <c r="O457" i="3"/>
  <c r="AJ638" i="3"/>
  <c r="AH638" i="3"/>
  <c r="AJ588" i="3"/>
  <c r="AH588" i="3"/>
  <c r="AJ604" i="3"/>
  <c r="AH604" i="3"/>
  <c r="AJ579" i="3"/>
  <c r="AH579" i="3"/>
  <c r="AJ618" i="3"/>
  <c r="AH618" i="3"/>
  <c r="AJ650" i="3"/>
  <c r="AH650" i="3"/>
  <c r="AI667" i="3"/>
  <c r="K667" i="3"/>
  <c r="O667" i="3"/>
  <c r="AH644" i="3"/>
  <c r="B53" i="7"/>
  <c r="AJ440" i="3"/>
  <c r="AH440" i="3"/>
  <c r="AJ475" i="3"/>
  <c r="AH475" i="3"/>
  <c r="K369" i="3"/>
  <c r="AI369" i="3"/>
  <c r="O369" i="3"/>
  <c r="AJ465" i="3"/>
  <c r="AH465" i="3"/>
  <c r="AJ596" i="3"/>
  <c r="AH596" i="3"/>
  <c r="AJ625" i="3"/>
  <c r="AH625" i="3"/>
  <c r="AJ380" i="3"/>
  <c r="AH380" i="3"/>
  <c r="O436" i="3"/>
  <c r="K436" i="3"/>
  <c r="AI436" i="3"/>
  <c r="AJ547" i="3"/>
  <c r="AH547" i="3"/>
  <c r="AI563" i="3"/>
  <c r="O563" i="3"/>
  <c r="K563" i="3"/>
  <c r="O574" i="3"/>
  <c r="K574" i="3"/>
  <c r="AI574" i="3"/>
  <c r="AJ461" i="3"/>
  <c r="AH461" i="3"/>
  <c r="AJ621" i="3"/>
  <c r="AH621" i="3"/>
  <c r="AJ653" i="3"/>
  <c r="AH653" i="3"/>
  <c r="O646" i="3"/>
  <c r="K646" i="3"/>
  <c r="AI646" i="3"/>
  <c r="AH501" i="3"/>
  <c r="Y13" i="2"/>
  <c r="AY9" i="5"/>
  <c r="AS9" i="5" s="1"/>
  <c r="F19" i="5"/>
  <c r="AT19" i="5" s="1"/>
  <c r="AI20" i="1"/>
  <c r="AQ36" i="1"/>
  <c r="W23" i="5"/>
  <c r="AJ13" i="3"/>
  <c r="AH13" i="3"/>
  <c r="AJ115" i="3"/>
  <c r="AH115" i="3"/>
  <c r="AH253" i="3"/>
  <c r="O48" i="3"/>
  <c r="K48" i="3"/>
  <c r="AU37" i="1" s="1"/>
  <c r="AI48" i="3"/>
  <c r="AJ104" i="3"/>
  <c r="AH104" i="3"/>
  <c r="AH185" i="3"/>
  <c r="AH537" i="3"/>
  <c r="AH320" i="3"/>
  <c r="AH347" i="3"/>
  <c r="AH645" i="3"/>
  <c r="AH374" i="3"/>
  <c r="B50" i="7"/>
  <c r="AH241" i="3"/>
  <c r="AQ30" i="1"/>
  <c r="W17" i="5"/>
  <c r="O123" i="3"/>
  <c r="K123" i="3"/>
  <c r="AU30" i="1" s="1"/>
  <c r="AI123" i="3"/>
  <c r="O131" i="3"/>
  <c r="K131" i="3"/>
  <c r="AU39" i="1" s="1"/>
  <c r="AV39" i="1" s="1"/>
  <c r="AI131" i="3"/>
  <c r="AJ135" i="3"/>
  <c r="AH135" i="3"/>
  <c r="O175" i="3"/>
  <c r="K175" i="3"/>
  <c r="AI175" i="3"/>
  <c r="AH201" i="3"/>
  <c r="O255" i="3"/>
  <c r="K255" i="3"/>
  <c r="AI255" i="3"/>
  <c r="AJ267" i="3"/>
  <c r="AH267" i="3"/>
  <c r="AH246" i="3"/>
  <c r="AI299" i="3"/>
  <c r="K299" i="3"/>
  <c r="O299" i="3"/>
  <c r="O371" i="3"/>
  <c r="K371" i="3"/>
  <c r="AI371" i="3"/>
  <c r="AJ423" i="3"/>
  <c r="AH477" i="3"/>
  <c r="AH450" i="3"/>
  <c r="B44" i="7"/>
  <c r="AH423" i="3"/>
  <c r="AH504" i="3"/>
  <c r="AY20" i="5"/>
  <c r="AJ432" i="3"/>
  <c r="AH432" i="3"/>
  <c r="AJ345" i="3"/>
  <c r="AH345" i="3"/>
  <c r="AH459" i="3"/>
  <c r="O411" i="3"/>
  <c r="K411" i="3"/>
  <c r="AI411" i="3"/>
  <c r="AJ447" i="3"/>
  <c r="AH447" i="3"/>
  <c r="O452" i="3"/>
  <c r="K452" i="3"/>
  <c r="AI452" i="3"/>
  <c r="AJ530" i="3"/>
  <c r="AH530" i="3"/>
  <c r="O542" i="3"/>
  <c r="K542" i="3"/>
  <c r="AI542" i="3"/>
  <c r="AJ558" i="3"/>
  <c r="AH558" i="3"/>
  <c r="O569" i="3"/>
  <c r="K569" i="3"/>
  <c r="AI569" i="3"/>
  <c r="AJ527" i="3"/>
  <c r="AH527" i="3"/>
  <c r="AI551" i="3"/>
  <c r="O551" i="3"/>
  <c r="K551" i="3"/>
  <c r="AI637" i="3"/>
  <c r="K637" i="3"/>
  <c r="O637" i="3"/>
  <c r="K389" i="3"/>
  <c r="O389" i="3"/>
  <c r="AI389" i="3"/>
  <c r="AJ421" i="3"/>
  <c r="AH421" i="3"/>
  <c r="O437" i="3"/>
  <c r="AI437" i="3"/>
  <c r="K437" i="3"/>
  <c r="AJ600" i="3"/>
  <c r="AH600" i="3"/>
  <c r="AI669" i="3"/>
  <c r="K669" i="3"/>
  <c r="O669" i="3"/>
  <c r="AI575" i="3"/>
  <c r="O575" i="3"/>
  <c r="K575" i="3"/>
  <c r="AI631" i="3"/>
  <c r="K631" i="3"/>
  <c r="O631" i="3"/>
  <c r="AJ672" i="3"/>
  <c r="AH672" i="3"/>
  <c r="AJ474" i="3"/>
  <c r="AH474" i="3"/>
  <c r="K449" i="3"/>
  <c r="AI449" i="3"/>
  <c r="O449" i="3"/>
  <c r="O673" i="3"/>
  <c r="K673" i="3"/>
  <c r="AI673" i="3"/>
  <c r="AJ615" i="3"/>
  <c r="AH615" i="3"/>
  <c r="AJ635" i="3"/>
  <c r="AH635" i="3"/>
  <c r="AI25" i="1"/>
  <c r="AH485" i="3"/>
  <c r="O17" i="3"/>
  <c r="K17" i="3"/>
  <c r="AI17" i="3"/>
  <c r="T19" i="5"/>
  <c r="Z19" i="5" s="1"/>
  <c r="I43" i="7"/>
  <c r="C19" i="5"/>
  <c r="AJ14" i="3"/>
  <c r="AH41" i="3"/>
  <c r="AH311" i="3"/>
  <c r="AH122" i="3"/>
  <c r="AH14" i="3"/>
  <c r="AH257" i="3"/>
  <c r="AH446" i="3"/>
  <c r="AH338" i="3"/>
  <c r="AH500" i="3"/>
  <c r="AH149" i="3"/>
  <c r="AH473" i="3"/>
  <c r="B40" i="7"/>
  <c r="AY16" i="5"/>
  <c r="AJ22" i="3"/>
  <c r="AH22" i="3"/>
  <c r="AH536" i="3"/>
  <c r="AH238" i="3"/>
  <c r="AH346" i="3"/>
  <c r="B49" i="7"/>
  <c r="AH319" i="3"/>
  <c r="AH265" i="3"/>
  <c r="AH130" i="3"/>
  <c r="AH157" i="3"/>
  <c r="AY25" i="5"/>
  <c r="AJ60" i="3"/>
  <c r="AH60" i="3"/>
  <c r="AJ273" i="3"/>
  <c r="AH273" i="3"/>
  <c r="AJ344" i="3"/>
  <c r="AH344" i="3"/>
  <c r="AJ463" i="3"/>
  <c r="AH463" i="3"/>
  <c r="AJ337" i="3"/>
  <c r="AH337" i="3"/>
  <c r="AJ444" i="3"/>
  <c r="AH444" i="3"/>
  <c r="AJ514" i="3"/>
  <c r="AH514" i="3"/>
  <c r="AI515" i="3"/>
  <c r="O515" i="3"/>
  <c r="K515" i="3"/>
  <c r="K381" i="3"/>
  <c r="AI381" i="3"/>
  <c r="O381" i="3"/>
  <c r="O445" i="3"/>
  <c r="K445" i="3"/>
  <c r="AI445" i="3"/>
  <c r="AI608" i="3"/>
  <c r="K608" i="3"/>
  <c r="O608" i="3"/>
  <c r="AK37" i="1"/>
  <c r="AH493" i="3"/>
  <c r="K25" i="3"/>
  <c r="AI25" i="3"/>
  <c r="O25" i="3"/>
  <c r="I52" i="7"/>
  <c r="C28" i="5"/>
  <c r="T28" i="5"/>
  <c r="Z28" i="5" s="1"/>
  <c r="AI4" i="3"/>
  <c r="O4" i="3"/>
  <c r="K4" i="3"/>
  <c r="J51" i="1" s="1"/>
  <c r="I30" i="7"/>
  <c r="T6" i="5"/>
  <c r="Z6" i="5" s="1"/>
  <c r="C6" i="5"/>
  <c r="AK38" i="1"/>
  <c r="AJ43" i="3"/>
  <c r="AH43" i="3"/>
  <c r="AJ211" i="3"/>
  <c r="AH211" i="3"/>
  <c r="O72" i="3"/>
  <c r="K72" i="3"/>
  <c r="AI72" i="3"/>
  <c r="O107" i="3"/>
  <c r="K107" i="3"/>
  <c r="AI107" i="3"/>
  <c r="AJ10" i="3"/>
  <c r="AH118" i="3"/>
  <c r="AH496" i="3"/>
  <c r="AH442" i="3"/>
  <c r="AH10" i="3"/>
  <c r="AH307" i="3"/>
  <c r="AY12" i="5"/>
  <c r="AH334" i="3"/>
  <c r="B36" i="7"/>
  <c r="O151" i="3"/>
  <c r="K151" i="3"/>
  <c r="AI151" i="3"/>
  <c r="AJ203" i="3"/>
  <c r="AH203" i="3"/>
  <c r="O235" i="3"/>
  <c r="K235" i="3"/>
  <c r="AI235" i="3"/>
  <c r="O251" i="3"/>
  <c r="K251" i="3"/>
  <c r="AI251" i="3"/>
  <c r="AJ100" i="3"/>
  <c r="AH100" i="3"/>
  <c r="AH668" i="3"/>
  <c r="B46" i="7"/>
  <c r="AY22" i="5"/>
  <c r="AH533" i="3"/>
  <c r="AH262" i="3"/>
  <c r="O207" i="3"/>
  <c r="K207" i="3"/>
  <c r="AI207" i="3"/>
  <c r="AH226" i="3"/>
  <c r="AI279" i="3"/>
  <c r="O279" i="3"/>
  <c r="K279" i="3"/>
  <c r="AJ287" i="3"/>
  <c r="AH287" i="3"/>
  <c r="AH297" i="3"/>
  <c r="AJ297" i="3"/>
  <c r="AJ321" i="3"/>
  <c r="AH321" i="3"/>
  <c r="O276" i="3"/>
  <c r="K276" i="3"/>
  <c r="AI276" i="3"/>
  <c r="O368" i="3"/>
  <c r="K368" i="3"/>
  <c r="AI368" i="3"/>
  <c r="AI479" i="3"/>
  <c r="K479" i="3"/>
  <c r="O479" i="3"/>
  <c r="AI523" i="3"/>
  <c r="K523" i="3"/>
  <c r="O523" i="3"/>
  <c r="O356" i="3"/>
  <c r="K356" i="3"/>
  <c r="AI356" i="3"/>
  <c r="O364" i="3"/>
  <c r="K364" i="3"/>
  <c r="AI364" i="3"/>
  <c r="O341" i="3"/>
  <c r="AI341" i="3"/>
  <c r="K341" i="3"/>
  <c r="AJ448" i="3"/>
  <c r="AH448" i="3"/>
  <c r="AH517" i="3"/>
  <c r="AJ392" i="3"/>
  <c r="AH392" i="3"/>
  <c r="AI471" i="3"/>
  <c r="O471" i="3"/>
  <c r="K471" i="3"/>
  <c r="AJ408" i="3"/>
  <c r="AH408" i="3"/>
  <c r="AJ417" i="3"/>
  <c r="AH417" i="3"/>
  <c r="K433" i="3"/>
  <c r="O433" i="3"/>
  <c r="AI433" i="3"/>
  <c r="AI651" i="3"/>
  <c r="K651" i="3"/>
  <c r="O651" i="3"/>
  <c r="O227" i="3"/>
  <c r="K227" i="3"/>
  <c r="AI227" i="3"/>
  <c r="AJ64" i="3"/>
  <c r="AH64" i="3"/>
  <c r="AJ167" i="3"/>
  <c r="AH167" i="3"/>
  <c r="O215" i="3"/>
  <c r="K215" i="3"/>
  <c r="AI215" i="3"/>
  <c r="AJ312" i="3"/>
  <c r="AH312" i="3"/>
  <c r="AJ424" i="3"/>
  <c r="AH424" i="3"/>
  <c r="O404" i="3"/>
  <c r="K404" i="3"/>
  <c r="AI404" i="3"/>
  <c r="K357" i="3"/>
  <c r="O357" i="3"/>
  <c r="AI357" i="3"/>
  <c r="AI539" i="3"/>
  <c r="K539" i="3"/>
  <c r="O539" i="3"/>
  <c r="AJ550" i="3"/>
  <c r="AH550" i="3"/>
  <c r="O522" i="3"/>
  <c r="K522" i="3"/>
  <c r="AI522" i="3"/>
  <c r="AI580" i="3"/>
  <c r="K580" i="3"/>
  <c r="O580" i="3"/>
  <c r="AJ413" i="3"/>
  <c r="AH413" i="3"/>
  <c r="AJ592" i="3"/>
  <c r="AH592" i="3"/>
  <c r="AQ20" i="1"/>
  <c r="AI434" i="3"/>
  <c r="K434" i="3"/>
  <c r="O434" i="3"/>
  <c r="W18" i="5"/>
  <c r="AQ29" i="1"/>
  <c r="C22" i="5"/>
  <c r="BN35" i="1" s="1"/>
  <c r="W20" i="5"/>
  <c r="I50" i="7"/>
  <c r="AC17" i="1" l="1"/>
  <c r="AC21" i="1" s="1"/>
  <c r="AD17" i="1" s="1"/>
  <c r="AC30" i="1"/>
  <c r="AC32" i="1" s="1"/>
  <c r="B51" i="1"/>
  <c r="AX39" i="1"/>
  <c r="AW39" i="1"/>
  <c r="AY39" i="1"/>
  <c r="AD18" i="1"/>
  <c r="F28" i="1" s="1"/>
  <c r="D53" i="7"/>
  <c r="AG29" i="5"/>
  <c r="AH29" i="5" s="1"/>
  <c r="AE29" i="5"/>
  <c r="AF29" i="5" s="1"/>
  <c r="D54" i="7"/>
  <c r="AE30" i="5"/>
  <c r="AF30" i="5" s="1"/>
  <c r="AG30" i="5"/>
  <c r="AH30" i="5" s="1"/>
  <c r="AX22" i="1"/>
  <c r="AW22" i="1"/>
  <c r="AY22" i="1"/>
  <c r="D29" i="7"/>
  <c r="AG5" i="5"/>
  <c r="AH5" i="5" s="1"/>
  <c r="AE5" i="5"/>
  <c r="AF5" i="5" s="1"/>
  <c r="AL20" i="5"/>
  <c r="BN33" i="1"/>
  <c r="CA33" i="1"/>
  <c r="BZ33" i="1" s="1"/>
  <c r="AL23" i="5"/>
  <c r="CA36" i="1"/>
  <c r="BZ36" i="1" s="1"/>
  <c r="BN36" i="1"/>
  <c r="BP34" i="1"/>
  <c r="F21" i="5"/>
  <c r="AT21" i="5" s="1"/>
  <c r="J46" i="7"/>
  <c r="J36" i="7"/>
  <c r="AU12" i="5"/>
  <c r="W36" i="7"/>
  <c r="R36" i="7" s="1"/>
  <c r="T36" i="7" s="1"/>
  <c r="AQ6" i="5"/>
  <c r="AD6" i="5"/>
  <c r="D30" i="7" s="1"/>
  <c r="AG6" i="5"/>
  <c r="AH6" i="5" s="1"/>
  <c r="AJ6" i="5" s="1"/>
  <c r="BQ19" i="1"/>
  <c r="C30" i="7"/>
  <c r="J40" i="7"/>
  <c r="C43" i="7"/>
  <c r="AQ19" i="5"/>
  <c r="AG19" i="5"/>
  <c r="AH19" i="5" s="1"/>
  <c r="M19" i="5"/>
  <c r="G19" i="5"/>
  <c r="AD19" i="5"/>
  <c r="D43" i="7" s="1"/>
  <c r="BQ32" i="1"/>
  <c r="AU32" i="1"/>
  <c r="J44" i="7"/>
  <c r="AU13" i="5"/>
  <c r="W37" i="7"/>
  <c r="W47" i="7"/>
  <c r="AU23" i="5"/>
  <c r="F5" i="5"/>
  <c r="W33" i="7"/>
  <c r="AU9" i="5"/>
  <c r="BP23" i="1"/>
  <c r="F10" i="5"/>
  <c r="AT10" i="5" s="1"/>
  <c r="BP36" i="1"/>
  <c r="F23" i="5"/>
  <c r="AT23" i="5" s="1"/>
  <c r="J30" i="7"/>
  <c r="J1" i="5"/>
  <c r="J3" i="5" s="1"/>
  <c r="BP25" i="1"/>
  <c r="F12" i="5"/>
  <c r="AT12" i="5" s="1"/>
  <c r="BP40" i="1"/>
  <c r="F27" i="5"/>
  <c r="AT27" i="5" s="1"/>
  <c r="BP26" i="1"/>
  <c r="F13" i="5"/>
  <c r="AT13" i="5" s="1"/>
  <c r="BP35" i="1"/>
  <c r="BS35" i="1" s="1"/>
  <c r="F22" i="5"/>
  <c r="AT22" i="5" s="1"/>
  <c r="AL27" i="5"/>
  <c r="CA40" i="1"/>
  <c r="BZ40" i="1" s="1"/>
  <c r="BN40" i="1"/>
  <c r="AQ21" i="5"/>
  <c r="AD21" i="5"/>
  <c r="D45" i="7" s="1"/>
  <c r="G21" i="5"/>
  <c r="BQ34" i="1"/>
  <c r="C45" i="7"/>
  <c r="AD18" i="5"/>
  <c r="D42" i="7" s="1"/>
  <c r="AQ18" i="5"/>
  <c r="AE18" i="5"/>
  <c r="AF18" i="5" s="1"/>
  <c r="BQ31" i="1"/>
  <c r="C42" i="7"/>
  <c r="AU31" i="1"/>
  <c r="J29" i="7"/>
  <c r="R29" i="7"/>
  <c r="T29" i="7" s="1"/>
  <c r="W29" i="7"/>
  <c r="AU5" i="5"/>
  <c r="J41" i="7"/>
  <c r="C28" i="7"/>
  <c r="AO13" i="5"/>
  <c r="AP13" i="5" s="1"/>
  <c r="AO11" i="5"/>
  <c r="AP11" i="5" s="1"/>
  <c r="AO9" i="5"/>
  <c r="AP9" i="5" s="1"/>
  <c r="AO7" i="5"/>
  <c r="AP7" i="5" s="1"/>
  <c r="AO14" i="5"/>
  <c r="AP14" i="5" s="1"/>
  <c r="AO12" i="5"/>
  <c r="AP12" i="5" s="1"/>
  <c r="AO10" i="5"/>
  <c r="AP10" i="5" s="1"/>
  <c r="AO8" i="5"/>
  <c r="AP8" i="5" s="1"/>
  <c r="AO6" i="5"/>
  <c r="AP6" i="5" s="1"/>
  <c r="AO4" i="5"/>
  <c r="AP4" i="5" s="1"/>
  <c r="AO5" i="5"/>
  <c r="AP5" i="5" s="1"/>
  <c r="AQ4" i="5"/>
  <c r="AD4" i="5"/>
  <c r="D28" i="7" s="1"/>
  <c r="BQ17" i="1"/>
  <c r="J48" i="7"/>
  <c r="J35" i="7"/>
  <c r="F30" i="5"/>
  <c r="AQ9" i="5"/>
  <c r="S33" i="7"/>
  <c r="H33" i="7"/>
  <c r="AU18" i="5"/>
  <c r="W42" i="7"/>
  <c r="AL14" i="5"/>
  <c r="BN27" i="1"/>
  <c r="CA27" i="1"/>
  <c r="BZ27" i="1" s="1"/>
  <c r="AN18" i="1"/>
  <c r="AL29" i="5"/>
  <c r="CA42" i="1"/>
  <c r="BZ42" i="1" s="1"/>
  <c r="BN42" i="1"/>
  <c r="AL21" i="5"/>
  <c r="CA34" i="1"/>
  <c r="BZ34" i="1" s="1"/>
  <c r="BN34" i="1"/>
  <c r="C48" i="7"/>
  <c r="AQ24" i="5"/>
  <c r="AD24" i="5"/>
  <c r="D48" i="7" s="1"/>
  <c r="AG24" i="5"/>
  <c r="AH24" i="5" s="1"/>
  <c r="AJ24" i="5" s="1"/>
  <c r="BQ37" i="1"/>
  <c r="AQ11" i="5"/>
  <c r="AD11" i="5"/>
  <c r="D35" i="7" s="1"/>
  <c r="BQ24" i="1"/>
  <c r="C35" i="7"/>
  <c r="C36" i="7"/>
  <c r="AQ12" i="5"/>
  <c r="AE12" i="5"/>
  <c r="AF12" i="5" s="1"/>
  <c r="AD12" i="5"/>
  <c r="D36" i="7" s="1"/>
  <c r="G12" i="5"/>
  <c r="BQ25" i="1"/>
  <c r="AL24" i="5"/>
  <c r="CA37" i="1"/>
  <c r="BZ37" i="1" s="1"/>
  <c r="BN37" i="1"/>
  <c r="AL11" i="5"/>
  <c r="CA24" i="1"/>
  <c r="BZ24" i="1" s="1"/>
  <c r="BN24" i="1"/>
  <c r="J52" i="7"/>
  <c r="AU28" i="5"/>
  <c r="W52" i="7"/>
  <c r="AO30" i="5"/>
  <c r="AP30" i="5" s="1"/>
  <c r="AO28" i="5"/>
  <c r="AP28" i="5" s="1"/>
  <c r="AO26" i="5"/>
  <c r="AP26" i="5" s="1"/>
  <c r="AO24" i="5"/>
  <c r="AP24" i="5" s="1"/>
  <c r="AO22" i="5"/>
  <c r="AP22" i="5" s="1"/>
  <c r="AO20" i="5"/>
  <c r="AP20" i="5" s="1"/>
  <c r="AO18" i="5"/>
  <c r="AP18" i="5" s="1"/>
  <c r="AO29" i="5"/>
  <c r="AP29" i="5" s="1"/>
  <c r="AO27" i="5"/>
  <c r="AP27" i="5" s="1"/>
  <c r="AO23" i="5"/>
  <c r="AP23" i="5" s="1"/>
  <c r="AO19" i="5"/>
  <c r="AP19" i="5" s="1"/>
  <c r="AO25" i="5"/>
  <c r="AP25" i="5" s="1"/>
  <c r="AO21" i="5"/>
  <c r="AP21" i="5" s="1"/>
  <c r="AO17" i="5"/>
  <c r="AP17" i="5" s="1"/>
  <c r="AO16" i="5"/>
  <c r="AP16" i="5" s="1"/>
  <c r="AE16" i="5"/>
  <c r="AF16" i="5" s="1"/>
  <c r="AQ16" i="5"/>
  <c r="AD16" i="5"/>
  <c r="D40" i="7" s="1"/>
  <c r="BQ29" i="1"/>
  <c r="C40" i="7"/>
  <c r="J43" i="7"/>
  <c r="W43" i="7"/>
  <c r="AU19" i="5"/>
  <c r="J38" i="7"/>
  <c r="J31" i="7"/>
  <c r="C47" i="7"/>
  <c r="AQ23" i="5"/>
  <c r="AD23" i="5"/>
  <c r="D47" i="7" s="1"/>
  <c r="G23" i="5"/>
  <c r="AE23" i="5"/>
  <c r="AF23" i="5" s="1"/>
  <c r="BQ36" i="1"/>
  <c r="AQ5" i="5"/>
  <c r="BT18" i="1"/>
  <c r="BX18" i="1" s="1"/>
  <c r="BS18" i="1"/>
  <c r="BR18" i="1"/>
  <c r="R53" i="7"/>
  <c r="T53" i="7" s="1"/>
  <c r="J53" i="7"/>
  <c r="AE7" i="5"/>
  <c r="AF7" i="5" s="1"/>
  <c r="AQ7" i="5"/>
  <c r="AD7" i="5"/>
  <c r="D31" i="7" s="1"/>
  <c r="BQ20" i="1"/>
  <c r="C31" i="7"/>
  <c r="BP41" i="1"/>
  <c r="F28" i="5"/>
  <c r="AT28" i="5" s="1"/>
  <c r="BP27" i="1"/>
  <c r="F14" i="5"/>
  <c r="AT14" i="5" s="1"/>
  <c r="BP31" i="1"/>
  <c r="F18" i="5"/>
  <c r="AT18" i="5" s="1"/>
  <c r="AV24" i="5"/>
  <c r="AV19" i="5"/>
  <c r="AV5" i="5"/>
  <c r="AV13" i="5"/>
  <c r="AV29" i="5"/>
  <c r="AV17" i="5"/>
  <c r="AV20" i="5"/>
  <c r="AV4" i="5"/>
  <c r="AV22" i="5"/>
  <c r="AV27" i="5"/>
  <c r="AV21" i="5"/>
  <c r="AV26" i="5"/>
  <c r="AV7" i="5"/>
  <c r="AV30" i="5"/>
  <c r="AV23" i="5"/>
  <c r="AV14" i="5"/>
  <c r="AV9" i="5"/>
  <c r="AV6" i="5"/>
  <c r="AV11" i="5"/>
  <c r="AV8" i="5"/>
  <c r="AV25" i="5"/>
  <c r="AV12" i="5"/>
  <c r="AV16" i="5"/>
  <c r="AV28" i="5"/>
  <c r="AV10" i="5"/>
  <c r="AV18" i="5"/>
  <c r="BP20" i="1"/>
  <c r="F7" i="5"/>
  <c r="AT7" i="5" s="1"/>
  <c r="BP19" i="1"/>
  <c r="F6" i="5"/>
  <c r="AT6" i="5" s="1"/>
  <c r="BP24" i="1"/>
  <c r="F11" i="5"/>
  <c r="AT11" i="5" s="1"/>
  <c r="BP29" i="1"/>
  <c r="F16" i="5"/>
  <c r="AT16" i="5" s="1"/>
  <c r="W53" i="7"/>
  <c r="AN29" i="1"/>
  <c r="T5" i="3"/>
  <c r="W30" i="5"/>
  <c r="I55" i="7"/>
  <c r="F51" i="1"/>
  <c r="N9" i="5"/>
  <c r="H9" i="5"/>
  <c r="I9" i="5"/>
  <c r="J9" i="5" s="1"/>
  <c r="K9" i="5" s="1"/>
  <c r="L9" i="5" s="1"/>
  <c r="O9" i="5" s="1"/>
  <c r="P9" i="5" s="1"/>
  <c r="R9" i="5" s="1"/>
  <c r="AL28" i="5"/>
  <c r="CA41" i="1"/>
  <c r="BZ41" i="1" s="1"/>
  <c r="BN41" i="1"/>
  <c r="AU21" i="1"/>
  <c r="J45" i="7"/>
  <c r="U10" i="3"/>
  <c r="AD10" i="3"/>
  <c r="AD9" i="3"/>
  <c r="C51" i="7"/>
  <c r="AQ27" i="5"/>
  <c r="AD27" i="5"/>
  <c r="D51" i="7" s="1"/>
  <c r="M27" i="5"/>
  <c r="G27" i="5"/>
  <c r="BQ40" i="1"/>
  <c r="AL10" i="5"/>
  <c r="BN23" i="1"/>
  <c r="CA23" i="1"/>
  <c r="BZ23" i="1" s="1"/>
  <c r="AD17" i="5"/>
  <c r="D41" i="7" s="1"/>
  <c r="AQ17" i="5"/>
  <c r="BQ30" i="1"/>
  <c r="C41" i="7"/>
  <c r="AQ25" i="5"/>
  <c r="AG25" i="5"/>
  <c r="AH25" i="5" s="1"/>
  <c r="AJ25" i="5" s="1"/>
  <c r="AE25" i="5"/>
  <c r="AF25" i="5" s="1"/>
  <c r="AD25" i="5"/>
  <c r="D49" i="7" s="1"/>
  <c r="BQ38" i="1"/>
  <c r="C49" i="7"/>
  <c r="AU29" i="1"/>
  <c r="AB20" i="5"/>
  <c r="AC20" i="5"/>
  <c r="AU33" i="1"/>
  <c r="AV33" i="1" s="1"/>
  <c r="AU27" i="5"/>
  <c r="W51" i="7"/>
  <c r="W54" i="7"/>
  <c r="AU30" i="5"/>
  <c r="W41" i="7"/>
  <c r="AU17" i="5"/>
  <c r="AQ10" i="5"/>
  <c r="AD10" i="5"/>
  <c r="D34" i="7" s="1"/>
  <c r="G10" i="5"/>
  <c r="BQ23" i="1"/>
  <c r="C34" i="7"/>
  <c r="H29" i="7"/>
  <c r="BN20" i="1"/>
  <c r="H54" i="7"/>
  <c r="AL18" i="5"/>
  <c r="BN31" i="1"/>
  <c r="CA31" i="1"/>
  <c r="BZ31" i="1" s="1"/>
  <c r="J49" i="7"/>
  <c r="AU25" i="5"/>
  <c r="W49" i="7"/>
  <c r="AL17" i="5"/>
  <c r="CA30" i="1"/>
  <c r="BZ30" i="1" s="1"/>
  <c r="BN30" i="1"/>
  <c r="W50" i="7"/>
  <c r="AU26" i="5"/>
  <c r="B55" i="7"/>
  <c r="J28" i="7"/>
  <c r="BP39" i="1"/>
  <c r="F26" i="5"/>
  <c r="AT26" i="5" s="1"/>
  <c r="BP42" i="1"/>
  <c r="F29" i="5"/>
  <c r="BP21" i="1"/>
  <c r="BT21" i="1" s="1"/>
  <c r="BX21" i="1" s="1"/>
  <c r="F8" i="5"/>
  <c r="AT8" i="5" s="1"/>
  <c r="B14" i="7"/>
  <c r="D14" i="7" s="1"/>
  <c r="E4" i="5"/>
  <c r="BP33" i="1"/>
  <c r="F20" i="5"/>
  <c r="AT20" i="5" s="1"/>
  <c r="AU6" i="5"/>
  <c r="W30" i="7"/>
  <c r="R32" i="7"/>
  <c r="T32" i="7" s="1"/>
  <c r="J32" i="7"/>
  <c r="AL4" i="5"/>
  <c r="CA17" i="1"/>
  <c r="BZ17" i="1" s="1"/>
  <c r="BN17" i="1"/>
  <c r="AL13" i="5"/>
  <c r="CA26" i="1"/>
  <c r="BZ26" i="1" s="1"/>
  <c r="BN26" i="1"/>
  <c r="C32" i="7"/>
  <c r="AQ8" i="5"/>
  <c r="AS8" i="5"/>
  <c r="M8" i="5"/>
  <c r="AD8" i="5"/>
  <c r="D32" i="7" s="1"/>
  <c r="G8" i="5"/>
  <c r="BQ21" i="1"/>
  <c r="BR21" i="1" s="1"/>
  <c r="C37" i="7"/>
  <c r="AQ13" i="5"/>
  <c r="AD13" i="5"/>
  <c r="D37" i="7" s="1"/>
  <c r="G13" i="5"/>
  <c r="BQ26" i="1"/>
  <c r="AU21" i="5"/>
  <c r="W45" i="7"/>
  <c r="R45" i="7" s="1"/>
  <c r="T45" i="7" s="1"/>
  <c r="J42" i="7"/>
  <c r="R42" i="7"/>
  <c r="T42" i="7" s="1"/>
  <c r="AU18" i="1"/>
  <c r="AQ14" i="5"/>
  <c r="AE14" i="5"/>
  <c r="AF14" i="5" s="1"/>
  <c r="AD14" i="5"/>
  <c r="D38" i="7" s="1"/>
  <c r="G14" i="5"/>
  <c r="BQ27" i="1"/>
  <c r="C38" i="7"/>
  <c r="AK28" i="1"/>
  <c r="N51" i="1" s="1"/>
  <c r="R51" i="1" s="1"/>
  <c r="AK9" i="5"/>
  <c r="X9" i="5"/>
  <c r="AL9" i="5"/>
  <c r="CA22" i="1"/>
  <c r="BZ22" i="1" s="1"/>
  <c r="BN22" i="1"/>
  <c r="CT22" i="1"/>
  <c r="AU38" i="1"/>
  <c r="AL16" i="5"/>
  <c r="CA29" i="1"/>
  <c r="BZ29" i="1" s="1"/>
  <c r="BN29" i="1"/>
  <c r="C44" i="7"/>
  <c r="AS20" i="5"/>
  <c r="AI20" i="5"/>
  <c r="AE20" i="5"/>
  <c r="AF20" i="5" s="1"/>
  <c r="AQ20" i="5"/>
  <c r="CT33" i="1" s="1"/>
  <c r="AJ20" i="5"/>
  <c r="AK20" i="5" s="1"/>
  <c r="AD20" i="5"/>
  <c r="D44" i="7" s="1"/>
  <c r="M20" i="5"/>
  <c r="AG20" i="5"/>
  <c r="AH20" i="5"/>
  <c r="G20" i="5"/>
  <c r="BQ33" i="1"/>
  <c r="AU14" i="5"/>
  <c r="W38" i="7"/>
  <c r="R38" i="7" s="1"/>
  <c r="T38" i="7" s="1"/>
  <c r="J54" i="7"/>
  <c r="AU7" i="5"/>
  <c r="W31" i="7"/>
  <c r="H53" i="7"/>
  <c r="AQ29" i="5"/>
  <c r="AQ30" i="5"/>
  <c r="S50" i="7"/>
  <c r="H50" i="7"/>
  <c r="N26" i="5"/>
  <c r="I26" i="5"/>
  <c r="J26" i="5" s="1"/>
  <c r="K26" i="5" s="1"/>
  <c r="L26" i="5" s="1"/>
  <c r="O26" i="5" s="1"/>
  <c r="P26" i="5" s="1"/>
  <c r="R26" i="5" s="1"/>
  <c r="H26" i="5"/>
  <c r="G22" i="5"/>
  <c r="AQ22" i="5"/>
  <c r="AD22" i="5"/>
  <c r="D46" i="7" s="1"/>
  <c r="BQ35" i="1"/>
  <c r="BR35" i="1" s="1"/>
  <c r="C46" i="7"/>
  <c r="R50" i="7"/>
  <c r="T50" i="7" s="1"/>
  <c r="J50" i="7"/>
  <c r="W46" i="7"/>
  <c r="AU22" i="5"/>
  <c r="AE28" i="5"/>
  <c r="AF28" i="5" s="1"/>
  <c r="AQ28" i="5"/>
  <c r="AD28" i="5"/>
  <c r="D52" i="7" s="1"/>
  <c r="M28" i="5"/>
  <c r="G28" i="5"/>
  <c r="BQ41" i="1"/>
  <c r="C52" i="7"/>
  <c r="AU41" i="1"/>
  <c r="AU16" i="5"/>
  <c r="W40" i="7"/>
  <c r="W44" i="7"/>
  <c r="AU20" i="5"/>
  <c r="R37" i="7"/>
  <c r="T37" i="7" s="1"/>
  <c r="J37" i="7"/>
  <c r="AU20" i="1"/>
  <c r="AU4" i="5"/>
  <c r="W28" i="7"/>
  <c r="R47" i="7"/>
  <c r="T47" i="7" s="1"/>
  <c r="J47" i="7"/>
  <c r="R34" i="7"/>
  <c r="T34" i="7" s="1"/>
  <c r="J34" i="7"/>
  <c r="W34" i="7"/>
  <c r="AU10" i="5"/>
  <c r="R33" i="7"/>
  <c r="T33" i="7" s="1"/>
  <c r="J33" i="7"/>
  <c r="BP30" i="1"/>
  <c r="F17" i="5"/>
  <c r="AT17" i="5" s="1"/>
  <c r="BP38" i="1"/>
  <c r="F25" i="5"/>
  <c r="AT25" i="5" s="1"/>
  <c r="BP22" i="1"/>
  <c r="F9" i="5"/>
  <c r="AT9" i="5" s="1"/>
  <c r="BP37" i="1"/>
  <c r="F24" i="5"/>
  <c r="AT24" i="5" s="1"/>
  <c r="W32" i="7"/>
  <c r="AU8" i="5"/>
  <c r="AC9" i="3"/>
  <c r="AQ43" i="1"/>
  <c r="AR27" i="1" s="1"/>
  <c r="T31" i="5"/>
  <c r="B6" i="7" s="1"/>
  <c r="D6" i="7" s="1"/>
  <c r="Z4" i="5"/>
  <c r="AU24" i="5"/>
  <c r="W48" i="7"/>
  <c r="AU11" i="5"/>
  <c r="W35" i="7"/>
  <c r="AL12" i="5"/>
  <c r="BN25" i="1"/>
  <c r="CA25" i="1"/>
  <c r="AU26" i="1"/>
  <c r="X26" i="5"/>
  <c r="AL26" i="5"/>
  <c r="AK26" i="5"/>
  <c r="CA39" i="1"/>
  <c r="BZ39" i="1" s="1"/>
  <c r="BN39" i="1"/>
  <c r="AU27" i="1"/>
  <c r="W6" i="5"/>
  <c r="CJ43" i="1" s="1"/>
  <c r="AQ19" i="1"/>
  <c r="AU19" i="1"/>
  <c r="AC26" i="5"/>
  <c r="AB26" i="5"/>
  <c r="AU25" i="1"/>
  <c r="AL25" i="5"/>
  <c r="CA38" i="1"/>
  <c r="BZ38" i="1" s="1"/>
  <c r="BN38" i="1"/>
  <c r="R51" i="7"/>
  <c r="T51" i="7" s="1"/>
  <c r="J51" i="7"/>
  <c r="AL19" i="5"/>
  <c r="CA32" i="1"/>
  <c r="BZ32" i="1" s="1"/>
  <c r="BN32" i="1"/>
  <c r="DQ9" i="1"/>
  <c r="AQ26" i="5"/>
  <c r="CT39" i="1" s="1"/>
  <c r="AR22" i="1" l="1"/>
  <c r="AV25" i="1"/>
  <c r="AR19" i="1"/>
  <c r="W32" i="1"/>
  <c r="B9" i="1"/>
  <c r="CJ20" i="1"/>
  <c r="CI27" i="1"/>
  <c r="CJ39" i="1"/>
  <c r="CI34" i="1"/>
  <c r="CR19" i="1"/>
  <c r="CJ23" i="1"/>
  <c r="CI40" i="1"/>
  <c r="CR18" i="1"/>
  <c r="CR21" i="1"/>
  <c r="CI30" i="1"/>
  <c r="CJ36" i="1"/>
  <c r="CJ32" i="1"/>
  <c r="AR21" i="1"/>
  <c r="AR41" i="1"/>
  <c r="CR17" i="1"/>
  <c r="CI18" i="1"/>
  <c r="CI25" i="1"/>
  <c r="CJ18" i="1"/>
  <c r="CQ20" i="1"/>
  <c r="CI31" i="1"/>
  <c r="CJ44" i="1"/>
  <c r="CI37" i="1"/>
  <c r="CR20" i="1"/>
  <c r="CI29" i="1"/>
  <c r="CI42" i="1"/>
  <c r="V9" i="1"/>
  <c r="CI24" i="1"/>
  <c r="CI32" i="1"/>
  <c r="CJ38" i="1"/>
  <c r="CI39" i="1"/>
  <c r="AR34" i="1"/>
  <c r="CJ24" i="1"/>
  <c r="CJ30" i="1"/>
  <c r="CJ33" i="1"/>
  <c r="CQ18" i="1"/>
  <c r="CI21" i="1"/>
  <c r="CJ35" i="1"/>
  <c r="CI45" i="1"/>
  <c r="CI44" i="1"/>
  <c r="CQ21" i="1"/>
  <c r="CJ31" i="1"/>
  <c r="CI43" i="1"/>
  <c r="CJ17" i="1"/>
  <c r="CI26" i="1"/>
  <c r="W33" i="1"/>
  <c r="CJ42" i="1"/>
  <c r="AR33" i="1"/>
  <c r="AV40" i="1"/>
  <c r="CV9" i="1"/>
  <c r="CJ28" i="1"/>
  <c r="X9" i="1"/>
  <c r="CI35" i="1"/>
  <c r="CJ19" i="1"/>
  <c r="CJ25" i="1"/>
  <c r="CJ37" i="1"/>
  <c r="CJ46" i="1"/>
  <c r="CI17" i="1"/>
  <c r="CI22" i="1"/>
  <c r="CI36" i="1"/>
  <c r="W35" i="1"/>
  <c r="CQ17" i="1"/>
  <c r="CI28" i="1"/>
  <c r="W34" i="1"/>
  <c r="R39" i="1" s="1"/>
  <c r="AR25" i="1"/>
  <c r="AR43" i="1"/>
  <c r="AJ19" i="5"/>
  <c r="AK19" i="5" s="1"/>
  <c r="AI19" i="5"/>
  <c r="BX35" i="1"/>
  <c r="AV27" i="1"/>
  <c r="F35" i="7"/>
  <c r="E35" i="7"/>
  <c r="G35" i="7"/>
  <c r="AA4" i="5"/>
  <c r="AA29" i="5"/>
  <c r="AA17" i="5"/>
  <c r="O33" i="7"/>
  <c r="K33" i="7"/>
  <c r="V33" i="7"/>
  <c r="N33" i="7"/>
  <c r="U33" i="7"/>
  <c r="Q33" i="7"/>
  <c r="M33" i="7"/>
  <c r="P33" i="7"/>
  <c r="L33" i="7"/>
  <c r="AA28" i="5"/>
  <c r="AV20" i="1"/>
  <c r="AV29" i="1"/>
  <c r="G25" i="5"/>
  <c r="AI25" i="5"/>
  <c r="H41" i="7"/>
  <c r="AW18" i="5"/>
  <c r="AX18" i="5"/>
  <c r="AW12" i="5"/>
  <c r="AX12" i="5"/>
  <c r="AW6" i="5"/>
  <c r="AX6" i="5"/>
  <c r="AW30" i="5"/>
  <c r="AX30" i="5"/>
  <c r="AX27" i="5"/>
  <c r="AW27" i="5"/>
  <c r="AX17" i="5"/>
  <c r="AW17" i="5"/>
  <c r="AW19" i="5"/>
  <c r="AX19" i="5"/>
  <c r="AR18" i="1"/>
  <c r="H23" i="5"/>
  <c r="I23" i="5"/>
  <c r="J23" i="5" s="1"/>
  <c r="K23" i="5" s="1"/>
  <c r="L23" i="5" s="1"/>
  <c r="O23" i="5" s="1"/>
  <c r="P23" i="5" s="1"/>
  <c r="R23" i="5" s="1"/>
  <c r="G43" i="7"/>
  <c r="F43" i="7"/>
  <c r="E43" i="7"/>
  <c r="E52" i="7"/>
  <c r="G52" i="7"/>
  <c r="F52" i="7"/>
  <c r="H36" i="7"/>
  <c r="AI24" i="5"/>
  <c r="BR42" i="1"/>
  <c r="BS42" i="1"/>
  <c r="BT42" i="1"/>
  <c r="BX42" i="1" s="1"/>
  <c r="AR39" i="1"/>
  <c r="AA13" i="5"/>
  <c r="AT30" i="5"/>
  <c r="M30" i="5"/>
  <c r="G30" i="5"/>
  <c r="AI30" i="5"/>
  <c r="M48" i="7"/>
  <c r="V48" i="7"/>
  <c r="K48" i="7"/>
  <c r="H28" i="7"/>
  <c r="K29" i="7"/>
  <c r="G47" i="7"/>
  <c r="F47" i="7"/>
  <c r="E47" i="7"/>
  <c r="AV32" i="1"/>
  <c r="H19" i="5"/>
  <c r="I19" i="5"/>
  <c r="J19" i="5" s="1"/>
  <c r="K19" i="5" s="1"/>
  <c r="L19" i="5" s="1"/>
  <c r="O19" i="5" s="1"/>
  <c r="P19" i="5" s="1"/>
  <c r="R19" i="5" s="1"/>
  <c r="H30" i="7"/>
  <c r="G6" i="5"/>
  <c r="AJ5" i="5"/>
  <c r="AV37" i="1"/>
  <c r="BT35" i="1"/>
  <c r="AJ29" i="5"/>
  <c r="AG22" i="5"/>
  <c r="AH22" i="5" s="1"/>
  <c r="BT32" i="1"/>
  <c r="BS32" i="1"/>
  <c r="BR32" i="1"/>
  <c r="H46" i="7"/>
  <c r="AA10" i="5"/>
  <c r="K54" i="7"/>
  <c r="N54" i="7"/>
  <c r="O54" i="7" s="1"/>
  <c r="M54" i="7"/>
  <c r="V54" i="7" s="1"/>
  <c r="P54" i="7"/>
  <c r="L54" i="7"/>
  <c r="H44" i="7"/>
  <c r="S44" i="7"/>
  <c r="AA30" i="5"/>
  <c r="AV18" i="1"/>
  <c r="AG13" i="5"/>
  <c r="AH13" i="5" s="1"/>
  <c r="G49" i="7"/>
  <c r="E49" i="7"/>
  <c r="F49" i="7"/>
  <c r="G41" i="7"/>
  <c r="E41" i="7"/>
  <c r="F41" i="7"/>
  <c r="E54" i="7"/>
  <c r="G54" i="7"/>
  <c r="F54" i="7"/>
  <c r="AA14" i="5"/>
  <c r="G34" i="7"/>
  <c r="E34" i="7"/>
  <c r="F34" i="7"/>
  <c r="AA7" i="5"/>
  <c r="R54" i="7"/>
  <c r="T54" i="7" s="1"/>
  <c r="AA12" i="5"/>
  <c r="H14" i="5"/>
  <c r="I14" i="5"/>
  <c r="J14" i="5" s="1"/>
  <c r="K14" i="5" s="1"/>
  <c r="L14" i="5" s="1"/>
  <c r="O14" i="5" s="1"/>
  <c r="P14" i="5" s="1"/>
  <c r="R14" i="5" s="1"/>
  <c r="M14" i="5"/>
  <c r="H37" i="7"/>
  <c r="AE8" i="5"/>
  <c r="AF8" i="5" s="1"/>
  <c r="E30" i="7"/>
  <c r="F30" i="7"/>
  <c r="G30" i="7"/>
  <c r="BP17" i="1"/>
  <c r="F4" i="5"/>
  <c r="AT29" i="5"/>
  <c r="G29" i="5"/>
  <c r="AI29" i="5"/>
  <c r="M29" i="5"/>
  <c r="L28" i="7"/>
  <c r="K28" i="7"/>
  <c r="E50" i="7"/>
  <c r="G50" i="7"/>
  <c r="F50" i="7"/>
  <c r="BS31" i="1"/>
  <c r="BR31" i="1"/>
  <c r="BT31" i="1"/>
  <c r="BT20" i="1"/>
  <c r="BX20" i="1" s="1"/>
  <c r="BS20" i="1"/>
  <c r="BR20" i="1"/>
  <c r="H34" i="7"/>
  <c r="AE10" i="5"/>
  <c r="AF10" i="5" s="1"/>
  <c r="AW33" i="1"/>
  <c r="AX33" i="1"/>
  <c r="AY33" i="1"/>
  <c r="AA16" i="5"/>
  <c r="M25" i="5"/>
  <c r="AC11" i="3"/>
  <c r="BS23" i="1"/>
  <c r="BR23" i="1"/>
  <c r="BT23" i="1"/>
  <c r="H51" i="7"/>
  <c r="AV21" i="1"/>
  <c r="AR29" i="1"/>
  <c r="AR23" i="1"/>
  <c r="AR35" i="1"/>
  <c r="AR38" i="1"/>
  <c r="AA18" i="5"/>
  <c r="AW10" i="5"/>
  <c r="AX10" i="5"/>
  <c r="AX25" i="5"/>
  <c r="AW25" i="5"/>
  <c r="AR25" i="5" s="1"/>
  <c r="AS25" i="5" s="1"/>
  <c r="CT38" i="1" s="1"/>
  <c r="AW9" i="5"/>
  <c r="AR9" i="5" s="1"/>
  <c r="AX9" i="5"/>
  <c r="AW7" i="5"/>
  <c r="AX7" i="5"/>
  <c r="AW22" i="5"/>
  <c r="AR22" i="5" s="1"/>
  <c r="AS22" i="5" s="1"/>
  <c r="CT35" i="1" s="1"/>
  <c r="AX22" i="5"/>
  <c r="AX29" i="5"/>
  <c r="AW29" i="5"/>
  <c r="AR29" i="5" s="1"/>
  <c r="AS29" i="5" s="1"/>
  <c r="CT42" i="1" s="1"/>
  <c r="AW24" i="5"/>
  <c r="AX24" i="5"/>
  <c r="AA22" i="5"/>
  <c r="M23" i="5"/>
  <c r="AG23" i="5"/>
  <c r="AH23" i="5" s="1"/>
  <c r="R43" i="7"/>
  <c r="T43" i="7" s="1"/>
  <c r="G16" i="5"/>
  <c r="M16" i="5" s="1"/>
  <c r="BX24" i="1"/>
  <c r="BT24" i="1"/>
  <c r="BS24" i="1"/>
  <c r="BR24" i="1"/>
  <c r="H12" i="5"/>
  <c r="I12" i="5"/>
  <c r="J12" i="5" s="1"/>
  <c r="K12" i="5" s="1"/>
  <c r="L12" i="5" s="1"/>
  <c r="O12" i="5" s="1"/>
  <c r="P12" i="5" s="1"/>
  <c r="R12" i="5" s="1"/>
  <c r="M12" i="5"/>
  <c r="H35" i="7"/>
  <c r="AG11" i="5"/>
  <c r="AH11" i="5" s="1"/>
  <c r="G24" i="5"/>
  <c r="BT34" i="1"/>
  <c r="BS34" i="1"/>
  <c r="BR34" i="1"/>
  <c r="AA5" i="5"/>
  <c r="R35" i="7"/>
  <c r="T35" i="7" s="1"/>
  <c r="AG4" i="5"/>
  <c r="K41" i="7"/>
  <c r="AV31" i="1"/>
  <c r="AG18" i="5"/>
  <c r="AH18" i="5" s="1"/>
  <c r="AJ18" i="5" s="1"/>
  <c r="AK18" i="5" s="1"/>
  <c r="H21" i="5"/>
  <c r="I21" i="5"/>
  <c r="J21" i="5" s="1"/>
  <c r="K21" i="5" s="1"/>
  <c r="L21" i="5" s="1"/>
  <c r="O21" i="5" s="1"/>
  <c r="P21" i="5" s="1"/>
  <c r="R21" i="5" s="1"/>
  <c r="BS40" i="1"/>
  <c r="BR40" i="1"/>
  <c r="BT40" i="1"/>
  <c r="B2" i="6"/>
  <c r="G33" i="7"/>
  <c r="F33" i="7"/>
  <c r="E33" i="7"/>
  <c r="G37" i="7"/>
  <c r="F37" i="7"/>
  <c r="E37" i="7"/>
  <c r="H43" i="7"/>
  <c r="F36" i="7"/>
  <c r="G36" i="7"/>
  <c r="E36" i="7"/>
  <c r="K46" i="7"/>
  <c r="N46" i="7"/>
  <c r="L46" i="7"/>
  <c r="U46" i="7"/>
  <c r="BR36" i="1"/>
  <c r="BX36" i="1"/>
  <c r="BT36" i="1"/>
  <c r="BS36" i="1"/>
  <c r="BR33" i="1"/>
  <c r="BY33" i="1"/>
  <c r="BX33" i="1"/>
  <c r="BT33" i="1"/>
  <c r="BS33" i="1"/>
  <c r="AV34" i="1"/>
  <c r="AV36" i="1"/>
  <c r="AV30" i="1"/>
  <c r="AC23" i="1"/>
  <c r="B28" i="1"/>
  <c r="AV17" i="1"/>
  <c r="AV26" i="1"/>
  <c r="BT25" i="1"/>
  <c r="BS25" i="1"/>
  <c r="BR25" i="1"/>
  <c r="AR4" i="5"/>
  <c r="E46" i="7"/>
  <c r="G46" i="7"/>
  <c r="F46" i="7"/>
  <c r="AV19" i="1"/>
  <c r="AA27" i="5"/>
  <c r="AA8" i="5"/>
  <c r="AR10" i="5"/>
  <c r="K47" i="7"/>
  <c r="M47" i="7"/>
  <c r="AV41" i="1"/>
  <c r="AG28" i="5"/>
  <c r="AH28" i="5" s="1"/>
  <c r="O50" i="7"/>
  <c r="K50" i="7"/>
  <c r="V50" i="7"/>
  <c r="N50" i="7"/>
  <c r="P50" i="7"/>
  <c r="L50" i="7"/>
  <c r="U50" i="7"/>
  <c r="Q50" i="7"/>
  <c r="M50" i="7"/>
  <c r="I22" i="5"/>
  <c r="J22" i="5" s="1"/>
  <c r="K22" i="5" s="1"/>
  <c r="L22" i="5" s="1"/>
  <c r="O22" i="5" s="1"/>
  <c r="P22" i="5" s="1"/>
  <c r="R22" i="5" s="1"/>
  <c r="H22" i="5"/>
  <c r="Y26" i="5"/>
  <c r="AG8" i="5"/>
  <c r="AH8" i="5" s="1"/>
  <c r="AJ8" i="5" s="1"/>
  <c r="AG10" i="5"/>
  <c r="AH10" i="5" s="1"/>
  <c r="AR27" i="5"/>
  <c r="AS27" i="5" s="1"/>
  <c r="CT40" i="1" s="1"/>
  <c r="BR38" i="1"/>
  <c r="BS38" i="1"/>
  <c r="BX38" i="1"/>
  <c r="BT38" i="1"/>
  <c r="G48" i="7"/>
  <c r="E48" i="7"/>
  <c r="F48" i="7"/>
  <c r="G44" i="7"/>
  <c r="F44" i="7"/>
  <c r="E44" i="7"/>
  <c r="H52" i="7"/>
  <c r="I28" i="5"/>
  <c r="J28" i="5" s="1"/>
  <c r="K28" i="5" s="1"/>
  <c r="L28" i="5" s="1"/>
  <c r="O28" i="5" s="1"/>
  <c r="P28" i="5" s="1"/>
  <c r="R28" i="5" s="1"/>
  <c r="H28" i="5"/>
  <c r="AR20" i="1"/>
  <c r="N20" i="5"/>
  <c r="Y20" i="5" s="1"/>
  <c r="I20" i="5"/>
  <c r="J20" i="5" s="1"/>
  <c r="K20" i="5" s="1"/>
  <c r="L20" i="5" s="1"/>
  <c r="O20" i="5" s="1"/>
  <c r="P20" i="5" s="1"/>
  <c r="R20" i="5" s="1"/>
  <c r="H20" i="5"/>
  <c r="AA11" i="5"/>
  <c r="CT21" i="1"/>
  <c r="CU21" i="1" s="1"/>
  <c r="AR31" i="1"/>
  <c r="L51" i="7"/>
  <c r="K51" i="7"/>
  <c r="N51" i="7"/>
  <c r="AL6" i="5"/>
  <c r="CA19" i="1"/>
  <c r="BZ19" i="1" s="1"/>
  <c r="BN19" i="1"/>
  <c r="BX39" i="1"/>
  <c r="BT39" i="1"/>
  <c r="BS39" i="1"/>
  <c r="BR39" i="1"/>
  <c r="BY39" i="1"/>
  <c r="AR24" i="5"/>
  <c r="AS24" i="5" s="1"/>
  <c r="CT37" i="1" s="1"/>
  <c r="T6" i="3"/>
  <c r="F32" i="7"/>
  <c r="G32" i="7"/>
  <c r="E32" i="7"/>
  <c r="K34" i="7"/>
  <c r="W55" i="7"/>
  <c r="F28" i="7"/>
  <c r="G28" i="7"/>
  <c r="E28" i="7"/>
  <c r="K37" i="7"/>
  <c r="G40" i="7"/>
  <c r="E40" i="7"/>
  <c r="F40" i="7"/>
  <c r="AA19" i="5"/>
  <c r="M22" i="5"/>
  <c r="AE22" i="5"/>
  <c r="AF22" i="5" s="1"/>
  <c r="G31" i="7"/>
  <c r="E31" i="7"/>
  <c r="F31" i="7"/>
  <c r="E38" i="7"/>
  <c r="F38" i="7"/>
  <c r="G38" i="7"/>
  <c r="BR29" i="1"/>
  <c r="BT29" i="1"/>
  <c r="BX29" i="1" s="1"/>
  <c r="BS29" i="1"/>
  <c r="AA24" i="5"/>
  <c r="AG14" i="5"/>
  <c r="AH14" i="5" s="1"/>
  <c r="K42" i="7"/>
  <c r="V42" i="7"/>
  <c r="N42" i="7"/>
  <c r="L42" i="7"/>
  <c r="U42" i="7"/>
  <c r="Q42" i="7"/>
  <c r="S42" i="7" s="1"/>
  <c r="M42" i="7"/>
  <c r="O42" i="7" s="1"/>
  <c r="H13" i="5"/>
  <c r="I13" i="5"/>
  <c r="J13" i="5" s="1"/>
  <c r="K13" i="5" s="1"/>
  <c r="L13" i="5" s="1"/>
  <c r="O13" i="5" s="1"/>
  <c r="P13" i="5" s="1"/>
  <c r="R13" i="5" s="1"/>
  <c r="M13" i="5"/>
  <c r="AE13" i="5"/>
  <c r="AF13" i="5" s="1"/>
  <c r="AI8" i="5"/>
  <c r="H32" i="7"/>
  <c r="BR17" i="1"/>
  <c r="BT17" i="1"/>
  <c r="BS17" i="1"/>
  <c r="CJ26" i="1"/>
  <c r="CI19" i="1"/>
  <c r="CI20" i="1"/>
  <c r="CI41" i="1"/>
  <c r="DH9" i="1"/>
  <c r="CQ19" i="1"/>
  <c r="CI23" i="1"/>
  <c r="CJ34" i="1"/>
  <c r="CJ41" i="1"/>
  <c r="CY9" i="1"/>
  <c r="CJ21" i="1"/>
  <c r="CJ27" i="1"/>
  <c r="CI38" i="1"/>
  <c r="CJ45" i="1"/>
  <c r="CI46" i="1"/>
  <c r="DB9" i="1"/>
  <c r="CJ22" i="1"/>
  <c r="CJ29" i="1"/>
  <c r="CI33" i="1"/>
  <c r="CJ40" i="1"/>
  <c r="AR6" i="5"/>
  <c r="AS6" i="5" s="1"/>
  <c r="CT19" i="1" s="1"/>
  <c r="R28" i="7"/>
  <c r="T28" i="7" s="1"/>
  <c r="BT30" i="1"/>
  <c r="BS30" i="1"/>
  <c r="BR30" i="1"/>
  <c r="BX30" i="1" s="1"/>
  <c r="K49" i="7"/>
  <c r="AA23" i="5"/>
  <c r="H49" i="7"/>
  <c r="AE17" i="5"/>
  <c r="AF17" i="5" s="1"/>
  <c r="G17" i="5"/>
  <c r="AE27" i="5"/>
  <c r="AF27" i="5" s="1"/>
  <c r="H27" i="5"/>
  <c r="I27" i="5"/>
  <c r="J27" i="5" s="1"/>
  <c r="K27" i="5" s="1"/>
  <c r="L27" i="5" s="1"/>
  <c r="O27" i="5" s="1"/>
  <c r="P27" i="5" s="1"/>
  <c r="R27" i="5" s="1"/>
  <c r="U12" i="3"/>
  <c r="U11" i="3"/>
  <c r="AD11" i="3"/>
  <c r="BT41" i="1"/>
  <c r="BS41" i="1"/>
  <c r="BR41" i="1"/>
  <c r="Y9" i="5"/>
  <c r="AR17" i="1"/>
  <c r="AR26" i="1"/>
  <c r="AR37" i="1"/>
  <c r="AR40" i="1"/>
  <c r="AL30" i="5"/>
  <c r="CA43" i="1"/>
  <c r="BZ43" i="1" s="1"/>
  <c r="BN43" i="1"/>
  <c r="AA21" i="5"/>
  <c r="AW28" i="5"/>
  <c r="AR28" i="5" s="1"/>
  <c r="AS28" i="5" s="1"/>
  <c r="CT41" i="1" s="1"/>
  <c r="AX28" i="5"/>
  <c r="AW8" i="5"/>
  <c r="AR8" i="5" s="1"/>
  <c r="AX8" i="5"/>
  <c r="AW14" i="5"/>
  <c r="AX14" i="5"/>
  <c r="AW26" i="5"/>
  <c r="AR26" i="5" s="1"/>
  <c r="AX26" i="5"/>
  <c r="AW4" i="5"/>
  <c r="AX4" i="5"/>
  <c r="AW13" i="5"/>
  <c r="AR13" i="5" s="1"/>
  <c r="AS13" i="5" s="1"/>
  <c r="CT26" i="1" s="1"/>
  <c r="AX13" i="5"/>
  <c r="H31" i="7"/>
  <c r="G7" i="5"/>
  <c r="AG7" i="5"/>
  <c r="AH7" i="5" s="1"/>
  <c r="AJ7" i="5" s="1"/>
  <c r="AK7" i="5" s="1"/>
  <c r="R31" i="7"/>
  <c r="T31" i="7" s="1"/>
  <c r="L38" i="7"/>
  <c r="K38" i="7"/>
  <c r="O38" i="7" s="1"/>
  <c r="N38" i="7"/>
  <c r="Q38" i="7" s="1"/>
  <c r="M38" i="7"/>
  <c r="P38" i="7" s="1"/>
  <c r="K43" i="7"/>
  <c r="L43" i="7" s="1"/>
  <c r="K52" i="7"/>
  <c r="BX37" i="1"/>
  <c r="BT37" i="1"/>
  <c r="BS37" i="1"/>
  <c r="BR37" i="1"/>
  <c r="AG12" i="5"/>
  <c r="AH12" i="5" s="1"/>
  <c r="H48" i="7"/>
  <c r="E42" i="7"/>
  <c r="G42" i="7"/>
  <c r="F42" i="7"/>
  <c r="L35" i="7"/>
  <c r="K35" i="7"/>
  <c r="M35" i="7" s="1"/>
  <c r="O35" i="7" s="1"/>
  <c r="N35" i="7"/>
  <c r="U35" i="7" s="1"/>
  <c r="AS4" i="5"/>
  <c r="R41" i="7"/>
  <c r="T41" i="7" s="1"/>
  <c r="G29" i="7"/>
  <c r="F29" i="7"/>
  <c r="E29" i="7"/>
  <c r="H42" i="7"/>
  <c r="AI18" i="5"/>
  <c r="M21" i="5"/>
  <c r="AE21" i="5"/>
  <c r="AF21" i="5" s="1"/>
  <c r="AG21" i="5"/>
  <c r="AH21" i="5" s="1"/>
  <c r="R30" i="7"/>
  <c r="T30" i="7" s="1"/>
  <c r="AT5" i="5"/>
  <c r="AI5" i="5"/>
  <c r="G5" i="5"/>
  <c r="R44" i="7"/>
  <c r="T44" i="7" s="1"/>
  <c r="AE19" i="5"/>
  <c r="AF19" i="5" s="1"/>
  <c r="R40" i="7"/>
  <c r="T40" i="7" s="1"/>
  <c r="M6" i="5"/>
  <c r="AE6" i="5"/>
  <c r="AF6" i="5" s="1"/>
  <c r="AR12" i="5"/>
  <c r="AS12" i="5" s="1"/>
  <c r="CT25" i="1" s="1"/>
  <c r="R46" i="7"/>
  <c r="T46" i="7" s="1"/>
  <c r="AV24" i="1"/>
  <c r="AV35" i="1"/>
  <c r="AJ30" i="5"/>
  <c r="BS21" i="1"/>
  <c r="AV42" i="1"/>
  <c r="AU45" i="1"/>
  <c r="AW25" i="1" s="1"/>
  <c r="AR7" i="5"/>
  <c r="AS7" i="5" s="1"/>
  <c r="CT20" i="1" s="1"/>
  <c r="AR14" i="5"/>
  <c r="AS14" i="5" s="1"/>
  <c r="CT27" i="1" s="1"/>
  <c r="AV38" i="1"/>
  <c r="BR22" i="1"/>
  <c r="BY22" i="1"/>
  <c r="BX22" i="1"/>
  <c r="BT22" i="1"/>
  <c r="BS22" i="1"/>
  <c r="H38" i="7"/>
  <c r="G45" i="7"/>
  <c r="E45" i="7"/>
  <c r="F45" i="7"/>
  <c r="H8" i="5"/>
  <c r="I8" i="5"/>
  <c r="J8" i="5" s="1"/>
  <c r="K8" i="5" s="1"/>
  <c r="L8" i="5" s="1"/>
  <c r="O8" i="5" s="1"/>
  <c r="P8" i="5" s="1"/>
  <c r="R8" i="5" s="1"/>
  <c r="BT26" i="1"/>
  <c r="BX26" i="1" s="1"/>
  <c r="BS26" i="1"/>
  <c r="BR26" i="1"/>
  <c r="N32" i="7"/>
  <c r="U32" i="7"/>
  <c r="P32" i="7"/>
  <c r="L32" i="7"/>
  <c r="K32" i="7"/>
  <c r="S32" i="7" s="1"/>
  <c r="R49" i="7"/>
  <c r="T49" i="7" s="1"/>
  <c r="H10" i="5"/>
  <c r="I10" i="5"/>
  <c r="J10" i="5" s="1"/>
  <c r="K10" i="5" s="1"/>
  <c r="L10" i="5" s="1"/>
  <c r="O10" i="5" s="1"/>
  <c r="P10" i="5" s="1"/>
  <c r="R10" i="5" s="1"/>
  <c r="M10" i="5"/>
  <c r="AS10" i="5"/>
  <c r="CT23" i="1" s="1"/>
  <c r="AR17" i="5"/>
  <c r="AS17" i="5" s="1"/>
  <c r="CT30" i="1" s="1"/>
  <c r="AR30" i="5"/>
  <c r="AS30" i="5" s="1"/>
  <c r="CT43" i="1" s="1"/>
  <c r="G51" i="7"/>
  <c r="F51" i="7"/>
  <c r="E51" i="7"/>
  <c r="AR24" i="1"/>
  <c r="M17" i="5"/>
  <c r="AG17" i="5"/>
  <c r="AH17" i="5" s="1"/>
  <c r="AJ17" i="5" s="1"/>
  <c r="AK17" i="5" s="1"/>
  <c r="AG27" i="5"/>
  <c r="AH27" i="5" s="1"/>
  <c r="M45" i="7"/>
  <c r="V45" i="7" s="1"/>
  <c r="K45" i="7"/>
  <c r="L45" i="7"/>
  <c r="P45" i="7" s="1"/>
  <c r="AR32" i="1"/>
  <c r="AR30" i="1"/>
  <c r="V51" i="1"/>
  <c r="AR42" i="1"/>
  <c r="G53" i="7"/>
  <c r="E53" i="7"/>
  <c r="F53" i="7"/>
  <c r="AX16" i="5"/>
  <c r="AW16" i="5"/>
  <c r="AR16" i="5" s="1"/>
  <c r="AS16" i="5" s="1"/>
  <c r="CT29" i="1" s="1"/>
  <c r="AW11" i="5"/>
  <c r="AR11" i="5" s="1"/>
  <c r="AS11" i="5" s="1"/>
  <c r="CT24" i="1" s="1"/>
  <c r="AX11" i="5"/>
  <c r="AX23" i="5"/>
  <c r="AW23" i="5"/>
  <c r="AR23" i="5" s="1"/>
  <c r="AS23" i="5" s="1"/>
  <c r="CT36" i="1" s="1"/>
  <c r="AX21" i="5"/>
  <c r="AW21" i="5"/>
  <c r="AR21" i="5" s="1"/>
  <c r="AS21" i="5" s="1"/>
  <c r="CT34" i="1" s="1"/>
  <c r="AW20" i="5"/>
  <c r="AR20" i="5" s="1"/>
  <c r="AX20" i="5"/>
  <c r="AX5" i="5"/>
  <c r="AW5" i="5"/>
  <c r="AR5" i="5" s="1"/>
  <c r="AS5" i="5" s="1"/>
  <c r="CT18" i="1" s="1"/>
  <c r="M7" i="5"/>
  <c r="L53" i="7"/>
  <c r="K53" i="7"/>
  <c r="H47" i="7"/>
  <c r="L31" i="7"/>
  <c r="K31" i="7"/>
  <c r="N31" i="7"/>
  <c r="U31" i="7" s="1"/>
  <c r="AR19" i="5"/>
  <c r="AS19" i="5" s="1"/>
  <c r="CT32" i="1" s="1"/>
  <c r="H40" i="7"/>
  <c r="AG16" i="5"/>
  <c r="AH16" i="5" s="1"/>
  <c r="AJ16" i="5" s="1"/>
  <c r="AA25" i="5"/>
  <c r="R52" i="7"/>
  <c r="T52" i="7" s="1"/>
  <c r="G11" i="5"/>
  <c r="M11" i="5"/>
  <c r="AE11" i="5"/>
  <c r="AF11" i="5" s="1"/>
  <c r="M24" i="5"/>
  <c r="AE24" i="5"/>
  <c r="AF24" i="5" s="1"/>
  <c r="BS27" i="1"/>
  <c r="BR27" i="1"/>
  <c r="BT27" i="1"/>
  <c r="BX27" i="1" s="1"/>
  <c r="AR18" i="5"/>
  <c r="AS18" i="5" s="1"/>
  <c r="CT31" i="1" s="1"/>
  <c r="R48" i="7"/>
  <c r="T48" i="7" s="1"/>
  <c r="AE4" i="5"/>
  <c r="AF4" i="5" s="1"/>
  <c r="G18" i="5"/>
  <c r="M18" i="5"/>
  <c r="H45" i="7"/>
  <c r="K30" i="7"/>
  <c r="L30" i="7" s="1"/>
  <c r="P30" i="7" s="1"/>
  <c r="M30" i="7"/>
  <c r="V30" i="7" s="1"/>
  <c r="AR36" i="1"/>
  <c r="Q44" i="7"/>
  <c r="V44" i="7"/>
  <c r="K44" i="7"/>
  <c r="M44" i="7" s="1"/>
  <c r="K40" i="7"/>
  <c r="AI6" i="5"/>
  <c r="L36" i="7"/>
  <c r="N36" i="7" s="1"/>
  <c r="U36" i="7" s="1"/>
  <c r="K36" i="7"/>
  <c r="AA6" i="5"/>
  <c r="X20" i="5"/>
  <c r="AV43" i="1"/>
  <c r="AD30" i="1"/>
  <c r="O28" i="1" s="1"/>
  <c r="AD28" i="1"/>
  <c r="AD29" i="1"/>
  <c r="L28" i="1" s="1"/>
  <c r="AV23" i="1"/>
  <c r="Y34" i="1" l="1"/>
  <c r="BX25" i="1"/>
  <c r="AX25" i="1"/>
  <c r="AY25" i="1" s="1"/>
  <c r="X41" i="1"/>
  <c r="S38" i="7"/>
  <c r="N45" i="7"/>
  <c r="Q45" i="7" s="1"/>
  <c r="AW38" i="1"/>
  <c r="AX38" i="1"/>
  <c r="AY38" i="1" s="1"/>
  <c r="AW42" i="1"/>
  <c r="AX42" i="1"/>
  <c r="AY42" i="1" s="1"/>
  <c r="AW24" i="1"/>
  <c r="AX24" i="1"/>
  <c r="AY24" i="1" s="1"/>
  <c r="DB72" i="1"/>
  <c r="DN72" i="1"/>
  <c r="CT17" i="1"/>
  <c r="CU43" i="1" s="1"/>
  <c r="CV72" i="1"/>
  <c r="DH72" i="1"/>
  <c r="Q35" i="7"/>
  <c r="AJ12" i="5"/>
  <c r="AK12" i="5" s="1"/>
  <c r="AI12" i="5"/>
  <c r="M52" i="7"/>
  <c r="N43" i="7"/>
  <c r="U43" i="7" s="1"/>
  <c r="AB21" i="5"/>
  <c r="AC21" i="5" s="1"/>
  <c r="AI17" i="5"/>
  <c r="L49" i="7"/>
  <c r="AJ14" i="5"/>
  <c r="AI14" i="5"/>
  <c r="M37" i="7"/>
  <c r="V37" i="7" s="1"/>
  <c r="U51" i="7"/>
  <c r="AB11" i="5"/>
  <c r="AC11" i="5" s="1"/>
  <c r="AI10" i="5"/>
  <c r="AJ10" i="5"/>
  <c r="AK10" i="5" s="1"/>
  <c r="AJ28" i="5"/>
  <c r="AK28" i="5" s="1"/>
  <c r="AI28" i="5"/>
  <c r="AB27" i="5"/>
  <c r="AC27" i="5" s="1"/>
  <c r="AX34" i="1"/>
  <c r="AY34" i="1" s="1"/>
  <c r="AW34" i="1"/>
  <c r="AI7" i="5"/>
  <c r="AB18" i="5"/>
  <c r="AC18" i="5"/>
  <c r="AB16" i="5"/>
  <c r="AC16" i="5" s="1"/>
  <c r="AC12" i="5"/>
  <c r="AB12" i="5"/>
  <c r="X46" i="1"/>
  <c r="V43" i="1"/>
  <c r="X39" i="1"/>
  <c r="V39" i="1"/>
  <c r="V45" i="1"/>
  <c r="AB30" i="5"/>
  <c r="AC30" i="5" s="1"/>
  <c r="AB10" i="5"/>
  <c r="AC10" i="5" s="1"/>
  <c r="AJ22" i="5"/>
  <c r="AI22" i="5"/>
  <c r="H55" i="7"/>
  <c r="H25" i="5"/>
  <c r="I25" i="5"/>
  <c r="J25" i="5" s="1"/>
  <c r="K25" i="5" s="1"/>
  <c r="L25" i="5" s="1"/>
  <c r="O25" i="5" s="1"/>
  <c r="P25" i="5" s="1"/>
  <c r="R25" i="5" s="1"/>
  <c r="AB17" i="5"/>
  <c r="AC17" i="5" s="1"/>
  <c r="AX40" i="1"/>
  <c r="AY40" i="1" s="1"/>
  <c r="L40" i="7"/>
  <c r="AX23" i="1"/>
  <c r="AY23" i="1" s="1"/>
  <c r="AW23" i="1"/>
  <c r="AB6" i="5"/>
  <c r="AC6" i="5" s="1"/>
  <c r="L44" i="7"/>
  <c r="U44" i="7"/>
  <c r="I18" i="5"/>
  <c r="J18" i="5" s="1"/>
  <c r="K18" i="5" s="1"/>
  <c r="L18" i="5" s="1"/>
  <c r="O18" i="5" s="1"/>
  <c r="P18" i="5" s="1"/>
  <c r="R18" i="5" s="1"/>
  <c r="H18" i="5"/>
  <c r="H11" i="5"/>
  <c r="I11" i="5"/>
  <c r="J11" i="5" s="1"/>
  <c r="K11" i="5" s="1"/>
  <c r="L11" i="5" s="1"/>
  <c r="O11" i="5" s="1"/>
  <c r="P11" i="5" s="1"/>
  <c r="R11" i="5" s="1"/>
  <c r="V38" i="7"/>
  <c r="H7" i="5"/>
  <c r="I7" i="5"/>
  <c r="J7" i="5" s="1"/>
  <c r="K7" i="5" s="1"/>
  <c r="L7" i="5" s="1"/>
  <c r="O7" i="5" s="1"/>
  <c r="P7" i="5" s="1"/>
  <c r="R7" i="5" s="1"/>
  <c r="BR43" i="1"/>
  <c r="BY21" i="1" s="1"/>
  <c r="BS43" i="1"/>
  <c r="BT43" i="1"/>
  <c r="BX43" i="1" s="1"/>
  <c r="BX41" i="1"/>
  <c r="AC23" i="5"/>
  <c r="AB23" i="5"/>
  <c r="DN9" i="1"/>
  <c r="AC19" i="5"/>
  <c r="AB19" i="5"/>
  <c r="BT19" i="1"/>
  <c r="BS19" i="1"/>
  <c r="BR19" i="1"/>
  <c r="AX41" i="1"/>
  <c r="AY41" i="1" s="1"/>
  <c r="AW41" i="1"/>
  <c r="AX19" i="1"/>
  <c r="AY19" i="1" s="1"/>
  <c r="AW19" i="1"/>
  <c r="AC22" i="1"/>
  <c r="AE19" i="1" s="1"/>
  <c r="B29" i="1" s="1"/>
  <c r="AC24" i="1"/>
  <c r="AB5" i="5"/>
  <c r="AC5" i="5" s="1"/>
  <c r="BX34" i="1"/>
  <c r="AI11" i="5"/>
  <c r="AJ11" i="5"/>
  <c r="AJ23" i="5"/>
  <c r="AI23" i="5"/>
  <c r="AB22" i="5"/>
  <c r="AC22" i="5" s="1"/>
  <c r="AX21" i="1"/>
  <c r="AY21" i="1" s="1"/>
  <c r="AW21" i="1"/>
  <c r="N28" i="7"/>
  <c r="H29" i="5"/>
  <c r="I29" i="5"/>
  <c r="J29" i="5" s="1"/>
  <c r="K29" i="5" s="1"/>
  <c r="L29" i="5" s="1"/>
  <c r="O29" i="5" s="1"/>
  <c r="P29" i="5" s="1"/>
  <c r="R29" i="5" s="1"/>
  <c r="V40" i="1"/>
  <c r="X40" i="1"/>
  <c r="R44" i="1"/>
  <c r="R42" i="1"/>
  <c r="V41" i="1"/>
  <c r="V46" i="1"/>
  <c r="AI13" i="5"/>
  <c r="AJ13" i="5"/>
  <c r="H6" i="5"/>
  <c r="I6" i="5"/>
  <c r="J6" i="5" s="1"/>
  <c r="K6" i="5" s="1"/>
  <c r="L6" i="5" s="1"/>
  <c r="O6" i="5" s="1"/>
  <c r="P6" i="5" s="1"/>
  <c r="R6" i="5" s="1"/>
  <c r="L29" i="7"/>
  <c r="L48" i="7"/>
  <c r="N48" i="7" s="1"/>
  <c r="Q48" i="7" s="1"/>
  <c r="AX29" i="1"/>
  <c r="AW29" i="1"/>
  <c r="AY29" i="1"/>
  <c r="AC28" i="5"/>
  <c r="AB28" i="5"/>
  <c r="AB29" i="5"/>
  <c r="AC29" i="5" s="1"/>
  <c r="AC34" i="1"/>
  <c r="J28" i="1"/>
  <c r="M36" i="7"/>
  <c r="P36" i="7" s="1"/>
  <c r="V36" i="7"/>
  <c r="N40" i="7"/>
  <c r="Q40" i="7" s="1"/>
  <c r="S40" i="7" s="1"/>
  <c r="M40" i="7"/>
  <c r="O44" i="7"/>
  <c r="P44" i="7"/>
  <c r="M31" i="7"/>
  <c r="N53" i="7"/>
  <c r="M32" i="7"/>
  <c r="V32" i="7"/>
  <c r="CU25" i="1"/>
  <c r="AJ21" i="5"/>
  <c r="AK21" i="5" s="1"/>
  <c r="AI21" i="5"/>
  <c r="V35" i="7"/>
  <c r="P35" i="7"/>
  <c r="N52" i="7"/>
  <c r="Q52" i="7" s="1"/>
  <c r="L52" i="7"/>
  <c r="P52" i="7" s="1"/>
  <c r="M43" i="7"/>
  <c r="V43" i="7" s="1"/>
  <c r="O43" i="7"/>
  <c r="AQ55" i="1"/>
  <c r="AQ53" i="1"/>
  <c r="AQ51" i="1"/>
  <c r="AP49" i="1"/>
  <c r="AQ47" i="1"/>
  <c r="AP54" i="1"/>
  <c r="AP52" i="1"/>
  <c r="AQ49" i="1"/>
  <c r="AP55" i="1"/>
  <c r="AP53" i="1"/>
  <c r="AP51" i="1"/>
  <c r="AQ50" i="1"/>
  <c r="AQ48" i="1"/>
  <c r="AP47" i="1"/>
  <c r="AP56" i="1"/>
  <c r="AQ56" i="1"/>
  <c r="AQ54" i="1"/>
  <c r="AQ52" i="1"/>
  <c r="AP50" i="1"/>
  <c r="AP48" i="1"/>
  <c r="AD12" i="3"/>
  <c r="I17" i="5"/>
  <c r="J17" i="5" s="1"/>
  <c r="K17" i="5" s="1"/>
  <c r="L17" i="5" s="1"/>
  <c r="O17" i="5" s="1"/>
  <c r="P17" i="5" s="1"/>
  <c r="R17" i="5" s="1"/>
  <c r="H17" i="5"/>
  <c r="N49" i="7"/>
  <c r="Q49" i="7" s="1"/>
  <c r="DE9" i="1"/>
  <c r="BX17" i="1"/>
  <c r="AB24" i="5"/>
  <c r="AC24" i="5" s="1"/>
  <c r="L37" i="7"/>
  <c r="P37" i="7" s="1"/>
  <c r="L34" i="7"/>
  <c r="P34" i="7" s="1"/>
  <c r="BZ25" i="1"/>
  <c r="DT53" i="1" s="1"/>
  <c r="M51" i="7"/>
  <c r="O51" i="7" s="1"/>
  <c r="V51" i="7"/>
  <c r="P51" i="7"/>
  <c r="AD14" i="3"/>
  <c r="AD15" i="3" s="1"/>
  <c r="L47" i="7"/>
  <c r="N47" i="7" s="1"/>
  <c r="O47" i="7" s="1"/>
  <c r="AX30" i="1"/>
  <c r="AY30" i="1" s="1"/>
  <c r="AW30" i="1"/>
  <c r="M46" i="7"/>
  <c r="V46" i="7" s="1"/>
  <c r="BX40" i="1"/>
  <c r="P41" i="7"/>
  <c r="M41" i="7"/>
  <c r="S35" i="7"/>
  <c r="U14" i="3"/>
  <c r="BX23" i="1"/>
  <c r="AC14" i="3"/>
  <c r="T7" i="3"/>
  <c r="T8" i="3"/>
  <c r="BX31" i="1"/>
  <c r="M28" i="7"/>
  <c r="P28" i="7" s="1"/>
  <c r="V28" i="7"/>
  <c r="DT56" i="1"/>
  <c r="AC14" i="5"/>
  <c r="AB14" i="5"/>
  <c r="V42" i="1"/>
  <c r="R41" i="1"/>
  <c r="R45" i="1"/>
  <c r="X44" i="1"/>
  <c r="X43" i="1"/>
  <c r="R40" i="1"/>
  <c r="Q54" i="7"/>
  <c r="S54" i="7" s="1"/>
  <c r="BX32" i="1"/>
  <c r="N29" i="7"/>
  <c r="U29" i="7" s="1"/>
  <c r="O48" i="7"/>
  <c r="AC13" i="5"/>
  <c r="AB13" i="5"/>
  <c r="AX20" i="1"/>
  <c r="AY20" i="1" s="1"/>
  <c r="AW20" i="1"/>
  <c r="AB4" i="5"/>
  <c r="AC4" i="5" s="1"/>
  <c r="AW27" i="1"/>
  <c r="AX27" i="1"/>
  <c r="AY27" i="1" s="1"/>
  <c r="O40" i="7"/>
  <c r="P40" i="7"/>
  <c r="H5" i="5"/>
  <c r="I5" i="5"/>
  <c r="J5" i="5" s="1"/>
  <c r="K5" i="5" s="1"/>
  <c r="L5" i="5" s="1"/>
  <c r="O5" i="5" s="1"/>
  <c r="P5" i="5" s="1"/>
  <c r="R5" i="5" s="1"/>
  <c r="AX43" i="1"/>
  <c r="AY43" i="1" s="1"/>
  <c r="AW43" i="1"/>
  <c r="O36" i="7"/>
  <c r="Q36" i="7"/>
  <c r="S36" i="7" s="1"/>
  <c r="V40" i="7"/>
  <c r="N44" i="7"/>
  <c r="N30" i="7"/>
  <c r="Q30" i="7" s="1"/>
  <c r="AC25" i="5"/>
  <c r="AB25" i="5"/>
  <c r="O31" i="7"/>
  <c r="Q31" i="7"/>
  <c r="S31" i="7" s="1"/>
  <c r="M53" i="7"/>
  <c r="V53" i="7"/>
  <c r="AJ27" i="5"/>
  <c r="AK27" i="5" s="1"/>
  <c r="AI27" i="5"/>
  <c r="O32" i="7"/>
  <c r="Q32" i="7"/>
  <c r="BD19" i="1"/>
  <c r="BD29" i="1"/>
  <c r="BD25" i="1"/>
  <c r="BD20" i="1"/>
  <c r="BD17" i="1"/>
  <c r="BD27" i="1"/>
  <c r="BD24" i="1"/>
  <c r="AX35" i="1"/>
  <c r="AW35" i="1"/>
  <c r="BD22" i="1" s="1"/>
  <c r="AY35" i="1"/>
  <c r="V52" i="7"/>
  <c r="AI16" i="5"/>
  <c r="Q43" i="7"/>
  <c r="S43" i="7" s="1"/>
  <c r="U38" i="7"/>
  <c r="P49" i="7"/>
  <c r="M49" i="7"/>
  <c r="V49" i="7" s="1"/>
  <c r="DK9" i="1"/>
  <c r="P42" i="7"/>
  <c r="M34" i="7"/>
  <c r="V34" i="7"/>
  <c r="V47" i="7"/>
  <c r="AB8" i="5"/>
  <c r="AC8" i="5" s="1"/>
  <c r="AX26" i="1"/>
  <c r="AY26" i="1" s="1"/>
  <c r="AW26" i="1"/>
  <c r="BC31" i="1"/>
  <c r="BB29" i="1"/>
  <c r="BC27" i="1"/>
  <c r="BB25" i="1"/>
  <c r="BC24" i="1"/>
  <c r="BB20" i="1"/>
  <c r="BB17" i="1"/>
  <c r="BB31" i="1"/>
  <c r="BB27" i="1"/>
  <c r="BB24" i="1"/>
  <c r="BC22" i="1"/>
  <c r="BC19" i="1"/>
  <c r="BC18" i="1"/>
  <c r="BC30" i="1"/>
  <c r="BC28" i="1"/>
  <c r="BC26" i="1"/>
  <c r="BC23" i="1"/>
  <c r="BB22" i="1"/>
  <c r="BC21" i="1"/>
  <c r="BB19" i="1"/>
  <c r="BB18" i="1"/>
  <c r="AX17" i="1"/>
  <c r="BD30" i="1" s="1"/>
  <c r="BB30" i="1"/>
  <c r="BC29" i="1"/>
  <c r="BB21" i="1"/>
  <c r="AW17" i="1"/>
  <c r="BB28" i="1"/>
  <c r="BB26" i="1"/>
  <c r="BC25" i="1"/>
  <c r="BC20" i="1"/>
  <c r="BB23" i="1"/>
  <c r="BC17" i="1"/>
  <c r="AY17" i="1"/>
  <c r="AW36" i="1"/>
  <c r="AX36" i="1"/>
  <c r="AY36" i="1" s="1"/>
  <c r="AW31" i="1"/>
  <c r="AX31" i="1"/>
  <c r="AY31" i="1" s="1"/>
  <c r="L41" i="7"/>
  <c r="N41" i="7" s="1"/>
  <c r="G99" i="1"/>
  <c r="D99" i="1"/>
  <c r="AH4" i="5"/>
  <c r="AJ4" i="5" s="1"/>
  <c r="AK5" i="5" s="1"/>
  <c r="I24" i="5"/>
  <c r="J24" i="5" s="1"/>
  <c r="K24" i="5" s="1"/>
  <c r="L24" i="5" s="1"/>
  <c r="O24" i="5" s="1"/>
  <c r="P24" i="5" s="1"/>
  <c r="R24" i="5" s="1"/>
  <c r="H24" i="5"/>
  <c r="H16" i="5"/>
  <c r="I16" i="5"/>
  <c r="J16" i="5" s="1"/>
  <c r="K16" i="5" s="1"/>
  <c r="L16" i="5" s="1"/>
  <c r="O16" i="5" s="1"/>
  <c r="P16" i="5" s="1"/>
  <c r="R16" i="5" s="1"/>
  <c r="AT4" i="5"/>
  <c r="CV73" i="1" s="1"/>
  <c r="M4" i="5"/>
  <c r="G4" i="5"/>
  <c r="N18" i="5" s="1"/>
  <c r="AI4" i="5"/>
  <c r="AB7" i="5"/>
  <c r="AC7" i="5" s="1"/>
  <c r="R43" i="1"/>
  <c r="X42" i="1"/>
  <c r="R46" i="1"/>
  <c r="X45" i="1"/>
  <c r="V44" i="1"/>
  <c r="AX18" i="1"/>
  <c r="AW18" i="1"/>
  <c r="AY18" i="1"/>
  <c r="U54" i="7"/>
  <c r="AX37" i="1"/>
  <c r="BD26" i="1" s="1"/>
  <c r="AW37" i="1"/>
  <c r="AY37" i="1"/>
  <c r="AX32" i="1"/>
  <c r="AW32" i="1"/>
  <c r="M29" i="7"/>
  <c r="O29" i="7" s="1"/>
  <c r="H30" i="5"/>
  <c r="I30" i="5"/>
  <c r="J30" i="5" s="1"/>
  <c r="K30" i="5" s="1"/>
  <c r="L30" i="5" s="1"/>
  <c r="O30" i="5" s="1"/>
  <c r="P30" i="5" s="1"/>
  <c r="R30" i="5" s="1"/>
  <c r="AW40" i="1"/>
  <c r="BD28" i="1" s="1"/>
  <c r="BD23" i="1" l="1"/>
  <c r="BY25" i="1"/>
  <c r="BY34" i="1"/>
  <c r="BD21" i="1"/>
  <c r="BD18" i="1"/>
  <c r="BY30" i="1"/>
  <c r="H95" i="1"/>
  <c r="D94" i="1"/>
  <c r="H93" i="1"/>
  <c r="F95" i="1"/>
  <c r="F93" i="1"/>
  <c r="F94" i="1"/>
  <c r="D95" i="1"/>
  <c r="H94" i="1"/>
  <c r="D93" i="1"/>
  <c r="O41" i="7"/>
  <c r="DC53" i="1"/>
  <c r="DI53" i="1"/>
  <c r="DA53" i="1"/>
  <c r="DE53" i="1"/>
  <c r="CV53" i="1"/>
  <c r="DG53" i="1"/>
  <c r="CW53" i="1"/>
  <c r="Q41" i="7"/>
  <c r="S41" i="7" s="1"/>
  <c r="U41" i="7"/>
  <c r="AY32" i="1"/>
  <c r="BH17" i="1" s="1"/>
  <c r="V72" i="1" s="1"/>
  <c r="N16" i="5"/>
  <c r="N24" i="5"/>
  <c r="BD31" i="1"/>
  <c r="N5" i="5"/>
  <c r="Q47" i="7"/>
  <c r="S47" i="7" s="1"/>
  <c r="N34" i="7"/>
  <c r="U15" i="3"/>
  <c r="U13" i="3"/>
  <c r="AD16" i="3"/>
  <c r="P31" i="7"/>
  <c r="V31" i="7"/>
  <c r="N6" i="5"/>
  <c r="N29" i="5"/>
  <c r="AK11" i="5"/>
  <c r="BY19" i="1"/>
  <c r="BX19" i="1"/>
  <c r="U49" i="7"/>
  <c r="N25" i="5"/>
  <c r="O52" i="7"/>
  <c r="S52" i="7" s="1"/>
  <c r="O45" i="7"/>
  <c r="CU26" i="1"/>
  <c r="U45" i="7"/>
  <c r="BY40" i="1"/>
  <c r="BY29" i="1"/>
  <c r="CU23" i="1"/>
  <c r="BY24" i="1"/>
  <c r="CU37" i="1"/>
  <c r="CU36" i="1"/>
  <c r="M31" i="5"/>
  <c r="N9" i="1"/>
  <c r="F9" i="1"/>
  <c r="L9" i="1"/>
  <c r="D9" i="1"/>
  <c r="J9" i="1"/>
  <c r="H9" i="1"/>
  <c r="BG17" i="1"/>
  <c r="BG19" i="1"/>
  <c r="T74" i="1" s="1"/>
  <c r="BG18" i="1"/>
  <c r="T73" i="1" s="1"/>
  <c r="BH19" i="1"/>
  <c r="V74" i="1" s="1"/>
  <c r="N30" i="5"/>
  <c r="B99" i="1"/>
  <c r="X16" i="5"/>
  <c r="X24" i="5"/>
  <c r="AK4" i="5"/>
  <c r="AK24" i="5"/>
  <c r="AK25" i="5"/>
  <c r="AK6" i="5"/>
  <c r="U47" i="7"/>
  <c r="N37" i="7"/>
  <c r="O53" i="7"/>
  <c r="O28" i="7"/>
  <c r="AC17" i="3"/>
  <c r="V41" i="7"/>
  <c r="O37" i="7"/>
  <c r="O49" i="7"/>
  <c r="S49" i="7" s="1"/>
  <c r="N17" i="5"/>
  <c r="Y17" i="5" s="1"/>
  <c r="U52" i="7"/>
  <c r="O30" i="7"/>
  <c r="S30" i="7" s="1"/>
  <c r="AC35" i="1"/>
  <c r="AC33" i="1"/>
  <c r="AE31" i="1" s="1"/>
  <c r="J29" i="1" s="1"/>
  <c r="U48" i="7"/>
  <c r="AK29" i="5"/>
  <c r="BY27" i="1"/>
  <c r="X7" i="5"/>
  <c r="U40" i="7"/>
  <c r="AK14" i="5"/>
  <c r="P43" i="7"/>
  <c r="BY32" i="1"/>
  <c r="CU34" i="1"/>
  <c r="CU29" i="1"/>
  <c r="P47" i="7"/>
  <c r="CU31" i="1"/>
  <c r="CU19" i="1"/>
  <c r="BY23" i="1"/>
  <c r="BY37" i="1"/>
  <c r="P29" i="7"/>
  <c r="DG56" i="1"/>
  <c r="CW56" i="1"/>
  <c r="DA56" i="1"/>
  <c r="DE56" i="1"/>
  <c r="CV56" i="1"/>
  <c r="DI56" i="1"/>
  <c r="DC56" i="1"/>
  <c r="V29" i="7"/>
  <c r="V55" i="7" s="1"/>
  <c r="N4" i="5"/>
  <c r="I4" i="5"/>
  <c r="J4" i="5" s="1"/>
  <c r="K4" i="5" s="1"/>
  <c r="H4" i="5"/>
  <c r="X13" i="5"/>
  <c r="X4" i="5"/>
  <c r="X12" i="5"/>
  <c r="X10" i="5"/>
  <c r="X21" i="5"/>
  <c r="X19" i="5"/>
  <c r="N23" i="5"/>
  <c r="X22" i="5"/>
  <c r="N14" i="5"/>
  <c r="N12" i="5"/>
  <c r="X23" i="5"/>
  <c r="N22" i="5"/>
  <c r="N13" i="5"/>
  <c r="X8" i="5"/>
  <c r="N10" i="5"/>
  <c r="X6" i="5"/>
  <c r="N27" i="5"/>
  <c r="X30" i="5"/>
  <c r="X14" i="5"/>
  <c r="X27" i="5"/>
  <c r="N19" i="5"/>
  <c r="N21" i="5"/>
  <c r="N28" i="5"/>
  <c r="X28" i="5"/>
  <c r="N8" i="5"/>
  <c r="BH18" i="1"/>
  <c r="V73" i="1" s="1"/>
  <c r="X5" i="5"/>
  <c r="Q29" i="7"/>
  <c r="S29" i="7" s="1"/>
  <c r="O46" i="7"/>
  <c r="P46" i="7"/>
  <c r="DT55" i="1"/>
  <c r="DT52" i="1"/>
  <c r="X17" i="5"/>
  <c r="U30" i="7"/>
  <c r="S48" i="7"/>
  <c r="AK13" i="5"/>
  <c r="DT54" i="1"/>
  <c r="BY43" i="1"/>
  <c r="N11" i="5"/>
  <c r="X25" i="5"/>
  <c r="AK22" i="5"/>
  <c r="BY20" i="1"/>
  <c r="BY17" i="1"/>
  <c r="BY31" i="1"/>
  <c r="BY18" i="1"/>
  <c r="AK30" i="5"/>
  <c r="CU18" i="1"/>
  <c r="P53" i="7"/>
  <c r="BY38" i="1"/>
  <c r="CU27" i="1"/>
  <c r="BY36" i="1"/>
  <c r="CU41" i="1"/>
  <c r="BY42" i="1"/>
  <c r="CU38" i="1"/>
  <c r="Q46" i="7"/>
  <c r="U53" i="7"/>
  <c r="Q53" i="7"/>
  <c r="S53" i="7" s="1"/>
  <c r="AK16" i="5"/>
  <c r="X29" i="5"/>
  <c r="Q28" i="7"/>
  <c r="S28" i="7" s="1"/>
  <c r="U28" i="7"/>
  <c r="AK23" i="5"/>
  <c r="AF19" i="1"/>
  <c r="AF17" i="1"/>
  <c r="AK8" i="5"/>
  <c r="N7" i="5"/>
  <c r="X11" i="5"/>
  <c r="X18" i="5"/>
  <c r="CU17" i="1"/>
  <c r="CU22" i="1"/>
  <c r="CU33" i="1"/>
  <c r="CU39" i="1"/>
  <c r="S45" i="7"/>
  <c r="CU35" i="1"/>
  <c r="BY41" i="1"/>
  <c r="CU20" i="1"/>
  <c r="CU32" i="1"/>
  <c r="Q51" i="7"/>
  <c r="S51" i="7" s="1"/>
  <c r="BY26" i="1"/>
  <c r="P48" i="7"/>
  <c r="CU30" i="1"/>
  <c r="BY35" i="1"/>
  <c r="CU42" i="1"/>
  <c r="CU40" i="1"/>
  <c r="CU24" i="1"/>
  <c r="L4" i="5" l="1"/>
  <c r="O4" i="5" s="1"/>
  <c r="B13" i="7"/>
  <c r="D13" i="7" s="1"/>
  <c r="K99" i="1"/>
  <c r="K96" i="1"/>
  <c r="X94" i="1"/>
  <c r="K93" i="1"/>
  <c r="T100" i="1"/>
  <c r="K100" i="1"/>
  <c r="R99" i="1"/>
  <c r="V98" i="1"/>
  <c r="P98" i="1"/>
  <c r="T97" i="1"/>
  <c r="K97" i="1"/>
  <c r="R96" i="1"/>
  <c r="R95" i="1"/>
  <c r="V94" i="1"/>
  <c r="P94" i="1"/>
  <c r="R93" i="1"/>
  <c r="T99" i="1"/>
  <c r="V97" i="1"/>
  <c r="T96" i="1"/>
  <c r="T95" i="1"/>
  <c r="Q94" i="1"/>
  <c r="T93" i="1"/>
  <c r="R100" i="1"/>
  <c r="X99" i="1"/>
  <c r="Q99" i="1"/>
  <c r="T98" i="1"/>
  <c r="K98" i="1"/>
  <c r="R97" i="1"/>
  <c r="X96" i="1"/>
  <c r="Q96" i="1"/>
  <c r="X95" i="1"/>
  <c r="Q95" i="1"/>
  <c r="T94" i="1"/>
  <c r="K94" i="1"/>
  <c r="X93" i="1"/>
  <c r="Q93" i="1"/>
  <c r="V100" i="1"/>
  <c r="P100" i="1"/>
  <c r="X98" i="1"/>
  <c r="Q98" i="1"/>
  <c r="P97" i="1"/>
  <c r="K95" i="1"/>
  <c r="X100" i="1"/>
  <c r="Q100" i="1"/>
  <c r="V99" i="1"/>
  <c r="P99" i="1"/>
  <c r="R98" i="1"/>
  <c r="X97" i="1"/>
  <c r="Q97" i="1"/>
  <c r="V96" i="1"/>
  <c r="P96" i="1"/>
  <c r="V95" i="1"/>
  <c r="P95" i="1"/>
  <c r="R94" i="1"/>
  <c r="V93" i="1"/>
  <c r="P93" i="1"/>
  <c r="B15" i="7"/>
  <c r="D15" i="7"/>
  <c r="U34" i="7"/>
  <c r="O55" i="7" s="1"/>
  <c r="Q34" i="7"/>
  <c r="S34" i="7" s="1"/>
  <c r="O34" i="7"/>
  <c r="DG54" i="1"/>
  <c r="CW54" i="1"/>
  <c r="DI54" i="1"/>
  <c r="DE54" i="1"/>
  <c r="CV54" i="1"/>
  <c r="DA54" i="1"/>
  <c r="DC54" i="1"/>
  <c r="DG52" i="1"/>
  <c r="CW52" i="1"/>
  <c r="DE52" i="1"/>
  <c r="CV52" i="1"/>
  <c r="DI52" i="1"/>
  <c r="DA52" i="1"/>
  <c r="DC52" i="1"/>
  <c r="BK25" i="1"/>
  <c r="X87" i="1" s="1"/>
  <c r="BJ23" i="1"/>
  <c r="R85" i="1" s="1"/>
  <c r="BJ21" i="1"/>
  <c r="R83" i="1" s="1"/>
  <c r="BK20" i="1"/>
  <c r="X82" i="1" s="1"/>
  <c r="BK19" i="1"/>
  <c r="X81" i="1" s="1"/>
  <c r="BK18" i="1"/>
  <c r="X80" i="1" s="1"/>
  <c r="T72" i="1"/>
  <c r="BJ25" i="1"/>
  <c r="R87" i="1" s="1"/>
  <c r="BK24" i="1"/>
  <c r="X86" i="1" s="1"/>
  <c r="BJ20" i="1"/>
  <c r="R82" i="1" s="1"/>
  <c r="BJ19" i="1"/>
  <c r="R81" i="1" s="1"/>
  <c r="BJ18" i="1"/>
  <c r="R80" i="1" s="1"/>
  <c r="BJ24" i="1"/>
  <c r="R86" i="1" s="1"/>
  <c r="BK22" i="1"/>
  <c r="X84" i="1" s="1"/>
  <c r="BK17" i="1"/>
  <c r="X79" i="1" s="1"/>
  <c r="BK23" i="1"/>
  <c r="X85" i="1" s="1"/>
  <c r="BJ17" i="1"/>
  <c r="R79" i="1" s="1"/>
  <c r="BJ22" i="1"/>
  <c r="R84" i="1" s="1"/>
  <c r="BK21" i="1"/>
  <c r="X83" i="1" s="1"/>
  <c r="AD17" i="3"/>
  <c r="DT86" i="1"/>
  <c r="DT84" i="1"/>
  <c r="DT82" i="1"/>
  <c r="DT80" i="1"/>
  <c r="DT78" i="1"/>
  <c r="DT87" i="1"/>
  <c r="DT85" i="1"/>
  <c r="DT83" i="1"/>
  <c r="DT81" i="1"/>
  <c r="DT79" i="1"/>
  <c r="S46" i="7"/>
  <c r="DT36" i="1"/>
  <c r="DT42" i="1"/>
  <c r="DT40" i="1"/>
  <c r="DT38" i="1"/>
  <c r="DT41" i="1"/>
  <c r="DT39" i="1"/>
  <c r="DT37" i="1"/>
  <c r="DT35" i="1"/>
  <c r="DT34" i="1"/>
  <c r="DT33" i="1"/>
  <c r="DC55" i="1"/>
  <c r="DE55" i="1"/>
  <c r="CV55" i="1"/>
  <c r="DI55" i="1"/>
  <c r="DA55" i="1"/>
  <c r="DG55" i="1"/>
  <c r="CW55" i="1"/>
  <c r="L31" i="5"/>
  <c r="AF28" i="1"/>
  <c r="AF30" i="1"/>
  <c r="Z33" i="1"/>
  <c r="Z42" i="1"/>
  <c r="Z40" i="1"/>
  <c r="Z38" i="1"/>
  <c r="Z36" i="1"/>
  <c r="Z37" i="1"/>
  <c r="Z41" i="1"/>
  <c r="Z39" i="1"/>
  <c r="Z35" i="1"/>
  <c r="Z34" i="1"/>
  <c r="T17" i="3"/>
  <c r="AC18" i="3"/>
  <c r="AC19" i="3" s="1"/>
  <c r="AC22" i="3" s="1"/>
  <c r="AC23" i="3" s="1"/>
  <c r="AC24" i="3" s="1"/>
  <c r="AC25" i="3" s="1"/>
  <c r="AC26" i="3" s="1"/>
  <c r="AC27" i="3" s="1"/>
  <c r="T29" i="3" s="1"/>
  <c r="T14" i="3"/>
  <c r="T24" i="3"/>
  <c r="T11" i="3"/>
  <c r="T21" i="3"/>
  <c r="Q37" i="7"/>
  <c r="S37" i="7" s="1"/>
  <c r="S55" i="7" s="1"/>
  <c r="U37" i="7"/>
  <c r="Y25" i="5" l="1"/>
  <c r="Y7" i="5"/>
  <c r="Y4" i="5"/>
  <c r="Y16" i="5"/>
  <c r="R9" i="1"/>
  <c r="N34" i="1"/>
  <c r="L34" i="1"/>
  <c r="G34" i="1"/>
  <c r="P34" i="1"/>
  <c r="K34" i="1"/>
  <c r="C34" i="1"/>
  <c r="O34" i="1"/>
  <c r="J34" i="1"/>
  <c r="H34" i="1"/>
  <c r="N37" i="1"/>
  <c r="H37" i="1"/>
  <c r="L37" i="1"/>
  <c r="G37" i="1"/>
  <c r="P37" i="1"/>
  <c r="K37" i="1"/>
  <c r="C37" i="1"/>
  <c r="O37" i="1"/>
  <c r="J37" i="1"/>
  <c r="P42" i="1"/>
  <c r="K42" i="1"/>
  <c r="C42" i="1"/>
  <c r="O42" i="1"/>
  <c r="J42" i="1"/>
  <c r="N42" i="1"/>
  <c r="H42" i="1"/>
  <c r="L42" i="1"/>
  <c r="G42" i="1"/>
  <c r="O31" i="5"/>
  <c r="P4" i="5"/>
  <c r="P9" i="1"/>
  <c r="Y18" i="5"/>
  <c r="Y28" i="5"/>
  <c r="Y11" i="5"/>
  <c r="DM37" i="1"/>
  <c r="DE37" i="1"/>
  <c r="CV37" i="1"/>
  <c r="CW37" i="1"/>
  <c r="DK37" i="1"/>
  <c r="DC37" i="1"/>
  <c r="DG37" i="1"/>
  <c r="DQ37" i="1"/>
  <c r="DI37" i="1"/>
  <c r="DA37" i="1"/>
  <c r="DO37" i="1"/>
  <c r="DC40" i="1"/>
  <c r="DQ40" i="1"/>
  <c r="DI40" i="1"/>
  <c r="DA40" i="1"/>
  <c r="DK40" i="1"/>
  <c r="DO40" i="1"/>
  <c r="DG40" i="1"/>
  <c r="CW40" i="1"/>
  <c r="DM40" i="1"/>
  <c r="DE40" i="1"/>
  <c r="CV40" i="1"/>
  <c r="Y8" i="5"/>
  <c r="DQ85" i="1"/>
  <c r="DA85" i="1"/>
  <c r="DO85" i="1"/>
  <c r="DG85" i="1"/>
  <c r="CW85" i="1"/>
  <c r="DM85" i="1"/>
  <c r="DE85" i="1"/>
  <c r="CV85" i="1"/>
  <c r="DI85" i="1"/>
  <c r="DK85" i="1"/>
  <c r="DC85" i="1"/>
  <c r="DE82" i="1"/>
  <c r="DK82" i="1"/>
  <c r="DC82" i="1"/>
  <c r="DQ82" i="1"/>
  <c r="DI82" i="1"/>
  <c r="DA82" i="1"/>
  <c r="DM82" i="1"/>
  <c r="CV82" i="1"/>
  <c r="DO82" i="1"/>
  <c r="DG82" i="1"/>
  <c r="CW82" i="1"/>
  <c r="AD18" i="3"/>
  <c r="AD19" i="3" s="1"/>
  <c r="AD20" i="3" s="1"/>
  <c r="AD21" i="3" s="1"/>
  <c r="AD22" i="3" s="1"/>
  <c r="AD23" i="3" s="1"/>
  <c r="AD24" i="3" s="1"/>
  <c r="AD25" i="3" s="1"/>
  <c r="AD26" i="3" s="1"/>
  <c r="AD27" i="3" s="1"/>
  <c r="AD28" i="3" s="1"/>
  <c r="U21" i="3"/>
  <c r="Y19" i="5"/>
  <c r="Y21" i="5"/>
  <c r="Y29" i="5"/>
  <c r="Y27" i="5"/>
  <c r="T18" i="3"/>
  <c r="T25" i="3"/>
  <c r="T23" i="3"/>
  <c r="T16" i="3"/>
  <c r="T15" i="3"/>
  <c r="T27" i="3"/>
  <c r="T10" i="3"/>
  <c r="T22" i="3"/>
  <c r="T12" i="3"/>
  <c r="T20" i="3"/>
  <c r="T9" i="3"/>
  <c r="T26" i="3"/>
  <c r="P35" i="1"/>
  <c r="K35" i="1"/>
  <c r="C35" i="1"/>
  <c r="AB41" i="1" s="1"/>
  <c r="O35" i="1"/>
  <c r="J35" i="1"/>
  <c r="L35" i="1"/>
  <c r="G35" i="1"/>
  <c r="N35" i="1"/>
  <c r="H35" i="1"/>
  <c r="G36" i="1"/>
  <c r="P36" i="1"/>
  <c r="K36" i="1"/>
  <c r="C36" i="1"/>
  <c r="O36" i="1"/>
  <c r="J36" i="1"/>
  <c r="N36" i="1"/>
  <c r="H36" i="1"/>
  <c r="L36" i="1"/>
  <c r="N33" i="1"/>
  <c r="H33" i="1"/>
  <c r="L33" i="1"/>
  <c r="G33" i="1"/>
  <c r="P33" i="1"/>
  <c r="K33" i="1"/>
  <c r="C33" i="1"/>
  <c r="O33" i="1"/>
  <c r="J33" i="1"/>
  <c r="Y5" i="5"/>
  <c r="DQ33" i="1"/>
  <c r="DO33" i="1"/>
  <c r="DG33" i="1"/>
  <c r="CW33" i="1"/>
  <c r="DA33" i="1"/>
  <c r="DM33" i="1"/>
  <c r="DE33" i="1"/>
  <c r="CV33" i="1"/>
  <c r="DK33" i="1"/>
  <c r="DC33" i="1"/>
  <c r="DI33" i="1"/>
  <c r="DM39" i="1"/>
  <c r="DE39" i="1"/>
  <c r="CV39" i="1"/>
  <c r="DG39" i="1"/>
  <c r="CW39" i="1"/>
  <c r="DK39" i="1"/>
  <c r="DC39" i="1"/>
  <c r="DQ39" i="1"/>
  <c r="DI39" i="1"/>
  <c r="DA39" i="1"/>
  <c r="DO39" i="1"/>
  <c r="DK42" i="1"/>
  <c r="DC42" i="1"/>
  <c r="DQ42" i="1"/>
  <c r="DI42" i="1"/>
  <c r="DA42" i="1"/>
  <c r="DO42" i="1"/>
  <c r="DG42" i="1"/>
  <c r="CW42" i="1"/>
  <c r="DM42" i="1"/>
  <c r="DE42" i="1"/>
  <c r="CV42" i="1"/>
  <c r="DA79" i="1"/>
  <c r="DO79" i="1"/>
  <c r="DG79" i="1"/>
  <c r="CW79" i="1"/>
  <c r="DM79" i="1"/>
  <c r="DE79" i="1"/>
  <c r="CV79" i="1"/>
  <c r="DI79" i="1"/>
  <c r="DK79" i="1"/>
  <c r="DC79" i="1"/>
  <c r="DQ79" i="1"/>
  <c r="DQ87" i="1"/>
  <c r="DA87" i="1"/>
  <c r="DO87" i="1"/>
  <c r="DG87" i="1"/>
  <c r="CW87" i="1"/>
  <c r="DM87" i="1"/>
  <c r="DE87" i="1"/>
  <c r="CV87" i="1"/>
  <c r="DI87" i="1"/>
  <c r="DK87" i="1"/>
  <c r="DC87" i="1"/>
  <c r="DM84" i="1"/>
  <c r="DK84" i="1"/>
  <c r="DC84" i="1"/>
  <c r="DQ84" i="1"/>
  <c r="DI84" i="1"/>
  <c r="DA84" i="1"/>
  <c r="DE84" i="1"/>
  <c r="CV84" i="1"/>
  <c r="DO84" i="1"/>
  <c r="DG84" i="1"/>
  <c r="CW84" i="1"/>
  <c r="T13" i="3"/>
  <c r="U55" i="7"/>
  <c r="N39" i="1"/>
  <c r="H39" i="1"/>
  <c r="L39" i="1"/>
  <c r="G39" i="1"/>
  <c r="P39" i="1"/>
  <c r="K39" i="1"/>
  <c r="C39" i="1"/>
  <c r="AB45" i="1" s="1"/>
  <c r="O39" i="1"/>
  <c r="J39" i="1"/>
  <c r="P38" i="1"/>
  <c r="K38" i="1"/>
  <c r="C38" i="1"/>
  <c r="AB44" i="1" s="1"/>
  <c r="O38" i="1"/>
  <c r="J38" i="1"/>
  <c r="L38" i="1"/>
  <c r="N38" i="1"/>
  <c r="H38" i="1"/>
  <c r="G38" i="1"/>
  <c r="Y12" i="5"/>
  <c r="Y23" i="5"/>
  <c r="DM34" i="1"/>
  <c r="DE34" i="1"/>
  <c r="CV34" i="1"/>
  <c r="DK34" i="1"/>
  <c r="DC34" i="1"/>
  <c r="DO34" i="1"/>
  <c r="DG34" i="1"/>
  <c r="CW34" i="1"/>
  <c r="DQ34" i="1"/>
  <c r="DI34" i="1"/>
  <c r="DA34" i="1"/>
  <c r="DO41" i="1"/>
  <c r="DM41" i="1"/>
  <c r="DE41" i="1"/>
  <c r="CV41" i="1"/>
  <c r="DK41" i="1"/>
  <c r="DC41" i="1"/>
  <c r="DG41" i="1"/>
  <c r="DQ41" i="1"/>
  <c r="DI41" i="1"/>
  <c r="DA41" i="1"/>
  <c r="CW41" i="1"/>
  <c r="DQ36" i="1"/>
  <c r="DI36" i="1"/>
  <c r="DA36" i="1"/>
  <c r="DO36" i="1"/>
  <c r="DG36" i="1"/>
  <c r="CW36" i="1"/>
  <c r="DM36" i="1"/>
  <c r="DE36" i="1"/>
  <c r="CV36" i="1"/>
  <c r="DK36" i="1"/>
  <c r="DC36" i="1"/>
  <c r="DI81" i="1"/>
  <c r="DA81" i="1"/>
  <c r="DO81" i="1"/>
  <c r="DG81" i="1"/>
  <c r="CW81" i="1"/>
  <c r="DM81" i="1"/>
  <c r="DE81" i="1"/>
  <c r="CV81" i="1"/>
  <c r="DQ81" i="1"/>
  <c r="DK81" i="1"/>
  <c r="DC81" i="1"/>
  <c r="DE78" i="1"/>
  <c r="DK78" i="1"/>
  <c r="DC78" i="1"/>
  <c r="DQ78" i="1"/>
  <c r="DI78" i="1"/>
  <c r="DA78" i="1"/>
  <c r="DM78" i="1"/>
  <c r="CV78" i="1"/>
  <c r="DO78" i="1"/>
  <c r="DG78" i="1"/>
  <c r="CW78" i="1"/>
  <c r="DK86" i="1"/>
  <c r="DC86" i="1"/>
  <c r="DQ86" i="1"/>
  <c r="DI86" i="1"/>
  <c r="DA86" i="1"/>
  <c r="DM86" i="1"/>
  <c r="DE86" i="1"/>
  <c r="CV86" i="1"/>
  <c r="DO86" i="1"/>
  <c r="DG86" i="1"/>
  <c r="CW86" i="1"/>
  <c r="Y6" i="5"/>
  <c r="Y22" i="5"/>
  <c r="B2" i="1"/>
  <c r="T19" i="3"/>
  <c r="M21" i="6"/>
  <c r="N41" i="1"/>
  <c r="H41" i="1"/>
  <c r="O41" i="1"/>
  <c r="J41" i="1"/>
  <c r="L41" i="1"/>
  <c r="G41" i="1"/>
  <c r="P41" i="1"/>
  <c r="K41" i="1"/>
  <c r="C41" i="1"/>
  <c r="P40" i="1"/>
  <c r="K40" i="1"/>
  <c r="C40" i="1"/>
  <c r="L40" i="1"/>
  <c r="G40" i="1"/>
  <c r="O40" i="1"/>
  <c r="J40" i="1"/>
  <c r="N40" i="1"/>
  <c r="H40" i="1"/>
  <c r="Y10" i="5"/>
  <c r="DG35" i="1"/>
  <c r="DM35" i="1"/>
  <c r="DE35" i="1"/>
  <c r="CV35" i="1"/>
  <c r="CW35" i="1"/>
  <c r="DK35" i="1"/>
  <c r="DC35" i="1"/>
  <c r="DQ35" i="1"/>
  <c r="DI35" i="1"/>
  <c r="DA35" i="1"/>
  <c r="DO35" i="1"/>
  <c r="DQ38" i="1"/>
  <c r="DI38" i="1"/>
  <c r="DA38" i="1"/>
  <c r="DO38" i="1"/>
  <c r="DG38" i="1"/>
  <c r="CW38" i="1"/>
  <c r="DM38" i="1"/>
  <c r="DE38" i="1"/>
  <c r="CV38" i="1"/>
  <c r="DK38" i="1"/>
  <c r="DC38" i="1"/>
  <c r="DQ83" i="1"/>
  <c r="DA83" i="1"/>
  <c r="DO83" i="1"/>
  <c r="DG83" i="1"/>
  <c r="CW83" i="1"/>
  <c r="DM83" i="1"/>
  <c r="DE83" i="1"/>
  <c r="CV83" i="1"/>
  <c r="DI83" i="1"/>
  <c r="DK83" i="1"/>
  <c r="DC83" i="1"/>
  <c r="DE80" i="1"/>
  <c r="CV80" i="1"/>
  <c r="DK80" i="1"/>
  <c r="DC80" i="1"/>
  <c r="DQ80" i="1"/>
  <c r="DI80" i="1"/>
  <c r="DA80" i="1"/>
  <c r="DM80" i="1"/>
  <c r="DO80" i="1"/>
  <c r="DG80" i="1"/>
  <c r="CW80" i="1"/>
  <c r="Y24" i="5"/>
  <c r="Y13" i="5"/>
  <c r="Y30" i="5"/>
  <c r="Y14" i="5"/>
  <c r="T28" i="3"/>
  <c r="M5" i="6" l="1"/>
  <c r="AB40" i="1"/>
  <c r="AB43" i="1"/>
  <c r="M19" i="6"/>
  <c r="I19" i="6" s="1"/>
  <c r="M25" i="6"/>
  <c r="E25" i="6" s="1"/>
  <c r="M16" i="6"/>
  <c r="K16" i="6" s="1"/>
  <c r="M17" i="6"/>
  <c r="I17" i="6" s="1"/>
  <c r="AD46" i="1"/>
  <c r="AC46" i="1"/>
  <c r="AE46" i="1"/>
  <c r="AF46" i="1"/>
  <c r="AD47" i="1"/>
  <c r="AE47" i="1"/>
  <c r="AC47" i="1"/>
  <c r="AF47" i="1"/>
  <c r="M10" i="6"/>
  <c r="M18" i="6"/>
  <c r="M8" i="6"/>
  <c r="M24" i="6"/>
  <c r="M13" i="6"/>
  <c r="M29" i="6"/>
  <c r="U23" i="3"/>
  <c r="U28" i="3"/>
  <c r="U18" i="3"/>
  <c r="U29" i="3"/>
  <c r="U24" i="3"/>
  <c r="U16" i="3"/>
  <c r="U20" i="3"/>
  <c r="U19" i="3"/>
  <c r="U25" i="3"/>
  <c r="U17" i="3"/>
  <c r="U26" i="3"/>
  <c r="U27" i="3"/>
  <c r="U22" i="3"/>
  <c r="AB47" i="1"/>
  <c r="M26" i="6"/>
  <c r="M7" i="6"/>
  <c r="M23" i="6"/>
  <c r="M12" i="6"/>
  <c r="M28" i="6"/>
  <c r="AD45" i="1"/>
  <c r="AE45" i="1"/>
  <c r="AC45" i="1"/>
  <c r="AF45" i="1"/>
  <c r="AE43" i="1"/>
  <c r="AF43" i="1"/>
  <c r="AD43" i="1"/>
  <c r="AC43" i="1"/>
  <c r="AB46" i="1"/>
  <c r="M6" i="6"/>
  <c r="M14" i="6"/>
  <c r="M11" i="6"/>
  <c r="M27" i="6"/>
  <c r="I5" i="6"/>
  <c r="E5" i="6"/>
  <c r="K5" i="6"/>
  <c r="G5" i="6"/>
  <c r="C5" i="6"/>
  <c r="D5" i="6"/>
  <c r="J5" i="6"/>
  <c r="H5" i="6"/>
  <c r="F5" i="6"/>
  <c r="I21" i="6"/>
  <c r="E21" i="6"/>
  <c r="K21" i="6"/>
  <c r="G21" i="6"/>
  <c r="C21" i="6"/>
  <c r="D21" i="6"/>
  <c r="H21" i="6"/>
  <c r="F21" i="6"/>
  <c r="AD44" i="1"/>
  <c r="AE44" i="1"/>
  <c r="AC44" i="1"/>
  <c r="AF44" i="1"/>
  <c r="AB39" i="1"/>
  <c r="AE42" i="1"/>
  <c r="AF42" i="1"/>
  <c r="AD42" i="1"/>
  <c r="AC42" i="1"/>
  <c r="AB42" i="1"/>
  <c r="AC41" i="1"/>
  <c r="AD41" i="1"/>
  <c r="AF41" i="1"/>
  <c r="AE41" i="1"/>
  <c r="M22" i="6"/>
  <c r="M30" i="6"/>
  <c r="M15" i="6"/>
  <c r="M31" i="6"/>
  <c r="M20" i="6"/>
  <c r="M9" i="6"/>
  <c r="AC39" i="1"/>
  <c r="AD39" i="1"/>
  <c r="AF39" i="1"/>
  <c r="AE39" i="1"/>
  <c r="P31" i="5"/>
  <c r="R4" i="5"/>
  <c r="AE48" i="1"/>
  <c r="AF48" i="1"/>
  <c r="AD48" i="1"/>
  <c r="AC48" i="1"/>
  <c r="AB48" i="1"/>
  <c r="AF40" i="1"/>
  <c r="AE40" i="1"/>
  <c r="AD40" i="1"/>
  <c r="AC40" i="1"/>
  <c r="D19" i="6" l="1"/>
  <c r="F19" i="6"/>
  <c r="K19" i="6"/>
  <c r="G19" i="6"/>
  <c r="H19" i="6"/>
  <c r="E19" i="6"/>
  <c r="J19" i="6"/>
  <c r="C19" i="6"/>
  <c r="F25" i="6"/>
  <c r="J25" i="6"/>
  <c r="C25" i="6"/>
  <c r="G25" i="6"/>
  <c r="G17" i="6"/>
  <c r="H25" i="6"/>
  <c r="K25" i="6"/>
  <c r="H17" i="6"/>
  <c r="I25" i="6"/>
  <c r="J17" i="6"/>
  <c r="D17" i="6"/>
  <c r="E17" i="6"/>
  <c r="D16" i="6"/>
  <c r="K17" i="6"/>
  <c r="J16" i="6"/>
  <c r="F17" i="6"/>
  <c r="C17" i="6"/>
  <c r="D25" i="6"/>
  <c r="C16" i="6"/>
  <c r="I16" i="6"/>
  <c r="F16" i="6"/>
  <c r="G16" i="6"/>
  <c r="H16" i="6"/>
  <c r="E16" i="6"/>
  <c r="K20" i="6"/>
  <c r="G20" i="6"/>
  <c r="C20" i="6"/>
  <c r="I20" i="6"/>
  <c r="E20" i="6"/>
  <c r="F20" i="6"/>
  <c r="D20" i="6"/>
  <c r="J20" i="6"/>
  <c r="H20" i="6"/>
  <c r="K22" i="6"/>
  <c r="G22" i="6"/>
  <c r="C22" i="6"/>
  <c r="I22" i="6"/>
  <c r="E22" i="6"/>
  <c r="J22" i="6"/>
  <c r="H22" i="6"/>
  <c r="F22" i="6"/>
  <c r="D22" i="6"/>
  <c r="K6" i="6"/>
  <c r="G6" i="6"/>
  <c r="C6" i="6"/>
  <c r="I6" i="6"/>
  <c r="E6" i="6"/>
  <c r="J6" i="6"/>
  <c r="H6" i="6"/>
  <c r="F6" i="6"/>
  <c r="D6" i="6"/>
  <c r="K12" i="6"/>
  <c r="G12" i="6"/>
  <c r="C12" i="6"/>
  <c r="I12" i="6"/>
  <c r="E12" i="6"/>
  <c r="F12" i="6"/>
  <c r="D12" i="6"/>
  <c r="J12" i="6"/>
  <c r="H12" i="6"/>
  <c r="K24" i="6"/>
  <c r="G24" i="6"/>
  <c r="C24" i="6"/>
  <c r="I24" i="6"/>
  <c r="E24" i="6"/>
  <c r="F24" i="6"/>
  <c r="D24" i="6"/>
  <c r="J24" i="6"/>
  <c r="H24" i="6"/>
  <c r="K10" i="6"/>
  <c r="G10" i="6"/>
  <c r="C10" i="6"/>
  <c r="I10" i="6"/>
  <c r="E10" i="6"/>
  <c r="J10" i="6"/>
  <c r="H10" i="6"/>
  <c r="F10" i="6"/>
  <c r="D10" i="6"/>
  <c r="R31" i="5"/>
  <c r="T9" i="1"/>
  <c r="I31" i="6"/>
  <c r="E31" i="6"/>
  <c r="K31" i="6"/>
  <c r="G31" i="6"/>
  <c r="C31" i="6"/>
  <c r="H31" i="6"/>
  <c r="F31" i="6"/>
  <c r="D31" i="6"/>
  <c r="J31" i="6"/>
  <c r="J21" i="6"/>
  <c r="I27" i="6"/>
  <c r="E27" i="6"/>
  <c r="K27" i="6"/>
  <c r="G27" i="6"/>
  <c r="C27" i="6"/>
  <c r="H27" i="6"/>
  <c r="F27" i="6"/>
  <c r="D27" i="6"/>
  <c r="J27" i="6"/>
  <c r="I23" i="6"/>
  <c r="E23" i="6"/>
  <c r="K23" i="6"/>
  <c r="G23" i="6"/>
  <c r="C23" i="6"/>
  <c r="H23" i="6"/>
  <c r="F23" i="6"/>
  <c r="D23" i="6"/>
  <c r="J23" i="6"/>
  <c r="K8" i="6"/>
  <c r="G8" i="6"/>
  <c r="C8" i="6"/>
  <c r="I8" i="6"/>
  <c r="E8" i="6"/>
  <c r="F8" i="6"/>
  <c r="D8" i="6"/>
  <c r="J8" i="6"/>
  <c r="H8" i="6"/>
  <c r="I15" i="6"/>
  <c r="E15" i="6"/>
  <c r="K15" i="6"/>
  <c r="G15" i="6"/>
  <c r="C15" i="6"/>
  <c r="H15" i="6"/>
  <c r="F15" i="6"/>
  <c r="D15" i="6"/>
  <c r="J15" i="6"/>
  <c r="I11" i="6"/>
  <c r="E11" i="6"/>
  <c r="K11" i="6"/>
  <c r="G11" i="6"/>
  <c r="C11" i="6"/>
  <c r="H11" i="6"/>
  <c r="F11" i="6"/>
  <c r="D11" i="6"/>
  <c r="J11" i="6"/>
  <c r="I7" i="6"/>
  <c r="E7" i="6"/>
  <c r="K7" i="6"/>
  <c r="G7" i="6"/>
  <c r="C7" i="6"/>
  <c r="H7" i="6"/>
  <c r="F7" i="6"/>
  <c r="D7" i="6"/>
  <c r="J7" i="6"/>
  <c r="I29" i="6"/>
  <c r="E29" i="6"/>
  <c r="K29" i="6"/>
  <c r="G29" i="6"/>
  <c r="C29" i="6"/>
  <c r="D29" i="6"/>
  <c r="J29" i="6"/>
  <c r="H29" i="6"/>
  <c r="F29" i="6"/>
  <c r="I9" i="6"/>
  <c r="E9" i="6"/>
  <c r="K9" i="6"/>
  <c r="G9" i="6"/>
  <c r="C9" i="6"/>
  <c r="D9" i="6"/>
  <c r="J9" i="6"/>
  <c r="H9" i="6"/>
  <c r="F9" i="6"/>
  <c r="K30" i="6"/>
  <c r="G30" i="6"/>
  <c r="C30" i="6"/>
  <c r="I30" i="6"/>
  <c r="E30" i="6"/>
  <c r="J30" i="6"/>
  <c r="H30" i="6"/>
  <c r="F30" i="6"/>
  <c r="D30" i="6"/>
  <c r="K14" i="6"/>
  <c r="G14" i="6"/>
  <c r="C14" i="6"/>
  <c r="I14" i="6"/>
  <c r="E14" i="6"/>
  <c r="J14" i="6"/>
  <c r="H14" i="6"/>
  <c r="F14" i="6"/>
  <c r="D14" i="6"/>
  <c r="K28" i="6"/>
  <c r="G28" i="6"/>
  <c r="C28" i="6"/>
  <c r="I28" i="6"/>
  <c r="E28" i="6"/>
  <c r="F28" i="6"/>
  <c r="D28" i="6"/>
  <c r="J28" i="6"/>
  <c r="H28" i="6"/>
  <c r="K26" i="6"/>
  <c r="G26" i="6"/>
  <c r="C26" i="6"/>
  <c r="I26" i="6"/>
  <c r="E26" i="6"/>
  <c r="J26" i="6"/>
  <c r="H26" i="6"/>
  <c r="F26" i="6"/>
  <c r="D26" i="6"/>
  <c r="I13" i="6"/>
  <c r="E13" i="6"/>
  <c r="K13" i="6"/>
  <c r="G13" i="6"/>
  <c r="C13" i="6"/>
  <c r="D13" i="6"/>
  <c r="J13" i="6"/>
  <c r="H13" i="6"/>
  <c r="F13" i="6"/>
  <c r="K18" i="6"/>
  <c r="G18" i="6"/>
  <c r="C18" i="6"/>
  <c r="I18" i="6"/>
  <c r="E18" i="6"/>
  <c r="J18" i="6"/>
  <c r="H18" i="6"/>
  <c r="F18" i="6"/>
  <c r="D18" i="6"/>
  <c r="J32" i="6" l="1"/>
  <c r="F32" i="6"/>
  <c r="H3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DAintern</author>
  </authors>
  <commentList>
    <comment ref="BC12" authorId="0" shapeId="0" xr:uid="{00000000-0006-0000-0300-000001000000}">
      <text>
        <r>
          <rPr>
            <sz val="11"/>
            <color theme="1"/>
            <rFont val="Calibri"/>
            <family val="2"/>
            <scheme val="minor"/>
          </rPr>
          <t xml:space="preserve">DAintern:
damaged item
</t>
        </r>
      </text>
    </comment>
    <comment ref="CD30" authorId="0" shapeId="0" xr:uid="{00000000-0006-0000-0300-000002000000}">
      <text>
        <r>
          <rPr>
            <sz val="11"/>
            <color theme="1"/>
            <rFont val="Calibri"/>
            <family val="2"/>
            <scheme val="minor"/>
          </rPr>
          <t>DAintern:
Spoil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C3" authorId="0" shapeId="0" xr:uid="{00000000-0006-0000-0400-000001000000}">
      <text>
        <r>
          <rPr>
            <sz val="11"/>
            <color theme="1"/>
            <rFont val="Calibri"/>
            <family val="2"/>
            <scheme val="minor"/>
          </rPr>
          <t>Total consumption of the item ÷ number of days it had stock (closing &gt; 0), summed across every weekly block on Pantry Inventory and matched by item name.</t>
        </r>
      </text>
    </comment>
    <comment ref="E3" authorId="0" shapeId="0" xr:uid="{00000000-0006-0000-0400-000002000000}">
      <text>
        <r>
          <rPr>
            <sz val="11"/>
            <color theme="1"/>
            <rFont val="Calibri"/>
            <family val="2"/>
            <scheme val="minor"/>
          </rPr>
          <t>Latest counted closing stock on 'Pantry Inventory' + any stock-in recorded after that count date. No typing needed.</t>
        </r>
      </text>
    </comment>
    <comment ref="AC3" authorId="0" shapeId="0" xr:uid="{00000000-0006-0000-0400-000003000000}">
      <text>
        <r>
          <rPr>
            <sz val="11"/>
            <color theme="1"/>
            <rFont val="Calibri"/>
            <family val="2"/>
            <scheme val="minor"/>
          </rPr>
          <t>A = items making up the first part of consumption value (cut-off in E49), B = up to the second cut-off (E50), C = the rest. Value = units consumed month-to-date x unit price.</t>
        </r>
      </text>
    </comment>
    <comment ref="AD3" authorId="0" shapeId="0" xr:uid="{00000000-0006-0000-0400-000004000000}">
      <text>
        <r>
          <rPr>
            <sz val="11"/>
            <color theme="1"/>
            <rFont val="Calibri"/>
            <family val="2"/>
            <scheme val="minor"/>
          </rPr>
          <t>Sample standard deviation of daily consumption on the days the item had stock (same days as the average in column C).</t>
        </r>
      </text>
    </comment>
    <comment ref="AG3" authorId="0" shapeId="0" xr:uid="{00000000-0006-0000-0400-000005000000}">
      <text>
        <r>
          <rPr>
            <sz val="11"/>
            <color theme="1"/>
            <rFont val="Calibri"/>
            <family val="2"/>
            <scheme val="minor"/>
          </rPr>
          <t>z(service level) x std dev x square root of lead time. Buffer against demand swings while waiting for delivery.</t>
        </r>
      </text>
    </comment>
    <comment ref="AH3" authorId="0" shapeId="0" xr:uid="{00000000-0006-0000-0400-000006000000}">
      <text>
        <r>
          <rPr>
            <sz val="11"/>
            <color theme="1"/>
            <rFont val="Calibri"/>
            <family val="2"/>
            <scheme val="minor"/>
          </rPr>
          <t>Average use per day x lead time + safety stock. When stock remaining falls to this level, order.</t>
        </r>
      </text>
    </comment>
  </commentList>
</comments>
</file>

<file path=xl/sharedStrings.xml><?xml version="1.0" encoding="utf-8"?>
<sst xmlns="http://schemas.openxmlformats.org/spreadsheetml/2006/main" count="1237" uniqueCount="486">
  <si>
    <t>FILTERS  -  pick a value in any box below   (All = no filter)</t>
  </si>
  <si>
    <t>WEEK</t>
  </si>
  <si>
    <t>CATEGORY</t>
  </si>
  <si>
    <t>DATE</t>
  </si>
  <si>
    <t>DAY</t>
  </si>
  <si>
    <t>BRAND</t>
  </si>
  <si>
    <t>ITEM</t>
  </si>
  <si>
    <t>All</t>
  </si>
  <si>
    <t>Category / Flavor profile / Brand / Item filter every card and chart.  Week / Date / Day also filter the Activity Analysis section (bottom).  Set a box back to All to clear it.</t>
  </si>
  <si>
    <t>ITEMS TRACKED</t>
  </si>
  <si>
    <t>OUT OF STOCK</t>
  </si>
  <si>
    <t>CRITICAL</t>
  </si>
  <si>
    <t>LOW</t>
  </si>
  <si>
    <t>WATCH</t>
  </si>
  <si>
    <t>HEALTHY</t>
  </si>
  <si>
    <t>NO USAGE</t>
  </si>
  <si>
    <t>ORDER NOW (ITEMS)</t>
  </si>
  <si>
    <t>CARTONS TO BUY</t>
  </si>
  <si>
    <t>EST. ORDER COST</t>
  </si>
  <si>
    <t>COUNT TALLY %</t>
  </si>
  <si>
    <t>MISMATCHES</t>
  </si>
  <si>
    <t>WHAT PEOPLE PREFER  -  units consumed for the current filters (Flavor profile ignored)   (needle = leading type)</t>
  </si>
  <si>
    <t>STOCK COVER  -  days left, 10 most urgent items</t>
  </si>
  <si>
    <t>FEED FOR GAUGES / CHARTS - formulas, please do not overwrite</t>
  </si>
  <si>
    <t>Needle width</t>
  </si>
  <si>
    <t>(chart units, 200 = full circle)</t>
  </si>
  <si>
    <t>FEED FOR ACTIVITY ANALYSIS &amp; ABC - formulas, please do not overwrite</t>
  </si>
  <si>
    <t>SNACKS  (Sweet vs Savoury)</t>
  </si>
  <si>
    <t>Type</t>
  </si>
  <si>
    <t>Units</t>
  </si>
  <si>
    <t>Share %</t>
  </si>
  <si>
    <t>Chart label</t>
  </si>
  <si>
    <t>Needle</t>
  </si>
  <si>
    <t>Date label</t>
  </si>
  <si>
    <t>Date</t>
  </si>
  <si>
    <t>Counted rows</t>
  </si>
  <si>
    <t>Day</t>
  </si>
  <si>
    <t>Item</t>
  </si>
  <si>
    <t>Rank</t>
  </si>
  <si>
    <t>Value</t>
  </si>
  <si>
    <t>Share</t>
  </si>
  <si>
    <t>Cum. share before</t>
  </si>
  <si>
    <t>Class</t>
  </si>
  <si>
    <t>Item (short)</t>
  </si>
  <si>
    <t>Cumulative %</t>
  </si>
  <si>
    <t>Items</t>
  </si>
  <si>
    <t>Share of value</t>
  </si>
  <si>
    <t>Class A item</t>
  </si>
  <si>
    <t>Sweet</t>
  </si>
  <si>
    <t>Tue</t>
  </si>
  <si>
    <t>A</t>
  </si>
  <si>
    <t>Savoury</t>
  </si>
  <si>
    <t>Wed</t>
  </si>
  <si>
    <t>B</t>
  </si>
  <si>
    <t>(hidden half)</t>
  </si>
  <si>
    <t>Thu</t>
  </si>
  <si>
    <t>C</t>
  </si>
  <si>
    <t>Fri</t>
  </si>
  <si>
    <t>Total units</t>
  </si>
  <si>
    <t>Sat</t>
  </si>
  <si>
    <t>Leading type</t>
  </si>
  <si>
    <t>Sun</t>
  </si>
  <si>
    <t>Leader position</t>
  </si>
  <si>
    <t>Mon</t>
  </si>
  <si>
    <t>Needle centre (0-100)</t>
  </si>
  <si>
    <t>BEVERAGES  (Coffee / Tea / Other)</t>
  </si>
  <si>
    <t>Week</t>
  </si>
  <si>
    <t>Coffee</t>
  </si>
  <si>
    <t>Tea</t>
  </si>
  <si>
    <t>Other</t>
  </si>
  <si>
    <t>REORDER PRIORITY  -  the 10 items with the least stock cover</t>
  </si>
  <si>
    <t>STOREHOUSE STOCK-TAKE  (count vs closing stock)</t>
  </si>
  <si>
    <t>#</t>
  </si>
  <si>
    <t>ABC</t>
  </si>
  <si>
    <t>Status</t>
  </si>
  <si>
    <t>Stock remaining</t>
  </si>
  <si>
    <t>Days of cover</t>
  </si>
  <si>
    <t>Depletes (excl. holiday)</t>
  </si>
  <si>
    <t>Order now (CTN)</t>
  </si>
  <si>
    <t>Order qty (units)</t>
  </si>
  <si>
    <t>Est. cost</t>
  </si>
  <si>
    <t>Items counted</t>
  </si>
  <si>
    <t>row#</t>
  </si>
  <si>
    <t>Tally</t>
  </si>
  <si>
    <t>Mismatch</t>
  </si>
  <si>
    <t>Not yet counted</t>
  </si>
  <si>
    <t>Mismatched items (first 8)</t>
  </si>
  <si>
    <t>TOP-10 COVER CHART HELPER</t>
  </si>
  <si>
    <t>Closing stock</t>
  </si>
  <si>
    <t>Variance</t>
  </si>
  <si>
    <t>Out / Critical</t>
  </si>
  <si>
    <t>Low</t>
  </si>
  <si>
    <t>Watch</t>
  </si>
  <si>
    <t>Healthy</t>
  </si>
  <si>
    <t>ABC = importance by consumption value (set the cut-offs on 'Item Purchases' E49:E50).  Days of cover = stock remaining ÷ average consumption per day.</t>
  </si>
  <si>
    <t>Total value</t>
  </si>
  <si>
    <t>Top 10 item</t>
  </si>
  <si>
    <t>Enter counts on the 'Storehouse Replenishment Schedu' sheet, column CS (yellow).</t>
  </si>
  <si>
    <t>ACTIVITY ANALYSIS  -  responds to every filter above (week, category, flavor profile, date, day, brand, item)</t>
  </si>
  <si>
    <t>UNITS CONSUMED</t>
  </si>
  <si>
    <t>UNITS STOCKED IN</t>
  </si>
  <si>
    <t>CONSUMPTION VALUE</t>
  </si>
  <si>
    <t>DAYS WITH COUNTS</t>
  </si>
  <si>
    <t>AVG UNITS / DAY</t>
  </si>
  <si>
    <t>ITEMS CONSUMED</t>
  </si>
  <si>
    <t>Counts come from 'Pantry Inventory' via the 'Daily Data' sheet; days with no closing count entered are excluded.</t>
  </si>
  <si>
    <t>ABC classification  (current filters)</t>
  </si>
  <si>
    <t>Rule</t>
  </si>
  <si>
    <t>Value = units consumed x unit price. Cut-offs: 'Item Purchases' E49:E50.</t>
  </si>
  <si>
    <t>Class A items  -  top 9 by value</t>
  </si>
  <si>
    <t>ABC x XYZ matrix  (number of items, current filters)</t>
  </si>
  <si>
    <t>Items at or below their reorder point  (top 8 by shortfall, current filters)</t>
  </si>
  <si>
    <t>ABC \ XYZ</t>
  </si>
  <si>
    <t>X  steady</t>
  </si>
  <si>
    <t>Y  moderate</t>
  </si>
  <si>
    <t>Z  erratic</t>
  </si>
  <si>
    <t>XYZ</t>
  </si>
  <si>
    <t>Reorder point</t>
  </si>
  <si>
    <t>Safety stock</t>
  </si>
  <si>
    <t>Short by (units)</t>
  </si>
  <si>
    <t>ITEMS TO REORDER</t>
  </si>
  <si>
    <t>SAFETY STOCK (UNITS)</t>
  </si>
  <si>
    <t>SAFETY STOCK VALUE</t>
  </si>
  <si>
    <t>Reorder point = average use per day x lead time + safety stock.  Safety stock = z x std dev of daily use x square root of lead time.</t>
  </si>
  <si>
    <t>Sep Week 1</t>
  </si>
  <si>
    <t xml:space="preserve">Weekly Total </t>
  </si>
  <si>
    <t>Brand</t>
  </si>
  <si>
    <t>Description</t>
  </si>
  <si>
    <t>Opening Stk</t>
  </si>
  <si>
    <t>Stock In</t>
  </si>
  <si>
    <t>Closing Stk</t>
  </si>
  <si>
    <t>Consumption</t>
  </si>
  <si>
    <t xml:space="preserve">Stock in </t>
  </si>
  <si>
    <t>Sep 2026</t>
  </si>
  <si>
    <t>day w Cl.St/week</t>
  </si>
  <si>
    <t>total day w Cl.St</t>
  </si>
  <si>
    <t>total consumption</t>
  </si>
  <si>
    <t>avg con/day (a week)</t>
  </si>
  <si>
    <t xml:space="preserve">Total Stock in </t>
  </si>
  <si>
    <t>Price</t>
  </si>
  <si>
    <t>Total</t>
  </si>
  <si>
    <t>Julie's</t>
  </si>
  <si>
    <t>Julie's Peanut Butter Sandwich 360g (12pkts x 30g)</t>
  </si>
  <si>
    <t>Julies Butter Waffles</t>
  </si>
  <si>
    <t>Julies Choco More Sandwich (44G)</t>
  </si>
  <si>
    <t>Julies Cheese Sandwich (28G)</t>
  </si>
  <si>
    <t>Nature Valley</t>
  </si>
  <si>
    <t>NV OATS &amp; DARK CHOC 42GX5</t>
  </si>
  <si>
    <t xml:space="preserve">NV PROTEIN - SALTED CARAMEL 40G </t>
  </si>
  <si>
    <t>BBMG</t>
  </si>
  <si>
    <t>BBMG 90G</t>
  </si>
  <si>
    <t>Lays</t>
  </si>
  <si>
    <t>Lays Potato Chips (Original) 50g</t>
  </si>
  <si>
    <t xml:space="preserve">Lays Double Crunch - Seaweed Flav (50g) </t>
  </si>
  <si>
    <t>Munchy</t>
  </si>
  <si>
    <t>Munchy Oat Krunch - Dark Choco</t>
  </si>
  <si>
    <t>Munchy Oat Krunch - Strawberry &amp; Blackcurrant</t>
  </si>
  <si>
    <t>Nestle</t>
  </si>
  <si>
    <t>Milo 200ml</t>
  </si>
  <si>
    <t>Nescafe Latte 240ml</t>
  </si>
  <si>
    <t>Nescafe original 240ml</t>
  </si>
  <si>
    <t>COWA</t>
  </si>
  <si>
    <t>COWA Coconut Water 330 ml</t>
  </si>
  <si>
    <t>Coca Cola</t>
  </si>
  <si>
    <t>COKE ZERO  325ML</t>
  </si>
  <si>
    <t>KARTA Coconut Water 330 ml</t>
  </si>
  <si>
    <t>Ayataka Tea 300ml</t>
  </si>
  <si>
    <t>Oolong Tea 300ml</t>
  </si>
  <si>
    <t>Vsoy</t>
  </si>
  <si>
    <t>Vsoy Soya Bean  250ml</t>
  </si>
  <si>
    <t>BingRae</t>
  </si>
  <si>
    <t>BingRae Banana Milk 200ml</t>
  </si>
  <si>
    <t>Fuze Tea</t>
  </si>
  <si>
    <t>Fuze Tea by Heaven and Earth Jasmine Tea</t>
  </si>
  <si>
    <t>F&amp;N</t>
  </si>
  <si>
    <t>FN 100 plus (original) 325ml</t>
  </si>
  <si>
    <t>Spritzer</t>
  </si>
  <si>
    <t>Spritzer sparkling water (original) 400ml</t>
  </si>
  <si>
    <t>Oat Side</t>
  </si>
  <si>
    <t>Oat Side Original 200ml</t>
  </si>
  <si>
    <t>Oat Side Chocolate 200ml</t>
  </si>
  <si>
    <t>Sep Week 2</t>
  </si>
  <si>
    <t>Stock in</t>
  </si>
  <si>
    <t>*Adjusted Pricing for Coke Zero, Ayataka and Oolong Tea</t>
  </si>
  <si>
    <t>Sep Week 3</t>
  </si>
  <si>
    <t>Sep Week 4</t>
  </si>
  <si>
    <t>KARTA</t>
  </si>
  <si>
    <t>Sep Week 5</t>
  </si>
  <si>
    <t>Flavor Profile</t>
  </si>
  <si>
    <t>Closing Stock</t>
  </si>
  <si>
    <t>Unit Price</t>
  </si>
  <si>
    <t>Consumption Value</t>
  </si>
  <si>
    <t>Counted? (1=closing entered)</t>
  </si>
  <si>
    <t>In dashboard filter</t>
  </si>
  <si>
    <t>In filter (ignore Flavor Profile)</t>
  </si>
  <si>
    <t>Consumption squared (for std dev)</t>
  </si>
  <si>
    <t>Week list</t>
  </si>
  <si>
    <t>Category list</t>
  </si>
  <si>
    <t>Date list</t>
  </si>
  <si>
    <t>Day list</t>
  </si>
  <si>
    <t>Brand list</t>
  </si>
  <si>
    <t>Item list</t>
  </si>
  <si>
    <t>Columns A:N and AG are formulas linked to Pantry Inventory (one row per item per day slot; a blank date is inferred as the next working day once the slot holds data). Columns P:V feed the Dashboard filter drop-downs. Do not overwrite.</t>
  </si>
  <si>
    <t>Slot date (typed or inferred)</t>
  </si>
  <si>
    <t>Brand per item row</t>
  </si>
  <si>
    <t>Brand 1st-occurrence #</t>
  </si>
  <si>
    <t>Item #</t>
  </si>
  <si>
    <t>Date if inferred</t>
  </si>
  <si>
    <t>Allowed tolerance (± units) →</t>
  </si>
  <si>
    <t xml:space="preserve">Storehouse Sep 2026 </t>
  </si>
  <si>
    <t xml:space="preserve">Month to Date </t>
  </si>
  <si>
    <t>STOCK-TAKE TALLY</t>
  </si>
  <si>
    <t>Opening Stock</t>
  </si>
  <si>
    <t xml:space="preserve">Stock Out </t>
  </si>
  <si>
    <t xml:space="preserve">Stock In </t>
  </si>
  <si>
    <t>Total Stock Out</t>
  </si>
  <si>
    <t xml:space="preserve">Total Stock In </t>
  </si>
  <si>
    <t>Physical Count</t>
  </si>
  <si>
    <t>Variance (Count − Closing)</t>
  </si>
  <si>
    <t>Tally?</t>
  </si>
  <si>
    <t>Remarks</t>
  </si>
  <si>
    <t>Mismatch #</t>
  </si>
  <si>
    <t>TOTAL (all items)</t>
  </si>
  <si>
    <t>STOCK-TAKE SUMMARY</t>
  </si>
  <si>
    <t>Tally (count = closing stock)</t>
  </si>
  <si>
    <t>Tally rate (of items counted)</t>
  </si>
  <si>
    <t>How to use: type the counted quantity in 'Physical Count' (yellow, column CS). It is compared with 'Closing Stock' (column CR).</t>
  </si>
  <si>
    <t>Note: Closing Stock includes every Stock In / Stock Out already scheduled up to 30 Sep, so count against it once the schedule is up to date, or set a tolerance in CV1.</t>
  </si>
  <si>
    <t xml:space="preserve">Estimation of Stock to be Purchased </t>
  </si>
  <si>
    <t>Calculation start date:</t>
  </si>
  <si>
    <t>Cover until:</t>
  </si>
  <si>
    <t>AUTO STATUS &amp; ORDER PLAN</t>
  </si>
  <si>
    <t>PREFERENCE DATA</t>
  </si>
  <si>
    <t>AUTOMATION HELPERS  (formulas - do not edit)</t>
  </si>
  <si>
    <t>Average consumption /day (auto)</t>
  </si>
  <si>
    <t xml:space="preserve">Storehouse </t>
  </si>
  <si>
    <t>Pantry (auto from daily count)</t>
  </si>
  <si>
    <t>No of days until run out of stocks</t>
  </si>
  <si>
    <t>stock deplated date</t>
  </si>
  <si>
    <t>DEPLATE EXCL.HOLIDAY</t>
  </si>
  <si>
    <t>estimated consumption total</t>
  </si>
  <si>
    <t>Need to purchase (CTN)</t>
  </si>
  <si>
    <t>Stock Status (auto)</t>
  </si>
  <si>
    <t>Urgency Rank (1 = most urgent)</t>
  </si>
  <si>
    <t>Order Now (whole CTN)</t>
  </si>
  <si>
    <t>Order Qty (units)</t>
  </si>
  <si>
    <t>Est. Cost</t>
  </si>
  <si>
    <t>Flavor Profile (pick from list)</t>
  </si>
  <si>
    <t>Consumed MTD (units)</t>
  </si>
  <si>
    <t>Last pantry count date</t>
  </si>
  <si>
    <t>In dashboard filter (1/0)</t>
  </si>
  <si>
    <t>Dashboard rank (filtered)</t>
  </si>
  <si>
    <t>PO order rank</t>
  </si>
  <si>
    <t>Consumption value (MTD)</t>
  </si>
  <si>
    <t>Value rank</t>
  </si>
  <si>
    <t>Cumulative share</t>
  </si>
  <si>
    <t>ABC class</t>
  </si>
  <si>
    <t>Std dev of daily use</t>
  </si>
  <si>
    <t>CV (std dev / avg)</t>
  </si>
  <si>
    <t>XYZ class</t>
  </si>
  <si>
    <t>Safety stock (units)</t>
  </si>
  <si>
    <t>Reorder point (units)</t>
  </si>
  <si>
    <t>Reorder status</t>
  </si>
  <si>
    <t>Reorder point minus stock</t>
  </si>
  <si>
    <t>Shortfall rank (filtered)</t>
  </si>
  <si>
    <t>Mismatch rank (filtered)</t>
  </si>
  <si>
    <t>TOTAL</t>
  </si>
  <si>
    <t>holiday</t>
  </si>
  <si>
    <t>STOCK STATUS RULES  (edit the yellow cells)</t>
  </si>
  <si>
    <t>Days of cover ≤</t>
  </si>
  <si>
    <t>What it means / action</t>
  </si>
  <si>
    <t>stock = 0</t>
  </si>
  <si>
    <t>Nothing left - order immediately.</t>
  </si>
  <si>
    <t>Runs out within this many days - expedite the order.</t>
  </si>
  <si>
    <t>Runs out within this many days - place an order this week.</t>
  </si>
  <si>
    <t>Runs out within this many days - include in the next order.</t>
  </si>
  <si>
    <t>&gt; Watch</t>
  </si>
  <si>
    <t>Enough cover - no action.</t>
  </si>
  <si>
    <t>avg = 0</t>
  </si>
  <si>
    <t>No consumption recorded - review or delist.</t>
  </si>
  <si>
    <t>Status is driven by 'No of days until run out of stocks' (column G) = Stock remaining ÷ average consumption per day.</t>
  </si>
  <si>
    <t>AUTOMATION SETTINGS  (leave blank = fully automatic)</t>
  </si>
  <si>
    <t>Setting</t>
  </si>
  <si>
    <t>Override</t>
  </si>
  <si>
    <t>What it does</t>
  </si>
  <si>
    <t>Start date</t>
  </si>
  <si>
    <t>Blank = latest date that has a pantry count on 'Pantry Inventory' (auto-detected into H1).</t>
  </si>
  <si>
    <t>Cover until</t>
  </si>
  <si>
    <t>Blank = last day of the current month (auto, J1). Type a date to buy for a longer or shorter period.</t>
  </si>
  <si>
    <t>ABC class A</t>
  </si>
  <si>
    <t>Items that make up the first 80% of consumption value (units x unit price) are class A.</t>
  </si>
  <si>
    <t>ABC class B</t>
  </si>
  <si>
    <t>Items up to 95% are class B; the rest are class C. Change the cut-offs here.</t>
  </si>
  <si>
    <t>Lead time (days)</t>
  </si>
  <si>
    <t>Days between placing an order and receiving it. Used for the reorder point and safety stock.</t>
  </si>
  <si>
    <t>Service level</t>
  </si>
  <si>
    <t>Chance of not running out during the lead time (95% = z of 1.645). Higher = more safety stock.</t>
  </si>
  <si>
    <t>XYZ: X up to CV</t>
  </si>
  <si>
    <t>CV = std dev / average daily use. At or below this = X (steady demand).</t>
  </si>
  <si>
    <t>XYZ: Y up to CV</t>
  </si>
  <si>
    <t>Above X and up to this = Y (moderate); above it = Z (erratic).</t>
  </si>
  <si>
    <t>Add safety stock to order?</t>
  </si>
  <si>
    <t>No</t>
  </si>
  <si>
    <t>Yes = the 'Need to purchase' quantity also covers the safety stock. No = purchase estimate unchanged.</t>
  </si>
  <si>
    <t>Pantry = latest counted closing stock + any stock-in after that count  |  Storehouse = closing stock on the Storehouse sheet  |  Avg/day = total consumption ÷ days with stock, matched by item name (not by row position).</t>
  </si>
  <si>
    <t>Purchase Order - Uber Pantry</t>
  </si>
  <si>
    <t>Cartons to order</t>
  </si>
  <si>
    <t>Units / carton</t>
  </si>
  <si>
    <t>Unit price</t>
  </si>
  <si>
    <t>Runs out (excl. holiday)</t>
  </si>
  <si>
    <t>Lists only items that need ordering (cartons &gt; 0), most urgent first. Edit thresholds, holidays or the cover-until date on 'Item Purchases' - this list refreshes by itself.</t>
  </si>
  <si>
    <t>Item Description</t>
  </si>
  <si>
    <t>Unit per CTN</t>
  </si>
  <si>
    <t>FLAVOR PROFILE</t>
  </si>
  <si>
    <t>PANTRY INSIGHTS   -   stock in the pantry, what people use and prefer</t>
  </si>
  <si>
    <t>STOREHOUSE INSIGHTS   -   stock held back from the pantry, transfers, spoilage and the stocking decision</t>
  </si>
  <si>
    <t>STOREHOUSE STOCK</t>
  </si>
  <si>
    <t>STOCK OUT (MTD)</t>
  </si>
  <si>
    <t>SPOILED / DAMAGED</t>
  </si>
  <si>
    <t>SENT TO PANTRY (NET)</t>
  </si>
  <si>
    <t>RECEIVED IN (MTD)</t>
  </si>
  <si>
    <t>ITEMS EMPTY</t>
  </si>
  <si>
    <t>COVER (DAYS)</t>
  </si>
  <si>
    <t>TRANSFER MISMATCH</t>
  </si>
  <si>
    <t>STOREHOUSE MOVEMENT AND WHERE THE STOCK SITS   (Category / Flavor profile / Brand / Item filters apply)</t>
  </si>
  <si>
    <t>FEED FOR STOREHOUSE INSIGHTS - formulas, please do not overwrite</t>
  </si>
  <si>
    <t>FEED FOR LOW-PREFERENCE REVIEW - formulas, please do not overwrite</t>
  </si>
  <si>
    <t>In filter &amp; has usage</t>
  </si>
  <si>
    <t>Storehouse stock</t>
  </si>
  <si>
    <t>Pantry stock</t>
  </si>
  <si>
    <t>Avg use/day</t>
  </si>
  <si>
    <t>Storehouse cover (d)</t>
  </si>
  <si>
    <t>Total cover (d)</t>
  </si>
  <si>
    <t>Pantry cover (d)</t>
  </si>
  <si>
    <t>Stock out MTD</t>
  </si>
  <si>
    <t>Pantry received MTD</t>
  </si>
  <si>
    <t>Difference</t>
  </si>
  <si>
    <t>Action</t>
  </si>
  <si>
    <t>Watch rank</t>
  </si>
  <si>
    <t>Gap rank</t>
  </si>
  <si>
    <t>Recon flag</t>
  </si>
  <si>
    <t>Spoiled / damaged</t>
  </si>
  <si>
    <t>Sent to pantry (net)</t>
  </si>
  <si>
    <t>Spoilage note</t>
  </si>
  <si>
    <t>Label</t>
  </si>
  <si>
    <t>Stock out</t>
  </si>
  <si>
    <t>Received from suppliers</t>
  </si>
  <si>
    <t>Pantry received (all items)</t>
  </si>
  <si>
    <t>Gap (all items)</t>
  </si>
  <si>
    <t>Abs gap</t>
  </si>
  <si>
    <t>Flavor profile</t>
  </si>
  <si>
    <t>Storehouse</t>
  </si>
  <si>
    <t>Pantry</t>
  </si>
  <si>
    <t>Eligible (1/0)</t>
  </si>
  <si>
    <t>Preference rank (lowest first)</t>
  </si>
  <si>
    <t>Month to date. Stock out includes spoiled / damaged units (Storehouse sheet, column CX), which never reach the pantry. Cover = storehouse stock / avg daily pantry use. Mismatch = stock out - spoiled - pantry stock-in.</t>
  </si>
  <si>
    <t>STOREHOUSE REPLENISHMENT WATCH  -  the 10 items with the least storehouse cover (of items with usage)</t>
  </si>
  <si>
    <t>Avg use / day</t>
  </si>
  <si>
    <t>Storehouse cover (days)</t>
  </si>
  <si>
    <t>Total cover (days)</t>
  </si>
  <si>
    <t>Sent to pantry (net, MTD)</t>
  </si>
  <si>
    <t>Pantry received (MTD)</t>
  </si>
  <si>
    <t>Suggested action</t>
  </si>
  <si>
    <t>TRANSFER RECONCILIATION  -  stock out less spoiled / damaged should equal pantry stock-in (month to date, filtered items)</t>
  </si>
  <si>
    <t>Pantry received</t>
  </si>
  <si>
    <t>What to check</t>
  </si>
  <si>
    <t>STOCKING DECISION  -  items people use least, and what is left to sell through   (filters apply)</t>
  </si>
  <si>
    <t>SUGGESTED PHASE OUT (ITEMS)</t>
  </si>
  <si>
    <t>TO REVIEW (ITEMS)</t>
  </si>
  <si>
    <t>DISCONTINUED (ITEMS)</t>
  </si>
  <si>
    <t>STOCK LEFT IN PHASE OUT / DISCONTINUED (UNITS)</t>
  </si>
  <si>
    <t>LOWEST PREFERENCE  -  the 10 active items used least compared with their category average (items with enough counted days)</t>
  </si>
  <si>
    <t>Category</t>
  </si>
  <si>
    <t>Flavor</t>
  </si>
  <si>
    <t>Avg / day</t>
  </si>
  <si>
    <t>Index</t>
  </si>
  <si>
    <t>Trend</t>
  </si>
  <si>
    <t>Stock</t>
  </si>
  <si>
    <t>Days left</t>
  </si>
  <si>
    <t>Verdict</t>
  </si>
  <si>
    <t>SPOILAGE</t>
  </si>
  <si>
    <t>Spoiled / damaged (units)</t>
  </si>
  <si>
    <t>Spoilage note (date / reason)</t>
  </si>
  <si>
    <t>Flavor profile list</t>
  </si>
  <si>
    <t>Counted day # (per item)</t>
  </si>
  <si>
    <t>Consumption (numeric)</t>
  </si>
  <si>
    <t>In stock on counted day (1/0)</t>
  </si>
  <si>
    <t>Snacks</t>
  </si>
  <si>
    <t>Beverages</t>
  </si>
  <si>
    <t>STOCKING DECISION  (low preference?  set Active / Discontinued)</t>
  </si>
  <si>
    <t>PHASE-OUT HELPERS  (formulas - do not edit)</t>
  </si>
  <si>
    <t>Category (pick from list)</t>
  </si>
  <si>
    <t>Stock status (pick from list)</t>
  </si>
  <si>
    <t>Share of category daily use</t>
  </si>
  <si>
    <t>Preference rank in category (1 = most used)</t>
  </si>
  <si>
    <t>Preference index (1.0 = category average)</t>
  </si>
  <si>
    <t>Trend (2nd half vs 1st half)</t>
  </si>
  <si>
    <t>Preference verdict (auto)</t>
  </si>
  <si>
    <t>Stock value on hand</t>
  </si>
  <si>
    <t>Counted days in stock</t>
  </si>
  <si>
    <t>Mid-point (counted day #)</t>
  </si>
  <si>
    <t>Avg use/day - 1st half</t>
  </si>
  <si>
    <t>Avg use/day - 2nd half</t>
  </si>
  <si>
    <t>Counted days (any)</t>
  </si>
  <si>
    <t>Active</t>
  </si>
  <si>
    <t>PHASE-OUT SETTINGS  (edit the yellow cells)</t>
  </si>
  <si>
    <t>Low preference: index at or below</t>
  </si>
  <si>
    <t>Preference index = average daily use while in stock / average of the active items in the same category. 0.5 = used at less than half the category rate.</t>
  </si>
  <si>
    <t>Falling trend: change at or below</t>
  </si>
  <si>
    <t>Average daily use in the second half of the counted days vs the first half. -20% = down by a fifth or more.</t>
  </si>
  <si>
    <t>Minimum counted days</t>
  </si>
  <si>
    <t>Items with fewer in-stock counted days show NEED MORE DATA instead of a verdict.</t>
  </si>
  <si>
    <t>How the verdict works</t>
  </si>
  <si>
    <t>PHASE OUT = low preference AND falling trend (or no use at all). REVIEW = low preference OR a falling trend. KEEP = otherwise. Set column AN to Discontinued to stop ordering the item.</t>
  </si>
  <si>
    <t>Accuracy Check - is the dashboard right, and can its forecasts be trusted?</t>
  </si>
  <si>
    <t>Everything on this sheet is formula-driven and updates with the daily counts. Yellow cells are settings you can change.</t>
  </si>
  <si>
    <t>1.  DATA CHECKS  -  does the dashboard agree with itself and with the counts?</t>
  </si>
  <si>
    <t/>
  </si>
  <si>
    <t>Check</t>
  </si>
  <si>
    <t>Result</t>
  </si>
  <si>
    <t>Expected</t>
  </si>
  <si>
    <t>What a failure means</t>
  </si>
  <si>
    <t>Total consumption: Daily Data vs Item Purchases</t>
  </si>
  <si>
    <t>0</t>
  </si>
  <si>
    <t>Part of the pantry count is not reaching Item Purchases (an item missing or renamed).</t>
  </si>
  <si>
    <t>Pantry items not found in Item Purchases</t>
  </si>
  <si>
    <t>An item is counted in Pantry Inventory but has no row in Item Purchases, so it is left out of every analysis.</t>
  </si>
  <si>
    <t>Days with negative consumption</t>
  </si>
  <si>
    <t>Closing stock is higher than opening + stock in: a typing error or an unrecorded delivery.</t>
  </si>
  <si>
    <t>Items with a zero unit price</t>
  </si>
  <si>
    <t>Cost and ABC / value figures understate the true consumption value.</t>
  </si>
  <si>
    <t>Rows with no Flavor Profile or Category</t>
  </si>
  <si>
    <t>Pick a Flavor Profile and Category on Item Purchases, otherwise gauges and filters miss these rows.</t>
  </si>
  <si>
    <t>Storehouse count mismatches</t>
  </si>
  <si>
    <t>The physical storehouse count differs from the closing stock on the schedule.</t>
  </si>
  <si>
    <t>Storehouse count tally rate</t>
  </si>
  <si>
    <t>95% or more</t>
  </si>
  <si>
    <t>Fewer than 95% of storehouse counts agree with the system (n/a until a physical count is entered).</t>
  </si>
  <si>
    <t>Dashboard status counts add up to items tracked</t>
  </si>
  <si>
    <t>An item has no status, so the KPI cards do not add up.</t>
  </si>
  <si>
    <t>Items not counted on the latest count day</t>
  </si>
  <si>
    <t>The pantry count was skipped for some items, so their stock and run-out dates are stale.</t>
  </si>
  <si>
    <t>Overall</t>
  </si>
  <si>
    <t>2.  SETTINGS  -  yellow cells can be changed</t>
  </si>
  <si>
    <t>Back-test: share of counted days used to learn</t>
  </si>
  <si>
    <t>Minimum counted days needed for a back-test</t>
  </si>
  <si>
    <t>Outlier: std deviations from the item average</t>
  </si>
  <si>
    <t>Tracking signal limit (+/-) before DRIFTING</t>
  </si>
  <si>
    <t>Forecast error (WAPE) counted as GOOD up to</t>
  </si>
  <si>
    <t>Forecast error (WAPE) counted as ACCEPTABLE up to</t>
  </si>
  <si>
    <t>Target service level (linked from Item Purchases)</t>
  </si>
  <si>
    <t>3.  PER-ITEM ACCURACY  -  reliability of each average, outliers, back-test of the forecast, stock-out record</t>
  </si>
  <si>
    <t>Counted days</t>
  </si>
  <si>
    <t>Std dev / day</t>
  </si>
  <si>
    <t>95% CI low</t>
  </si>
  <si>
    <t>95% CI high</t>
  </si>
  <si>
    <t>CI +/- % of avg</t>
  </si>
  <si>
    <t>Outlier days</t>
  </si>
  <si>
    <t>Negative days</t>
  </si>
  <si>
    <t>Learn days (counted)</t>
  </si>
  <si>
    <t>Test days (in stock)</t>
  </si>
  <si>
    <t>Forecast / day (workbook method)</t>
  </si>
  <si>
    <t>Actual / day (test)</t>
  </si>
  <si>
    <t>MAE (units/day)</t>
  </si>
  <si>
    <t>WAPE</t>
  </si>
  <si>
    <t>Bias (fcst - actual)</t>
  </si>
  <si>
    <t>Tracking signal</t>
  </si>
  <si>
    <t>Days in stock %</t>
  </si>
  <si>
    <t>Forecast verdict</t>
  </si>
  <si>
    <t>Stock-out record</t>
  </si>
  <si>
    <t>Abs error (units)</t>
  </si>
  <si>
    <t>Actual (units)</t>
  </si>
  <si>
    <t>Days in stock</t>
  </si>
  <si>
    <t>ALL ITEMS</t>
  </si>
  <si>
    <t>How to read this sheet</t>
  </si>
  <si>
    <t>Data checks: each should read PASS. They confirm the dashboard totals, item list, prices, categories and storehouse counts agree with each other.</t>
  </si>
  <si>
    <t>95% CI: the range the true average daily use (days in stock) probably sits in. A wide range (large CI +/- %) means too few counted days - treat that item's order quantity as rough.</t>
  </si>
  <si>
    <t>Outlier days: days whose use is far from the item's average (see the setting above). Check them against the paper count for typing errors; they also inflate safety stock.</t>
  </si>
  <si>
    <t>Back-test: the forecast is your workbook's own method (total consumption / days in stock) learned on the first part of the counted days, then compared with what really happened on the later days. Only days when the item was in stock are scored, because nothing can be consumed from an empty shelf.</t>
  </si>
  <si>
    <t>MAE = average miss in units per day.  WAPE = total miss / total actual use (lower is better; GOOD &lt;= 20%, ACCEPTABLE &lt;= 40% by default).</t>
  </si>
  <si>
    <t>Bias = forecast minus actual per day. Positive means the forecast is too high (over-ordering); negative means too low (stock-out risk).</t>
  </si>
  <si>
    <t>Tracking signal = total (actual - forecast) / MAE. Beyond +/- the limit the forecast is consistently one-sided (DRIFTING) - revisit the average or the order plan for that item.</t>
  </si>
  <si>
    <t>Stock-out record: share of counted days the item had stock. It should be at or above the target service level; BELOW TARGET means safety stock or order timing needs a review.</t>
  </si>
  <si>
    <t>With only a few weeks of counts, results are indicative. They firm up as more days are counted (everything recalculates automatically).</t>
  </si>
  <si>
    <t>X Pantry Management - Control Dashboard</t>
  </si>
  <si>
    <t xml:space="preserve">X Pantry Management Inventory Stock Count (Sep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</si>
</sst>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dd\-mmm\-yy"/>
    <numFmt numFmtId="166" formatCode="0.0;\-0.0;;"/>
    <numFmt numFmtId="167" formatCode="\+0;\-0;0"/>
    <numFmt numFmtId="168" formatCode="#,##0.000"/>
    <numFmt numFmtId="169" formatCode="dd\-mmm\-yy;;;"/>
    <numFmt numFmtId="170" formatCode="0.0%"/>
    <numFmt numFmtId="171" formatCode="#,##0.0"/>
    <numFmt numFmtId="172" formatCode="\+0%;\-0%;0%"/>
  </numFmts>
  <fonts count="66" x14ac:knownFonts="1">
    <font>
      <sz val="11"/>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4816B5"/>
      <name val="Calibri"/>
      <family val="2"/>
      <scheme val="minor"/>
    </font>
    <font>
      <b/>
      <sz val="11"/>
      <color rgb="FFFF0000"/>
      <name val="Calibri"/>
      <family val="2"/>
      <scheme val="minor"/>
    </font>
    <font>
      <b/>
      <sz val="12"/>
      <color rgb="FFFF0000"/>
      <name val="Calibri"/>
      <family val="2"/>
      <scheme val="minor"/>
    </font>
    <font>
      <b/>
      <sz val="14"/>
      <color theme="1"/>
      <name val="Calibri"/>
      <family val="2"/>
      <scheme val="minor"/>
    </font>
    <font>
      <sz val="11"/>
      <color rgb="FF000000"/>
      <name val="Calibri"/>
      <family val="2"/>
      <scheme val="minor"/>
    </font>
    <font>
      <sz val="11"/>
      <color rgb="FF242424"/>
      <name val="Consolas"/>
      <family val="3"/>
    </font>
    <font>
      <b/>
      <sz val="11"/>
      <color rgb="FF0070C0"/>
      <name val="Calibri"/>
      <family val="2"/>
      <scheme val="minor"/>
    </font>
    <font>
      <b/>
      <sz val="11"/>
      <color rgb="FF4B26D1"/>
      <name val="Calibri"/>
      <family val="2"/>
      <scheme val="minor"/>
    </font>
    <font>
      <b/>
      <sz val="12"/>
      <color rgb="FF4816B5"/>
      <name val="Calibri"/>
      <family val="2"/>
      <scheme val="minor"/>
    </font>
    <font>
      <b/>
      <sz val="12"/>
      <name val="Calibri"/>
      <family val="2"/>
    </font>
    <font>
      <b/>
      <sz val="11"/>
      <name val="Calibri"/>
      <family val="2"/>
    </font>
    <font>
      <sz val="11"/>
      <name val="Calibri"/>
      <family val="2"/>
    </font>
    <font>
      <sz val="11"/>
      <color rgb="FF7F7F7F"/>
      <name val="Calibri"/>
      <family val="2"/>
    </font>
    <font>
      <sz val="11"/>
      <color rgb="FF0000FF"/>
      <name val="Calibri"/>
      <family val="2"/>
    </font>
    <font>
      <i/>
      <sz val="10"/>
      <color rgb="FF595959"/>
      <name val="Calibri"/>
      <family val="2"/>
    </font>
    <font>
      <b/>
      <sz val="11"/>
      <color rgb="FFC00000"/>
      <name val="Calibri"/>
      <family val="2"/>
    </font>
    <font>
      <b/>
      <sz val="11"/>
      <color rgb="FF000000"/>
      <name val="Calibri"/>
      <family val="2"/>
    </font>
    <font>
      <b/>
      <sz val="11"/>
      <color rgb="FF7F7F7F"/>
      <name val="Calibri"/>
      <family val="2"/>
    </font>
    <font>
      <b/>
      <sz val="11"/>
      <color rgb="FF1B5E20"/>
      <name val="Calibri"/>
      <family val="2"/>
    </font>
    <font>
      <b/>
      <sz val="22"/>
      <color rgb="FF1F3A5F"/>
      <name val="Calibri"/>
      <family val="2"/>
    </font>
    <font>
      <i/>
      <sz val="11"/>
      <color rgb="FF595959"/>
      <name val="Calibri"/>
      <family val="2"/>
    </font>
    <font>
      <b/>
      <sz val="9"/>
      <color rgb="FF1F3A5F"/>
      <name val="Calibri"/>
      <family val="2"/>
    </font>
    <font>
      <b/>
      <sz val="24"/>
      <color rgb="FF1F3A5F"/>
      <name val="Calibri"/>
      <family val="2"/>
    </font>
    <font>
      <b/>
      <sz val="9"/>
      <color rgb="FFFFFFFF"/>
      <name val="Calibri"/>
      <family val="2"/>
    </font>
    <font>
      <b/>
      <sz val="24"/>
      <color rgb="FFFFFFFF"/>
      <name val="Calibri"/>
      <family val="2"/>
    </font>
    <font>
      <b/>
      <sz val="9"/>
      <color rgb="FF000000"/>
      <name val="Calibri"/>
      <family val="2"/>
    </font>
    <font>
      <b/>
      <sz val="24"/>
      <color rgb="FF000000"/>
      <name val="Calibri"/>
      <family val="2"/>
    </font>
    <font>
      <b/>
      <sz val="9"/>
      <color rgb="FF1B5E20"/>
      <name val="Calibri"/>
      <family val="2"/>
    </font>
    <font>
      <b/>
      <sz val="24"/>
      <color rgb="FF1B5E20"/>
      <name val="Calibri"/>
      <family val="2"/>
    </font>
    <font>
      <b/>
      <sz val="9"/>
      <color rgb="FF616161"/>
      <name val="Calibri"/>
      <family val="2"/>
    </font>
    <font>
      <b/>
      <sz val="24"/>
      <color rgb="FF616161"/>
      <name val="Calibri"/>
      <family val="2"/>
    </font>
    <font>
      <i/>
      <sz val="9"/>
      <color rgb="FF7F7F7F"/>
      <name val="Calibri"/>
      <family val="2"/>
    </font>
    <font>
      <b/>
      <sz val="10"/>
      <color rgb="FF595959"/>
      <name val="Calibri"/>
      <family val="2"/>
    </font>
    <font>
      <sz val="10"/>
      <color rgb="FF595959"/>
      <name val="Calibri"/>
      <family val="2"/>
    </font>
    <font>
      <b/>
      <sz val="12"/>
      <color rgb="FFFFFFFF"/>
      <name val="Calibri"/>
      <family val="2"/>
    </font>
    <font>
      <b/>
      <sz val="11"/>
      <color rgb="FFFFFFFF"/>
      <name val="Calibri"/>
      <family val="2"/>
    </font>
    <font>
      <sz val="11"/>
      <color rgb="FF404040"/>
      <name val="Calibri"/>
      <family val="2"/>
    </font>
    <font>
      <b/>
      <sz val="12"/>
      <color rgb="FF1F3A5F"/>
      <name val="Calibri"/>
      <family val="2"/>
    </font>
    <font>
      <b/>
      <sz val="11"/>
      <color rgb="FF1F3A5F"/>
      <name val="Calibri"/>
      <family val="2"/>
    </font>
    <font>
      <sz val="10"/>
      <name val="Calibri"/>
      <family val="2"/>
    </font>
    <font>
      <b/>
      <sz val="11"/>
      <color rgb="FFFFFFFF"/>
      <name val="Calibri"/>
      <family val="2"/>
    </font>
    <font>
      <b/>
      <sz val="10"/>
      <name val="Calibri"/>
      <family val="2"/>
    </font>
    <font>
      <sz val="10"/>
      <color rgb="FF595959"/>
      <name val="Calibri"/>
      <family val="2"/>
    </font>
    <font>
      <i/>
      <sz val="10"/>
      <color rgb="FF595959"/>
      <name val="Calibri"/>
      <family val="2"/>
    </font>
    <font>
      <b/>
      <sz val="11"/>
      <name val="Calibri"/>
      <family val="2"/>
    </font>
    <font>
      <sz val="11"/>
      <color rgb="FF0000FF"/>
      <name val="Calibri"/>
      <family val="2"/>
    </font>
    <font>
      <sz val="11"/>
      <name val="Calibri"/>
      <family val="2"/>
    </font>
    <font>
      <sz val="11"/>
      <color rgb="FF595959"/>
      <name val="Calibri"/>
      <family val="2"/>
    </font>
    <font>
      <b/>
      <sz val="20"/>
      <color rgb="FF1F3A5F"/>
      <name val="Calibri"/>
      <family val="2"/>
    </font>
    <font>
      <i/>
      <sz val="11"/>
      <color rgb="FF595959"/>
      <name val="Calibri"/>
      <family val="2"/>
    </font>
    <font>
      <b/>
      <sz val="11"/>
      <color rgb="FF1F3A5F"/>
      <name val="Calibri"/>
      <family val="2"/>
    </font>
    <font>
      <sz val="9"/>
      <color rgb="FF7F7F7F"/>
      <name val="Calibri"/>
      <family val="2"/>
    </font>
    <font>
      <b/>
      <sz val="11"/>
      <color rgb="FF0000FF"/>
      <name val="Calibri"/>
      <family val="2"/>
    </font>
    <font>
      <i/>
      <sz val="9"/>
      <color rgb="FF595959"/>
      <name val="Calibri"/>
      <family val="2"/>
    </font>
    <font>
      <b/>
      <sz val="11"/>
      <color rgb="FFC00000"/>
      <name val="Calibri"/>
      <family val="2"/>
    </font>
    <font>
      <b/>
      <sz val="11"/>
      <color rgb="FF000000"/>
      <name val="Calibri"/>
      <family val="2"/>
      <scheme val="minor"/>
    </font>
    <font>
      <b/>
      <sz val="16"/>
      <color rgb="FF1F3A5F"/>
      <name val="Calibri"/>
      <family val="2"/>
    </font>
    <font>
      <b/>
      <sz val="10"/>
      <color rgb="FFFFFFFF"/>
      <name val="Calibri"/>
      <family val="2"/>
    </font>
    <font>
      <sz val="10"/>
      <color rgb="FF000000"/>
      <name val="Calibri"/>
      <family val="2"/>
    </font>
    <font>
      <i/>
      <sz val="9"/>
      <color rgb="FF595959"/>
      <name val="Calibri"/>
      <family val="2"/>
    </font>
    <font>
      <b/>
      <sz val="10"/>
      <color rgb="FF000000"/>
      <name val="Calibri"/>
      <family val="2"/>
    </font>
    <font>
      <b/>
      <sz val="11"/>
      <color rgb="FFFFFFFF"/>
      <name val="Calibri"/>
      <family val="2"/>
    </font>
  </fonts>
  <fills count="3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DDEBF7"/>
        <bgColor rgb="FFDDEBF7"/>
      </patternFill>
    </fill>
    <fill>
      <patternFill patternType="solid">
        <fgColor rgb="FFFFF2CC"/>
        <bgColor rgb="FFFFF2CC"/>
      </patternFill>
    </fill>
    <fill>
      <patternFill patternType="solid">
        <fgColor rgb="FFC00000"/>
        <bgColor rgb="FFC00000"/>
      </patternFill>
    </fill>
    <fill>
      <patternFill patternType="solid">
        <fgColor rgb="FFE53935"/>
        <bgColor rgb="FFE53935"/>
      </patternFill>
    </fill>
    <fill>
      <patternFill patternType="solid">
        <fgColor rgb="FFFFA726"/>
        <bgColor rgb="FFFFA726"/>
      </patternFill>
    </fill>
    <fill>
      <patternFill patternType="solid">
        <fgColor rgb="FFFFF176"/>
        <bgColor rgb="FFFFF176"/>
      </patternFill>
    </fill>
    <fill>
      <patternFill patternType="solid">
        <fgColor rgb="FFA5D6A7"/>
        <bgColor rgb="FFA5D6A7"/>
      </patternFill>
    </fill>
    <fill>
      <patternFill patternType="solid">
        <fgColor rgb="FFE0E0E0"/>
        <bgColor rgb="FFE0E0E0"/>
      </patternFill>
    </fill>
    <fill>
      <patternFill patternType="solid">
        <fgColor rgb="FF1F3A5F"/>
        <bgColor rgb="FF1F3A5F"/>
      </patternFill>
    </fill>
    <fill>
      <patternFill patternType="solid">
        <fgColor rgb="FFE75A7C"/>
        <bgColor rgb="FFE75A7C"/>
      </patternFill>
    </fill>
    <fill>
      <patternFill patternType="solid">
        <fgColor rgb="FFF2F5F9"/>
        <bgColor rgb="FFF2F5F9"/>
      </patternFill>
    </fill>
    <fill>
      <patternFill patternType="solid">
        <fgColor rgb="FFF2A541"/>
        <bgColor rgb="FFF2A541"/>
      </patternFill>
    </fill>
    <fill>
      <patternFill patternType="solid">
        <fgColor rgb="FF6F4E37"/>
        <bgColor rgb="FF6F4E37"/>
      </patternFill>
    </fill>
    <fill>
      <patternFill patternType="solid">
        <fgColor rgb="FF5FA55A"/>
        <bgColor rgb="FF5FA55A"/>
      </patternFill>
    </fill>
    <fill>
      <patternFill patternType="solid">
        <fgColor rgb="FF4A90C2"/>
        <bgColor rgb="FF4A90C2"/>
      </patternFill>
    </fill>
    <fill>
      <patternFill patternType="solid">
        <fgColor rgb="FF1F3A5F"/>
      </patternFill>
    </fill>
    <fill>
      <patternFill patternType="solid">
        <fgColor rgb="FFDDEBF7"/>
      </patternFill>
    </fill>
    <fill>
      <patternFill patternType="solid">
        <fgColor rgb="FFFFF2CC"/>
      </patternFill>
    </fill>
    <fill>
      <patternFill patternType="solid">
        <fgColor theme="8" tint="0.79998168889431442"/>
        <bgColor indexed="64"/>
      </patternFill>
    </fill>
    <fill>
      <patternFill patternType="solid">
        <fgColor theme="8" tint="0.59999389629810485"/>
        <bgColor indexed="64"/>
      </patternFill>
    </fill>
    <fill>
      <patternFill patternType="solid">
        <fgColor rgb="FF1F3A5F"/>
        <bgColor indexed="64"/>
      </patternFill>
    </fill>
    <fill>
      <patternFill patternType="solid">
        <fgColor rgb="FFFFF2CC"/>
        <bgColor indexed="64"/>
      </patternFill>
    </fill>
    <fill>
      <patternFill patternType="solid">
        <fgColor rgb="FFDCE6F1"/>
        <bgColor indexed="64"/>
      </patternFill>
    </fill>
    <fill>
      <patternFill patternType="solid">
        <fgColor rgb="FF0E6B73"/>
        <bgColor indexed="64"/>
      </patternFill>
    </fill>
    <fill>
      <patternFill patternType="solid">
        <fgColor rgb="FFF2A541"/>
        <bgColor indexed="64"/>
      </patternFill>
    </fill>
  </fills>
  <borders count="72">
    <border>
      <left/>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top/>
      <bottom/>
      <diagonal/>
    </border>
    <border>
      <left style="medium">
        <color rgb="FF000000"/>
      </left>
      <right style="thin">
        <color rgb="FF000000"/>
      </right>
      <top style="medium">
        <color rgb="FF000000"/>
      </top>
      <bottom/>
      <diagonal/>
    </border>
    <border>
      <left style="thin">
        <color rgb="FFBFBFBF"/>
      </left>
      <right style="thin">
        <color rgb="FFBFBFBF"/>
      </right>
      <top style="thin">
        <color rgb="FFBFBFBF"/>
      </top>
      <bottom style="thin">
        <color rgb="FFBFBFBF"/>
      </bottom>
      <diagonal/>
    </border>
    <border>
      <left/>
      <right/>
      <top style="medium">
        <color auto="1"/>
      </top>
      <bottom style="double">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diagonal/>
    </border>
    <border>
      <left/>
      <right/>
      <top/>
      <bottom style="thin">
        <color rgb="FFBFBFBF"/>
      </bottom>
      <diagonal/>
    </border>
    <border>
      <left style="medium">
        <color rgb="FFFFFFFF"/>
      </left>
      <right style="medium">
        <color rgb="FFFFFFFF"/>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rgb="FFBFBFBF"/>
      </left>
      <right style="thin">
        <color rgb="FFBFBFBF"/>
      </right>
      <top style="thin">
        <color rgb="FFBFBFBF"/>
      </top>
      <bottom style="thin">
        <color rgb="FFBFBFBF"/>
      </bottom>
      <diagonal/>
    </border>
    <border>
      <left/>
      <right/>
      <top style="thin">
        <color auto="1"/>
      </top>
      <bottom style="double">
        <color auto="1"/>
      </bottom>
      <diagonal/>
    </border>
    <border>
      <left style="medium">
        <color rgb="FF1F3A5F"/>
      </left>
      <right/>
      <top style="medium">
        <color rgb="FF1F3A5F"/>
      </top>
      <bottom style="medium">
        <color rgb="FF1F3A5F"/>
      </bottom>
      <diagonal/>
    </border>
    <border>
      <left/>
      <right/>
      <top style="medium">
        <color rgb="FF1F3A5F"/>
      </top>
      <bottom style="medium">
        <color rgb="FF1F3A5F"/>
      </bottom>
      <diagonal/>
    </border>
    <border>
      <left/>
      <right style="medium">
        <color rgb="FF1F3A5F"/>
      </right>
      <top style="medium">
        <color rgb="FF1F3A5F"/>
      </top>
      <bottom style="medium">
        <color rgb="FF1F3A5F"/>
      </bottom>
      <diagonal/>
    </border>
    <border>
      <left style="medium">
        <color indexed="64"/>
      </left>
      <right/>
      <top style="medium">
        <color indexed="64"/>
      </top>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bottom/>
      <diagonal/>
    </border>
    <border>
      <left/>
      <right style="medium">
        <color indexed="64"/>
      </right>
      <top/>
      <bottom/>
      <diagonal/>
    </border>
    <border>
      <left style="medium">
        <color indexed="64"/>
      </left>
      <right/>
      <top/>
      <bottom style="medium">
        <color rgb="FF000000"/>
      </bottom>
      <diagonal/>
    </border>
    <border>
      <left style="medium">
        <color indexed="64"/>
      </left>
      <right style="medium">
        <color rgb="FF000000"/>
      </right>
      <top/>
      <bottom style="medium">
        <color indexed="64"/>
      </bottom>
      <diagonal/>
    </border>
    <border>
      <left/>
      <right/>
      <top/>
      <bottom style="medium">
        <color indexed="64"/>
      </bottom>
      <diagonal/>
    </border>
    <border>
      <left style="medium">
        <color rgb="FF000000"/>
      </left>
      <right style="medium">
        <color indexed="64"/>
      </right>
      <top style="medium">
        <color rgb="FF000000"/>
      </top>
      <bottom style="medium">
        <color indexed="64"/>
      </bottom>
      <diagonal/>
    </border>
    <border>
      <left style="medium">
        <color rgb="FF000000"/>
      </left>
      <right/>
      <top style="medium">
        <color indexed="64"/>
      </top>
      <bottom/>
      <diagonal/>
    </border>
    <border>
      <left style="medium">
        <color indexed="64"/>
      </left>
      <right/>
      <top/>
      <bottom style="medium">
        <color indexed="64"/>
      </bottom>
      <diagonal/>
    </border>
    <border>
      <left style="medium">
        <color rgb="FF000000"/>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medium">
        <color indexed="64"/>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medium">
        <color indexed="64"/>
      </right>
      <top/>
      <bottom style="thin">
        <color rgb="FFBFBFBF"/>
      </bottom>
      <diagonal/>
    </border>
    <border>
      <left style="medium">
        <color indexed="64"/>
      </left>
      <right style="thin">
        <color rgb="FFBFBFBF"/>
      </right>
      <top style="medium">
        <color indexed="64"/>
      </top>
      <bottom style="medium">
        <color indexed="64"/>
      </bottom>
      <diagonal/>
    </border>
    <border>
      <left style="thin">
        <color rgb="FFBFBFBF"/>
      </left>
      <right style="thin">
        <color rgb="FFBFBFBF"/>
      </right>
      <top style="medium">
        <color indexed="64"/>
      </top>
      <bottom style="medium">
        <color indexed="64"/>
      </bottom>
      <diagonal/>
    </border>
    <border>
      <left style="thin">
        <color rgb="FFBFBFBF"/>
      </left>
      <right style="medium">
        <color indexed="64"/>
      </right>
      <top style="medium">
        <color indexed="64"/>
      </top>
      <bottom style="medium">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34"/>
  </cellStyleXfs>
  <cellXfs count="406">
    <xf numFmtId="0" fontId="0" fillId="0" borderId="0" xfId="0" applyBorder="1"/>
    <xf numFmtId="0" fontId="2" fillId="0" borderId="1" xfId="0" applyFont="1" applyBorder="1" applyAlignment="1">
      <alignment horizontal="left"/>
    </xf>
    <xf numFmtId="0" fontId="1" fillId="0" borderId="1" xfId="0" applyFont="1" applyBorder="1"/>
    <xf numFmtId="0" fontId="1" fillId="0" borderId="9" xfId="0" applyFont="1" applyBorder="1"/>
    <xf numFmtId="0" fontId="1" fillId="0" borderId="3" xfId="0" applyFont="1" applyBorder="1"/>
    <xf numFmtId="0" fontId="3" fillId="0" borderId="11" xfId="0" applyFont="1" applyBorder="1" applyAlignment="1">
      <alignment horizontal="center"/>
    </xf>
    <xf numFmtId="0" fontId="3" fillId="0" borderId="0" xfId="0" applyFont="1" applyBorder="1"/>
    <xf numFmtId="0" fontId="0" fillId="0" borderId="16" xfId="0" applyBorder="1" applyAlignment="1">
      <alignment horizontal="left"/>
    </xf>
    <xf numFmtId="0" fontId="0" fillId="0" borderId="16" xfId="0" applyBorder="1" applyAlignment="1">
      <alignment horizontal="center"/>
    </xf>
    <xf numFmtId="0" fontId="4" fillId="0" borderId="0" xfId="0" applyFont="1" applyBorder="1"/>
    <xf numFmtId="0" fontId="0" fillId="0" borderId="16" xfId="0" applyBorder="1"/>
    <xf numFmtId="0" fontId="0" fillId="0" borderId="18" xfId="0" applyBorder="1"/>
    <xf numFmtId="0" fontId="0" fillId="0" borderId="19" xfId="0" applyBorder="1" applyAlignment="1">
      <alignment horizontal="left"/>
    </xf>
    <xf numFmtId="0" fontId="0" fillId="0" borderId="19" xfId="0" applyBorder="1" applyAlignment="1">
      <alignment horizontal="center"/>
    </xf>
    <xf numFmtId="0" fontId="0" fillId="0" borderId="20" xfId="0" applyBorder="1"/>
    <xf numFmtId="0" fontId="0" fillId="0" borderId="19" xfId="0" applyBorder="1"/>
    <xf numFmtId="0" fontId="0" fillId="0" borderId="0" xfId="0" applyBorder="1" applyAlignment="1">
      <alignment horizontal="left"/>
    </xf>
    <xf numFmtId="0" fontId="0" fillId="0" borderId="1" xfId="0" applyBorder="1"/>
    <xf numFmtId="0" fontId="0" fillId="0" borderId="9" xfId="0" applyBorder="1"/>
    <xf numFmtId="17" fontId="1" fillId="0" borderId="0" xfId="0" quotePrefix="1" applyNumberFormat="1" applyFont="1" applyBorder="1"/>
    <xf numFmtId="0" fontId="3" fillId="0" borderId="2" xfId="0" applyFont="1" applyBorder="1" applyAlignment="1">
      <alignment horizontal="center"/>
    </xf>
    <xf numFmtId="0" fontId="0" fillId="2" borderId="0" xfId="0" applyFill="1" applyBorder="1"/>
    <xf numFmtId="0" fontId="0" fillId="6" borderId="0" xfId="0" applyFill="1" applyBorder="1"/>
    <xf numFmtId="1" fontId="0" fillId="0" borderId="0" xfId="0" applyNumberFormat="1" applyBorder="1"/>
    <xf numFmtId="16" fontId="0" fillId="6" borderId="0" xfId="0" applyNumberFormat="1" applyFill="1" applyBorder="1"/>
    <xf numFmtId="0" fontId="1" fillId="0" borderId="0" xfId="0" applyFont="1" applyBorder="1"/>
    <xf numFmtId="0" fontId="3" fillId="0" borderId="5" xfId="0" applyFont="1" applyBorder="1" applyAlignment="1">
      <alignment horizontal="center"/>
    </xf>
    <xf numFmtId="0" fontId="3" fillId="0" borderId="6" xfId="0" applyFont="1" applyBorder="1" applyAlignment="1">
      <alignment horizontal="center"/>
    </xf>
    <xf numFmtId="0" fontId="0" fillId="0" borderId="3" xfId="0" applyBorder="1"/>
    <xf numFmtId="0" fontId="0" fillId="0" borderId="17" xfId="0" applyBorder="1"/>
    <xf numFmtId="0" fontId="1" fillId="0" borderId="0" xfId="0" applyFont="1" applyBorder="1" applyAlignment="1">
      <alignment horizontal="left"/>
    </xf>
    <xf numFmtId="0" fontId="0" fillId="0" borderId="2" xfId="0" applyBorder="1" applyAlignment="1">
      <alignment horizontal="center"/>
    </xf>
    <xf numFmtId="14" fontId="3" fillId="0" borderId="3" xfId="0" applyNumberFormat="1" applyFont="1" applyBorder="1"/>
    <xf numFmtId="0" fontId="3" fillId="0" borderId="10" xfId="0" applyFont="1" applyBorder="1" applyAlignment="1">
      <alignment horizontal="left"/>
    </xf>
    <xf numFmtId="0" fontId="3" fillId="0" borderId="3" xfId="0" applyFont="1" applyBorder="1" applyAlignment="1">
      <alignment horizontal="center"/>
    </xf>
    <xf numFmtId="0" fontId="3" fillId="0" borderId="4" xfId="0" applyFont="1" applyBorder="1" applyAlignment="1">
      <alignment horizontal="center"/>
    </xf>
    <xf numFmtId="0" fontId="3" fillId="0" borderId="15" xfId="0" applyFont="1" applyBorder="1" applyAlignment="1">
      <alignment horizontal="center"/>
    </xf>
    <xf numFmtId="0" fontId="3" fillId="0" borderId="9" xfId="0" applyFont="1" applyBorder="1" applyAlignment="1">
      <alignment horizontal="center"/>
    </xf>
    <xf numFmtId="0" fontId="4" fillId="0" borderId="1" xfId="0" applyFont="1" applyBorder="1"/>
    <xf numFmtId="0" fontId="4" fillId="0" borderId="9" xfId="0" applyFont="1" applyBorder="1"/>
    <xf numFmtId="0" fontId="4" fillId="0" borderId="18" xfId="0" applyFont="1" applyBorder="1"/>
    <xf numFmtId="0" fontId="4" fillId="0" borderId="16" xfId="0" applyFont="1" applyBorder="1"/>
    <xf numFmtId="0" fontId="0" fillId="0" borderId="18" xfId="0" applyBorder="1" applyAlignment="1">
      <alignment horizontal="left"/>
    </xf>
    <xf numFmtId="0" fontId="1" fillId="0" borderId="1" xfId="0" applyFont="1" applyBorder="1" applyAlignment="1">
      <alignment horizontal="left"/>
    </xf>
    <xf numFmtId="0" fontId="3" fillId="0" borderId="2" xfId="0" applyFont="1" applyBorder="1"/>
    <xf numFmtId="0" fontId="6" fillId="0" borderId="0" xfId="0" applyFont="1" applyBorder="1"/>
    <xf numFmtId="0" fontId="0" fillId="0" borderId="20" xfId="0" applyBorder="1" applyAlignment="1">
      <alignment horizontal="left"/>
    </xf>
    <xf numFmtId="0" fontId="3" fillId="0" borderId="1" xfId="0" applyFont="1" applyBorder="1" applyAlignment="1">
      <alignment horizontal="left"/>
    </xf>
    <xf numFmtId="0" fontId="0" fillId="0" borderId="2" xfId="0" applyBorder="1" applyAlignment="1">
      <alignment horizontal="left"/>
    </xf>
    <xf numFmtId="0" fontId="3" fillId="0" borderId="9" xfId="0" applyFont="1" applyBorder="1"/>
    <xf numFmtId="0" fontId="0" fillId="0" borderId="9" xfId="0" applyBorder="1" applyAlignment="1">
      <alignment horizontal="center"/>
    </xf>
    <xf numFmtId="0" fontId="0" fillId="0" borderId="21" xfId="0" applyBorder="1" applyAlignment="1">
      <alignment horizontal="center"/>
    </xf>
    <xf numFmtId="0" fontId="3" fillId="0" borderId="24" xfId="0" applyFont="1" applyBorder="1" applyAlignment="1">
      <alignment horizontal="center"/>
    </xf>
    <xf numFmtId="0" fontId="3" fillId="0" borderId="25" xfId="0" applyFont="1" applyBorder="1" applyAlignment="1">
      <alignment horizontal="center"/>
    </xf>
    <xf numFmtId="0" fontId="3" fillId="0" borderId="26" xfId="0" applyFont="1" applyBorder="1" applyAlignment="1">
      <alignment horizontal="center"/>
    </xf>
    <xf numFmtId="0" fontId="3" fillId="0" borderId="1" xfId="0" applyFont="1" applyBorder="1" applyAlignment="1">
      <alignment horizontal="center"/>
    </xf>
    <xf numFmtId="0" fontId="3" fillId="0" borderId="18" xfId="0" applyFont="1" applyBorder="1" applyAlignment="1">
      <alignment horizontal="left"/>
    </xf>
    <xf numFmtId="0" fontId="3" fillId="0" borderId="11" xfId="0" applyFont="1" applyBorder="1" applyAlignment="1">
      <alignment horizontal="left"/>
    </xf>
    <xf numFmtId="0" fontId="3" fillId="0" borderId="3" xfId="0" applyFont="1" applyBorder="1"/>
    <xf numFmtId="0" fontId="0" fillId="2" borderId="16" xfId="0" applyFill="1" applyBorder="1" applyAlignment="1">
      <alignment horizontal="center"/>
    </xf>
    <xf numFmtId="1" fontId="6" fillId="0" borderId="0" xfId="0" applyNumberFormat="1" applyFont="1" applyBorder="1"/>
    <xf numFmtId="0" fontId="0" fillId="0" borderId="23" xfId="0" applyBorder="1"/>
    <xf numFmtId="17" fontId="2" fillId="0" borderId="0" xfId="0" quotePrefix="1" applyNumberFormat="1" applyFont="1" applyBorder="1"/>
    <xf numFmtId="0" fontId="3" fillId="0" borderId="1" xfId="0" applyFont="1" applyBorder="1"/>
    <xf numFmtId="0" fontId="0" fillId="0" borderId="1" xfId="0" applyBorder="1" applyAlignment="1">
      <alignment horizontal="center"/>
    </xf>
    <xf numFmtId="43" fontId="0" fillId="0" borderId="9" xfId="0" applyNumberFormat="1" applyBorder="1"/>
    <xf numFmtId="0" fontId="0" fillId="0" borderId="10" xfId="0" applyBorder="1"/>
    <xf numFmtId="0" fontId="0" fillId="7" borderId="16" xfId="0" applyFill="1" applyBorder="1" applyAlignment="1">
      <alignment horizontal="center"/>
    </xf>
    <xf numFmtId="1" fontId="0" fillId="0" borderId="18" xfId="0" applyNumberFormat="1" applyBorder="1"/>
    <xf numFmtId="14" fontId="0" fillId="0" borderId="0" xfId="0" applyNumberFormat="1" applyBorder="1"/>
    <xf numFmtId="43" fontId="0" fillId="0" borderId="21" xfId="0" applyNumberFormat="1" applyBorder="1"/>
    <xf numFmtId="0" fontId="5" fillId="0" borderId="1" xfId="0" applyFont="1" applyBorder="1"/>
    <xf numFmtId="0" fontId="8" fillId="0" borderId="1" xfId="0" applyFont="1" applyBorder="1"/>
    <xf numFmtId="0" fontId="5" fillId="0" borderId="16" xfId="0" applyFont="1" applyBorder="1"/>
    <xf numFmtId="0" fontId="8" fillId="0" borderId="16" xfId="0" applyFont="1" applyBorder="1"/>
    <xf numFmtId="0" fontId="3" fillId="0" borderId="16" xfId="0" applyFont="1" applyBorder="1"/>
    <xf numFmtId="0" fontId="9" fillId="0" borderId="0" xfId="0" applyFont="1" applyBorder="1"/>
    <xf numFmtId="0" fontId="0" fillId="0" borderId="21" xfId="0" applyBorder="1"/>
    <xf numFmtId="0" fontId="3" fillId="0" borderId="19" xfId="0" applyFont="1" applyBorder="1"/>
    <xf numFmtId="0" fontId="0" fillId="0" borderId="22" xfId="0" applyBorder="1"/>
    <xf numFmtId="0" fontId="4" fillId="0" borderId="17" xfId="0" applyFont="1" applyBorder="1"/>
    <xf numFmtId="0" fontId="6" fillId="0" borderId="17" xfId="0" applyFont="1" applyBorder="1"/>
    <xf numFmtId="0" fontId="3" fillId="0" borderId="12" xfId="0" applyFont="1" applyBorder="1" applyAlignment="1">
      <alignment horizontal="center"/>
    </xf>
    <xf numFmtId="0" fontId="12" fillId="0" borderId="16" xfId="0" applyFont="1" applyBorder="1"/>
    <xf numFmtId="0" fontId="5" fillId="0" borderId="17" xfId="0" applyFont="1" applyBorder="1"/>
    <xf numFmtId="0" fontId="11" fillId="0" borderId="0" xfId="0" applyFont="1" applyBorder="1"/>
    <xf numFmtId="0" fontId="5" fillId="0" borderId="0" xfId="0" applyFont="1" applyBorder="1"/>
    <xf numFmtId="0" fontId="10" fillId="0" borderId="16" xfId="0" applyFont="1" applyBorder="1"/>
    <xf numFmtId="0" fontId="1" fillId="0" borderId="10" xfId="0" applyFont="1" applyBorder="1"/>
    <xf numFmtId="0" fontId="3" fillId="0" borderId="7" xfId="0" applyFont="1" applyBorder="1"/>
    <xf numFmtId="0" fontId="3" fillId="0" borderId="8" xfId="0" applyFont="1" applyBorder="1"/>
    <xf numFmtId="14" fontId="3" fillId="0" borderId="4" xfId="0" applyNumberFormat="1" applyFont="1" applyBorder="1"/>
    <xf numFmtId="14" fontId="3" fillId="0" borderId="15" xfId="0" applyNumberFormat="1" applyFont="1" applyBorder="1"/>
    <xf numFmtId="0" fontId="0" fillId="0" borderId="2" xfId="0" applyBorder="1"/>
    <xf numFmtId="0" fontId="3" fillId="0" borderId="17" xfId="0" applyFont="1" applyBorder="1" applyAlignment="1">
      <alignment horizontal="center"/>
    </xf>
    <xf numFmtId="0" fontId="5" fillId="0" borderId="19" xfId="0" applyFont="1" applyBorder="1"/>
    <xf numFmtId="0" fontId="0" fillId="6" borderId="1" xfId="0" applyFill="1" applyBorder="1"/>
    <xf numFmtId="0" fontId="0" fillId="6" borderId="9" xfId="0" applyFill="1" applyBorder="1"/>
    <xf numFmtId="0" fontId="4" fillId="6" borderId="16" xfId="0" applyFont="1" applyFill="1" applyBorder="1"/>
    <xf numFmtId="0" fontId="0" fillId="6" borderId="16" xfId="0" applyFill="1" applyBorder="1"/>
    <xf numFmtId="0" fontId="4" fillId="6" borderId="19" xfId="0" applyFont="1" applyFill="1" applyBorder="1"/>
    <xf numFmtId="0" fontId="0" fillId="6" borderId="21" xfId="0" applyFill="1" applyBorder="1"/>
    <xf numFmtId="0" fontId="4" fillId="2" borderId="0" xfId="0" applyFont="1" applyFill="1" applyBorder="1"/>
    <xf numFmtId="0" fontId="8" fillId="6" borderId="1" xfId="0" applyFont="1" applyFill="1" applyBorder="1"/>
    <xf numFmtId="0" fontId="8" fillId="6" borderId="9" xfId="0" applyFont="1" applyFill="1" applyBorder="1"/>
    <xf numFmtId="0" fontId="5" fillId="6" borderId="16" xfId="0" applyFont="1" applyFill="1" applyBorder="1"/>
    <xf numFmtId="0" fontId="8" fillId="6" borderId="0" xfId="0" applyFont="1" applyFill="1" applyBorder="1"/>
    <xf numFmtId="0" fontId="0" fillId="6" borderId="19" xfId="0" applyFill="1" applyBorder="1"/>
    <xf numFmtId="0" fontId="11" fillId="0" borderId="16" xfId="0" applyFont="1" applyBorder="1"/>
    <xf numFmtId="0" fontId="3" fillId="0" borderId="27" xfId="0" applyFont="1" applyBorder="1" applyAlignment="1">
      <alignment horizontal="center"/>
    </xf>
    <xf numFmtId="0" fontId="3" fillId="0" borderId="28" xfId="0" applyFont="1" applyBorder="1" applyAlignment="1">
      <alignment horizontal="center"/>
    </xf>
    <xf numFmtId="0" fontId="3" fillId="0" borderId="21" xfId="0" applyFont="1" applyBorder="1"/>
    <xf numFmtId="0" fontId="3" fillId="0" borderId="13" xfId="0" applyFont="1" applyBorder="1" applyAlignment="1">
      <alignment horizontal="center"/>
    </xf>
    <xf numFmtId="0" fontId="3" fillId="0" borderId="14" xfId="0" applyFont="1" applyBorder="1" applyAlignment="1">
      <alignment horizontal="center"/>
    </xf>
    <xf numFmtId="0" fontId="3" fillId="0" borderId="8" xfId="0" applyFont="1" applyBorder="1" applyAlignment="1">
      <alignment horizontal="center"/>
    </xf>
    <xf numFmtId="43" fontId="0" fillId="0" borderId="0" xfId="0" applyNumberFormat="1" applyBorder="1"/>
    <xf numFmtId="0" fontId="3" fillId="0" borderId="0" xfId="0" applyFont="1" applyBorder="1" applyAlignment="1">
      <alignment horizontal="center" vertical="center"/>
    </xf>
    <xf numFmtId="0" fontId="0" fillId="0" borderId="0" xfId="0" applyBorder="1" applyAlignment="1">
      <alignment horizontal="center"/>
    </xf>
    <xf numFmtId="9" fontId="0" fillId="0" borderId="0" xfId="0" applyNumberFormat="1" applyBorder="1"/>
    <xf numFmtId="2" fontId="0" fillId="0" borderId="0" xfId="0" applyNumberFormat="1" applyBorder="1"/>
    <xf numFmtId="0" fontId="3" fillId="0" borderId="0" xfId="0" applyFont="1" applyBorder="1" applyAlignment="1">
      <alignment horizontal="center"/>
    </xf>
    <xf numFmtId="0" fontId="23" fillId="0" borderId="0" xfId="0" applyFont="1" applyBorder="1"/>
    <xf numFmtId="0" fontId="24" fillId="0" borderId="0" xfId="0" applyFont="1" applyBorder="1"/>
    <xf numFmtId="0" fontId="38" fillId="17" borderId="0" xfId="0" applyFont="1" applyFill="1" applyBorder="1" applyAlignment="1">
      <alignment vertical="center"/>
    </xf>
    <xf numFmtId="0" fontId="21" fillId="0" borderId="0" xfId="0" applyFont="1" applyBorder="1"/>
    <xf numFmtId="0" fontId="16" fillId="0" borderId="0" xfId="0" applyFont="1" applyBorder="1"/>
    <xf numFmtId="0" fontId="17" fillId="10" borderId="0" xfId="0" applyFont="1" applyFill="1" applyBorder="1"/>
    <xf numFmtId="0" fontId="35" fillId="0" borderId="0" xfId="0" applyFont="1" applyBorder="1"/>
    <xf numFmtId="0" fontId="14" fillId="0" borderId="0" xfId="0" applyFont="1" applyBorder="1"/>
    <xf numFmtId="0" fontId="36" fillId="0" borderId="35" xfId="0" applyFont="1" applyBorder="1"/>
    <xf numFmtId="0" fontId="37" fillId="0" borderId="0" xfId="0" applyFont="1" applyBorder="1"/>
    <xf numFmtId="3" fontId="37" fillId="0" borderId="0" xfId="0" applyNumberFormat="1" applyFont="1" applyBorder="1"/>
    <xf numFmtId="164" fontId="37" fillId="0" borderId="0" xfId="0" applyNumberFormat="1" applyFont="1" applyBorder="1"/>
    <xf numFmtId="0" fontId="42" fillId="9" borderId="29" xfId="0" applyFont="1" applyFill="1" applyBorder="1" applyAlignment="1">
      <alignment horizontal="center" vertical="center" wrapText="1"/>
    </xf>
    <xf numFmtId="0" fontId="15" fillId="0" borderId="29" xfId="0" applyFont="1" applyBorder="1" applyAlignment="1">
      <alignment horizontal="center" vertical="center"/>
    </xf>
    <xf numFmtId="0" fontId="14" fillId="0" borderId="29" xfId="0" applyFont="1" applyBorder="1" applyAlignment="1">
      <alignment horizontal="center" vertical="center"/>
    </xf>
    <xf numFmtId="3" fontId="15" fillId="0" borderId="29" xfId="0" applyNumberFormat="1" applyFont="1" applyBorder="1" applyAlignment="1">
      <alignment horizontal="center" vertical="center"/>
    </xf>
    <xf numFmtId="164" fontId="15" fillId="0" borderId="29" xfId="0" applyNumberFormat="1" applyFont="1" applyBorder="1" applyAlignment="1">
      <alignment horizontal="center" vertical="center"/>
    </xf>
    <xf numFmtId="1" fontId="15" fillId="0" borderId="29" xfId="0" applyNumberFormat="1" applyFont="1" applyBorder="1" applyAlignment="1">
      <alignment horizontal="center" vertical="center"/>
    </xf>
    <xf numFmtId="166" fontId="37" fillId="0" borderId="0" xfId="0" applyNumberFormat="1" applyFont="1" applyBorder="1"/>
    <xf numFmtId="0" fontId="15" fillId="0" borderId="29" xfId="0" applyFont="1" applyBorder="1"/>
    <xf numFmtId="0" fontId="0" fillId="0" borderId="29" xfId="0" applyBorder="1"/>
    <xf numFmtId="0" fontId="22" fillId="0" borderId="0" xfId="0" applyFont="1" applyBorder="1"/>
    <xf numFmtId="0" fontId="17" fillId="10" borderId="29" xfId="0" applyFont="1" applyFill="1" applyBorder="1" applyAlignment="1">
      <alignment horizontal="center"/>
    </xf>
    <xf numFmtId="0" fontId="21" fillId="0" borderId="34" xfId="0" applyFont="1" applyAlignment="1">
      <alignment horizontal="center" vertical="center" wrapText="1"/>
    </xf>
    <xf numFmtId="0" fontId="14" fillId="0" borderId="29" xfId="0" applyFont="1" applyBorder="1" applyAlignment="1">
      <alignment horizontal="center"/>
    </xf>
    <xf numFmtId="0" fontId="16" fillId="0" borderId="0" xfId="0" applyFont="1" applyBorder="1" applyAlignment="1">
      <alignment horizontal="center"/>
    </xf>
    <xf numFmtId="0" fontId="14" fillId="0" borderId="30" xfId="0" applyFont="1" applyBorder="1"/>
    <xf numFmtId="0" fontId="13" fillId="0" borderId="0" xfId="0" applyFont="1" applyBorder="1"/>
    <xf numFmtId="9" fontId="14" fillId="0" borderId="29" xfId="0" applyNumberFormat="1" applyFont="1" applyBorder="1" applyAlignment="1">
      <alignment horizontal="center"/>
    </xf>
    <xf numFmtId="0" fontId="18" fillId="0" borderId="0" xfId="0" applyFont="1" applyBorder="1"/>
    <xf numFmtId="165" fontId="0" fillId="0" borderId="0" xfId="0" applyNumberFormat="1" applyBorder="1"/>
    <xf numFmtId="0" fontId="14" fillId="9" borderId="29" xfId="0" applyFont="1" applyFill="1" applyBorder="1" applyAlignment="1">
      <alignment horizontal="center" vertical="center" wrapText="1"/>
    </xf>
    <xf numFmtId="1" fontId="15" fillId="0" borderId="29" xfId="0" applyNumberFormat="1" applyFont="1" applyBorder="1" applyAlignment="1">
      <alignment horizontal="center"/>
    </xf>
    <xf numFmtId="3" fontId="15" fillId="0" borderId="29" xfId="0" applyNumberFormat="1" applyFont="1" applyBorder="1" applyAlignment="1">
      <alignment horizontal="center"/>
    </xf>
    <xf numFmtId="168" fontId="15" fillId="0" borderId="29" xfId="0" applyNumberFormat="1" applyFont="1" applyBorder="1" applyAlignment="1">
      <alignment horizontal="center"/>
    </xf>
    <xf numFmtId="4" fontId="15" fillId="0" borderId="29" xfId="0" applyNumberFormat="1" applyFont="1" applyBorder="1" applyAlignment="1">
      <alignment horizontal="center"/>
    </xf>
    <xf numFmtId="1" fontId="14" fillId="0" borderId="29" xfId="0" applyNumberFormat="1" applyFont="1" applyBorder="1" applyAlignment="1">
      <alignment horizontal="center" vertical="center"/>
    </xf>
    <xf numFmtId="0" fontId="19" fillId="0" borderId="30" xfId="0" applyFont="1" applyBorder="1" applyAlignment="1">
      <alignment horizontal="center"/>
    </xf>
    <xf numFmtId="1" fontId="14" fillId="0" borderId="30" xfId="0" applyNumberFormat="1" applyFont="1" applyBorder="1"/>
    <xf numFmtId="3" fontId="14" fillId="0" borderId="30" xfId="0" applyNumberFormat="1" applyFont="1" applyBorder="1"/>
    <xf numFmtId="4" fontId="14" fillId="0" borderId="30" xfId="0" applyNumberFormat="1" applyFont="1" applyBorder="1"/>
    <xf numFmtId="0" fontId="14" fillId="9" borderId="29" xfId="0" applyFont="1" applyFill="1" applyBorder="1" applyAlignment="1">
      <alignment horizontal="left" vertical="center" wrapText="1"/>
    </xf>
    <xf numFmtId="0" fontId="16" fillId="0" borderId="29" xfId="0" applyFont="1" applyBorder="1" applyAlignment="1">
      <alignment horizontal="center"/>
    </xf>
    <xf numFmtId="0" fontId="57" fillId="0" borderId="0" xfId="0" applyFont="1" applyBorder="1"/>
    <xf numFmtId="0" fontId="46" fillId="0" borderId="0" xfId="0" applyFont="1" applyBorder="1"/>
    <xf numFmtId="3" fontId="46" fillId="0" borderId="0" xfId="0" applyNumberFormat="1" applyFont="1" applyBorder="1"/>
    <xf numFmtId="165" fontId="46" fillId="0" borderId="0" xfId="0" applyNumberFormat="1" applyFont="1" applyBorder="1"/>
    <xf numFmtId="1" fontId="46" fillId="0" borderId="0" xfId="0" applyNumberFormat="1" applyFont="1" applyBorder="1"/>
    <xf numFmtId="4" fontId="46" fillId="0" borderId="0" xfId="0" applyNumberFormat="1" applyFont="1" applyBorder="1"/>
    <xf numFmtId="170" fontId="46" fillId="0" borderId="0" xfId="0" applyNumberFormat="1" applyFont="1" applyBorder="1"/>
    <xf numFmtId="0" fontId="55" fillId="0" borderId="0" xfId="0" applyFont="1" applyBorder="1"/>
    <xf numFmtId="0" fontId="58" fillId="0" borderId="0" xfId="0" applyFont="1" applyBorder="1"/>
    <xf numFmtId="0" fontId="44" fillId="24" borderId="0" xfId="0" applyFont="1" applyFill="1" applyBorder="1" applyAlignment="1">
      <alignment horizontal="center" vertical="center" wrapText="1"/>
    </xf>
    <xf numFmtId="0" fontId="44" fillId="24" borderId="0" xfId="0" applyFont="1" applyFill="1" applyBorder="1" applyAlignment="1">
      <alignment horizontal="center"/>
    </xf>
    <xf numFmtId="0" fontId="47" fillId="0" borderId="0" xfId="0" applyFont="1" applyBorder="1"/>
    <xf numFmtId="0" fontId="45" fillId="0" borderId="0" xfId="0" applyFont="1" applyBorder="1"/>
    <xf numFmtId="169" fontId="43" fillId="0" borderId="0" xfId="0" applyNumberFormat="1" applyFont="1" applyBorder="1"/>
    <xf numFmtId="0" fontId="43" fillId="0" borderId="0" xfId="0" applyFont="1" applyBorder="1"/>
    <xf numFmtId="168" fontId="43" fillId="0" borderId="0" xfId="0" applyNumberFormat="1" applyFont="1" applyBorder="1"/>
    <xf numFmtId="4" fontId="43" fillId="0" borderId="0" xfId="0" applyNumberFormat="1" applyFont="1" applyBorder="1"/>
    <xf numFmtId="0" fontId="48" fillId="0" borderId="0" xfId="0" applyFont="1" applyBorder="1"/>
    <xf numFmtId="0" fontId="51" fillId="0" borderId="40" xfId="0" applyFont="1" applyBorder="1" applyAlignment="1">
      <alignment horizontal="center"/>
    </xf>
    <xf numFmtId="165" fontId="51" fillId="0" borderId="40" xfId="0" applyNumberFormat="1" applyFont="1" applyBorder="1" applyAlignment="1">
      <alignment horizontal="center"/>
    </xf>
    <xf numFmtId="4" fontId="51" fillId="0" borderId="40" xfId="0" applyNumberFormat="1" applyFont="1" applyBorder="1" applyAlignment="1">
      <alignment horizontal="center"/>
    </xf>
    <xf numFmtId="1" fontId="51" fillId="0" borderId="40" xfId="0" applyNumberFormat="1" applyFont="1" applyBorder="1" applyAlignment="1">
      <alignment horizontal="center"/>
    </xf>
    <xf numFmtId="170" fontId="51" fillId="0" borderId="40" xfId="0" applyNumberFormat="1" applyFont="1" applyBorder="1" applyAlignment="1">
      <alignment horizontal="center"/>
    </xf>
    <xf numFmtId="0" fontId="48" fillId="0" borderId="40" xfId="0" applyFont="1" applyBorder="1" applyAlignment="1">
      <alignment horizontal="center"/>
    </xf>
    <xf numFmtId="2" fontId="51" fillId="0" borderId="40" xfId="0" applyNumberFormat="1" applyFont="1" applyBorder="1" applyAlignment="1">
      <alignment horizontal="center"/>
    </xf>
    <xf numFmtId="0" fontId="48" fillId="25" borderId="0" xfId="0" applyFont="1" applyFill="1" applyBorder="1" applyAlignment="1">
      <alignment horizontal="center"/>
    </xf>
    <xf numFmtId="0" fontId="48" fillId="0" borderId="0" xfId="0" applyFont="1" applyBorder="1" applyAlignment="1">
      <alignment horizontal="center"/>
    </xf>
    <xf numFmtId="165" fontId="49" fillId="26" borderId="40" xfId="0" applyNumberFormat="1" applyFont="1" applyFill="1" applyBorder="1" applyAlignment="1">
      <alignment horizontal="center"/>
    </xf>
    <xf numFmtId="0" fontId="50" fillId="0" borderId="0" xfId="0" applyFont="1" applyBorder="1"/>
    <xf numFmtId="9" fontId="49" fillId="26" borderId="40" xfId="0" applyNumberFormat="1" applyFont="1" applyFill="1" applyBorder="1" applyAlignment="1">
      <alignment horizontal="center"/>
    </xf>
    <xf numFmtId="0" fontId="48" fillId="0" borderId="0" xfId="0" applyFont="1" applyBorder="1" applyAlignment="1">
      <alignment horizontal="center" wrapText="1"/>
    </xf>
    <xf numFmtId="1" fontId="49" fillId="26" borderId="40" xfId="0" applyNumberFormat="1" applyFont="1" applyFill="1" applyBorder="1" applyAlignment="1">
      <alignment horizontal="center"/>
    </xf>
    <xf numFmtId="2" fontId="49" fillId="26" borderId="40" xfId="0" applyNumberFormat="1" applyFont="1" applyFill="1" applyBorder="1" applyAlignment="1">
      <alignment horizontal="center"/>
    </xf>
    <xf numFmtId="0" fontId="49" fillId="26" borderId="40" xfId="0" applyFont="1" applyFill="1" applyBorder="1" applyAlignment="1">
      <alignment horizontal="center"/>
    </xf>
    <xf numFmtId="0" fontId="52" fillId="0" borderId="0" xfId="0" applyFont="1" applyBorder="1"/>
    <xf numFmtId="0" fontId="53" fillId="0" borderId="0" xfId="0" applyFont="1" applyBorder="1"/>
    <xf numFmtId="0" fontId="54" fillId="25" borderId="40" xfId="0" applyFont="1" applyFill="1" applyBorder="1" applyAlignment="1">
      <alignment horizontal="center" vertical="center" wrapText="1"/>
    </xf>
    <xf numFmtId="1" fontId="50" fillId="0" borderId="40" xfId="0" applyNumberFormat="1" applyFont="1" applyBorder="1" applyAlignment="1">
      <alignment horizontal="center"/>
    </xf>
    <xf numFmtId="0" fontId="50" fillId="0" borderId="40" xfId="0" applyFont="1" applyBorder="1" applyAlignment="1">
      <alignment horizontal="left"/>
    </xf>
    <xf numFmtId="0" fontId="50" fillId="0" borderId="40" xfId="0" applyFont="1" applyBorder="1" applyAlignment="1">
      <alignment horizontal="center"/>
    </xf>
    <xf numFmtId="3" fontId="50" fillId="0" borderId="40" xfId="0" applyNumberFormat="1" applyFont="1" applyBorder="1" applyAlignment="1">
      <alignment horizontal="center"/>
    </xf>
    <xf numFmtId="168" fontId="50" fillId="0" borderId="40" xfId="0" applyNumberFormat="1" applyFont="1" applyBorder="1" applyAlignment="1">
      <alignment horizontal="center"/>
    </xf>
    <xf numFmtId="4" fontId="50" fillId="0" borderId="40" xfId="0" applyNumberFormat="1" applyFont="1" applyBorder="1" applyAlignment="1">
      <alignment horizontal="center"/>
    </xf>
    <xf numFmtId="165" fontId="50" fillId="0" borderId="40" xfId="0" applyNumberFormat="1" applyFont="1" applyBorder="1" applyAlignment="1">
      <alignment horizontal="center"/>
    </xf>
    <xf numFmtId="1" fontId="48" fillId="0" borderId="41" xfId="0" applyNumberFormat="1" applyFont="1" applyBorder="1" applyAlignment="1">
      <alignment horizontal="center"/>
    </xf>
    <xf numFmtId="3" fontId="48" fillId="0" borderId="41" xfId="0" applyNumberFormat="1" applyFont="1" applyBorder="1" applyAlignment="1">
      <alignment horizontal="center"/>
    </xf>
    <xf numFmtId="4" fontId="48" fillId="0" borderId="41" xfId="0" applyNumberFormat="1" applyFont="1" applyBorder="1" applyAlignment="1">
      <alignment horizontal="center"/>
    </xf>
    <xf numFmtId="0" fontId="0" fillId="0" borderId="34" xfId="0"/>
    <xf numFmtId="0" fontId="4" fillId="0" borderId="34" xfId="0" applyFont="1"/>
    <xf numFmtId="0" fontId="59" fillId="0" borderId="16" xfId="0" applyFont="1" applyBorder="1"/>
    <xf numFmtId="0" fontId="3" fillId="0" borderId="45" xfId="0" applyFont="1" applyBorder="1" applyAlignment="1">
      <alignment horizontal="center"/>
    </xf>
    <xf numFmtId="0" fontId="3" fillId="0" borderId="38" xfId="0" applyFont="1" applyBorder="1" applyAlignment="1">
      <alignment horizontal="center"/>
    </xf>
    <xf numFmtId="0" fontId="3" fillId="0" borderId="39" xfId="0" applyFont="1" applyBorder="1" applyAlignment="1">
      <alignment horizontal="center"/>
    </xf>
    <xf numFmtId="43" fontId="0" fillId="0" borderId="46" xfId="0" applyNumberFormat="1" applyBorder="1"/>
    <xf numFmtId="43" fontId="0" fillId="0" borderId="47" xfId="0" applyNumberFormat="1" applyBorder="1"/>
    <xf numFmtId="43" fontId="0" fillId="0" borderId="48" xfId="0" applyNumberFormat="1" applyBorder="1"/>
    <xf numFmtId="43" fontId="0" fillId="0" borderId="34" xfId="0" applyNumberFormat="1"/>
    <xf numFmtId="43" fontId="0" fillId="0" borderId="49" xfId="0" applyNumberFormat="1" applyBorder="1"/>
    <xf numFmtId="43" fontId="0" fillId="7" borderId="48" xfId="0" applyNumberFormat="1" applyFill="1" applyBorder="1"/>
    <xf numFmtId="43" fontId="0" fillId="7" borderId="34" xfId="0" applyNumberFormat="1" applyFill="1"/>
    <xf numFmtId="43" fontId="0" fillId="7" borderId="49" xfId="0" applyNumberFormat="1" applyFill="1" applyBorder="1"/>
    <xf numFmtId="43" fontId="0" fillId="0" borderId="50" xfId="0" applyNumberFormat="1" applyBorder="1"/>
    <xf numFmtId="43" fontId="3" fillId="0" borderId="51" xfId="0" applyNumberFormat="1" applyFont="1" applyBorder="1"/>
    <xf numFmtId="43" fontId="7" fillId="0" borderId="52" xfId="0" applyNumberFormat="1" applyFont="1" applyBorder="1"/>
    <xf numFmtId="43" fontId="7" fillId="0" borderId="53" xfId="0" applyNumberFormat="1" applyFont="1" applyBorder="1"/>
    <xf numFmtId="1" fontId="0" fillId="4" borderId="2" xfId="0" applyNumberFormat="1" applyFill="1" applyBorder="1"/>
    <xf numFmtId="1" fontId="0" fillId="4" borderId="18" xfId="0" applyNumberFormat="1" applyFill="1" applyBorder="1"/>
    <xf numFmtId="1" fontId="0" fillId="3" borderId="18" xfId="0" applyNumberFormat="1" applyFill="1" applyBorder="1"/>
    <xf numFmtId="1" fontId="0" fillId="3" borderId="20" xfId="0" applyNumberFormat="1" applyFill="1" applyBorder="1"/>
    <xf numFmtId="1" fontId="0" fillId="2" borderId="0" xfId="0" applyNumberFormat="1" applyFill="1" applyBorder="1"/>
    <xf numFmtId="0" fontId="3" fillId="0" borderId="34" xfId="0" applyFont="1"/>
    <xf numFmtId="0" fontId="4" fillId="0" borderId="45" xfId="0" applyFont="1" applyBorder="1"/>
    <xf numFmtId="0" fontId="0" fillId="0" borderId="38" xfId="0" applyBorder="1"/>
    <xf numFmtId="0" fontId="4" fillId="0" borderId="54" xfId="0" applyFont="1" applyBorder="1"/>
    <xf numFmtId="0" fontId="0" fillId="0" borderId="39" xfId="0" applyBorder="1"/>
    <xf numFmtId="0" fontId="59" fillId="0" borderId="48" xfId="0" applyFont="1" applyBorder="1"/>
    <xf numFmtId="0" fontId="0" fillId="0" borderId="49" xfId="0" applyBorder="1"/>
    <xf numFmtId="0" fontId="59" fillId="0" borderId="55" xfId="0" applyFont="1" applyBorder="1"/>
    <xf numFmtId="0" fontId="0" fillId="0" borderId="52" xfId="0" applyBorder="1"/>
    <xf numFmtId="0" fontId="4" fillId="0" borderId="56" xfId="0" applyFont="1" applyBorder="1"/>
    <xf numFmtId="0" fontId="0" fillId="0" borderId="57" xfId="0" applyBorder="1"/>
    <xf numFmtId="0" fontId="5" fillId="0" borderId="9" xfId="0" applyFont="1" applyBorder="1"/>
    <xf numFmtId="0" fontId="5" fillId="0" borderId="34" xfId="0" applyFont="1"/>
    <xf numFmtId="0" fontId="5" fillId="0" borderId="21" xfId="0" applyFont="1" applyBorder="1"/>
    <xf numFmtId="0" fontId="0" fillId="0" borderId="48" xfId="0" applyBorder="1"/>
    <xf numFmtId="0" fontId="0" fillId="2" borderId="49" xfId="0" applyFill="1" applyBorder="1"/>
    <xf numFmtId="0" fontId="0" fillId="0" borderId="48" xfId="0" applyBorder="1" applyAlignment="1">
      <alignment horizontal="left"/>
    </xf>
    <xf numFmtId="0" fontId="0" fillId="0" borderId="55" xfId="0" applyBorder="1"/>
    <xf numFmtId="0" fontId="0" fillId="2" borderId="57" xfId="0" applyFill="1" applyBorder="1"/>
    <xf numFmtId="0" fontId="0" fillId="0" borderId="31" xfId="0" applyBorder="1"/>
    <xf numFmtId="0" fontId="8" fillId="0" borderId="58" xfId="0" applyFont="1" applyBorder="1"/>
    <xf numFmtId="0" fontId="0" fillId="0" borderId="58" xfId="0" applyBorder="1" applyAlignment="1">
      <alignment horizontal="left"/>
    </xf>
    <xf numFmtId="0" fontId="0" fillId="0" borderId="58" xfId="0" applyBorder="1"/>
    <xf numFmtId="0" fontId="0" fillId="0" borderId="59" xfId="0" applyBorder="1"/>
    <xf numFmtId="0" fontId="0" fillId="8" borderId="9" xfId="0" applyFill="1" applyBorder="1"/>
    <xf numFmtId="0" fontId="0" fillId="8" borderId="34" xfId="0" applyFill="1"/>
    <xf numFmtId="0" fontId="0" fillId="8" borderId="21" xfId="0" applyFill="1" applyBorder="1"/>
    <xf numFmtId="0" fontId="17" fillId="10" borderId="60" xfId="0" applyFont="1" applyFill="1" applyBorder="1" applyAlignment="1">
      <alignment horizontal="center"/>
    </xf>
    <xf numFmtId="167" fontId="0" fillId="0" borderId="40" xfId="0" applyNumberFormat="1" applyBorder="1" applyAlignment="1">
      <alignment horizontal="center"/>
    </xf>
    <xf numFmtId="0" fontId="14" fillId="0" borderId="40" xfId="0" applyFont="1" applyBorder="1" applyAlignment="1">
      <alignment horizontal="center"/>
    </xf>
    <xf numFmtId="0" fontId="17" fillId="10" borderId="61" xfId="0" applyFont="1" applyFill="1" applyBorder="1"/>
    <xf numFmtId="0" fontId="17" fillId="10" borderId="62" xfId="0" applyFont="1" applyFill="1" applyBorder="1" applyAlignment="1">
      <alignment horizontal="center"/>
    </xf>
    <xf numFmtId="167" fontId="0" fillId="0" borderId="63" xfId="0" applyNumberFormat="1" applyBorder="1" applyAlignment="1">
      <alignment horizontal="center"/>
    </xf>
    <xf numFmtId="0" fontId="14" fillId="0" borderId="63" xfId="0" applyFont="1" applyBorder="1" applyAlignment="1">
      <alignment horizontal="center"/>
    </xf>
    <xf numFmtId="0" fontId="17" fillId="10" borderId="64" xfId="0" applyFont="1" applyFill="1" applyBorder="1"/>
    <xf numFmtId="0" fontId="17" fillId="10" borderId="65" xfId="0" applyFont="1" applyFill="1" applyBorder="1" applyAlignment="1">
      <alignment horizontal="center"/>
    </xf>
    <xf numFmtId="167" fontId="0" fillId="0" borderId="66" xfId="0" applyNumberFormat="1" applyBorder="1" applyAlignment="1">
      <alignment horizontal="center"/>
    </xf>
    <xf numFmtId="0" fontId="14" fillId="0" borderId="66" xfId="0" applyFont="1" applyBorder="1" applyAlignment="1">
      <alignment horizontal="center"/>
    </xf>
    <xf numFmtId="0" fontId="17" fillId="10" borderId="67" xfId="0" applyFont="1" applyFill="1" applyBorder="1"/>
    <xf numFmtId="0" fontId="20" fillId="9" borderId="68" xfId="0" applyFont="1" applyFill="1" applyBorder="1" applyAlignment="1">
      <alignment horizontal="center" vertical="center" wrapText="1"/>
    </xf>
    <xf numFmtId="0" fontId="20" fillId="9" borderId="69" xfId="0" applyFont="1" applyFill="1" applyBorder="1" applyAlignment="1">
      <alignment horizontal="center" vertical="center" wrapText="1"/>
    </xf>
    <xf numFmtId="0" fontId="20" fillId="9" borderId="70" xfId="0" applyFont="1" applyFill="1" applyBorder="1" applyAlignment="1">
      <alignment horizontal="center" vertical="center" wrapText="1"/>
    </xf>
    <xf numFmtId="0" fontId="3" fillId="27" borderId="31" xfId="0" applyFont="1" applyFill="1" applyBorder="1" applyAlignment="1">
      <alignment horizontal="center" vertical="center"/>
    </xf>
    <xf numFmtId="0" fontId="3" fillId="27" borderId="37" xfId="0" applyFont="1" applyFill="1" applyBorder="1" applyAlignment="1">
      <alignment horizontal="center" vertical="center"/>
    </xf>
    <xf numFmtId="0" fontId="3" fillId="27" borderId="33" xfId="0" applyFont="1" applyFill="1" applyBorder="1" applyAlignment="1">
      <alignment horizontal="center" vertical="center"/>
    </xf>
    <xf numFmtId="0" fontId="3" fillId="27" borderId="9" xfId="0" applyFont="1" applyFill="1" applyBorder="1" applyAlignment="1">
      <alignment horizontal="center" vertical="center"/>
    </xf>
    <xf numFmtId="0" fontId="3" fillId="27" borderId="3" xfId="0" applyFont="1" applyFill="1" applyBorder="1" applyAlignment="1">
      <alignment horizontal="center" vertical="center"/>
    </xf>
    <xf numFmtId="0" fontId="3" fillId="27" borderId="1" xfId="0" applyFont="1" applyFill="1" applyBorder="1" applyAlignment="1">
      <alignment horizontal="center" vertical="center"/>
    </xf>
    <xf numFmtId="0" fontId="3" fillId="27" borderId="2" xfId="0" applyFont="1" applyFill="1" applyBorder="1" applyAlignment="1">
      <alignment horizontal="center" vertical="center"/>
    </xf>
    <xf numFmtId="0" fontId="3" fillId="27" borderId="45" xfId="0" applyFont="1" applyFill="1" applyBorder="1" applyAlignment="1">
      <alignment horizontal="center" vertical="center"/>
    </xf>
    <xf numFmtId="0" fontId="3" fillId="27" borderId="38" xfId="0" applyFont="1" applyFill="1" applyBorder="1" applyAlignment="1">
      <alignment horizontal="center" vertical="center"/>
    </xf>
    <xf numFmtId="0" fontId="3" fillId="27" borderId="39" xfId="0" applyFont="1" applyFill="1" applyBorder="1" applyAlignment="1">
      <alignment horizontal="center" vertical="center"/>
    </xf>
    <xf numFmtId="0" fontId="0" fillId="4" borderId="9" xfId="0" applyFill="1" applyBorder="1"/>
    <xf numFmtId="0" fontId="0" fillId="4" borderId="34" xfId="0" applyFill="1"/>
    <xf numFmtId="0" fontId="0" fillId="3" borderId="34" xfId="0" applyFill="1"/>
    <xf numFmtId="0" fontId="0" fillId="3" borderId="21" xfId="0" applyFill="1" applyBorder="1"/>
    <xf numFmtId="0" fontId="3" fillId="0" borderId="37" xfId="0" applyFont="1" applyBorder="1" applyAlignment="1">
      <alignment horizontal="center" vertical="center" wrapText="1"/>
    </xf>
    <xf numFmtId="0" fontId="3" fillId="0" borderId="9" xfId="0" applyFont="1" applyBorder="1" applyAlignment="1">
      <alignment horizontal="center" vertical="center" wrapText="1"/>
    </xf>
    <xf numFmtId="0" fontId="3" fillId="5" borderId="1" xfId="0" applyFont="1" applyFill="1" applyBorder="1" applyAlignment="1">
      <alignment horizontal="center" vertical="center" wrapText="1"/>
    </xf>
    <xf numFmtId="1" fontId="0" fillId="0" borderId="34" xfId="0" applyNumberFormat="1"/>
    <xf numFmtId="165" fontId="0" fillId="0" borderId="34" xfId="0" applyNumberFormat="1"/>
    <xf numFmtId="1" fontId="0" fillId="2" borderId="34" xfId="0" applyNumberFormat="1" applyFill="1"/>
    <xf numFmtId="0" fontId="14" fillId="0" borderId="66" xfId="0" applyFont="1" applyBorder="1" applyAlignment="1">
      <alignment horizontal="center" vertical="center"/>
    </xf>
    <xf numFmtId="1" fontId="15" fillId="0" borderId="66" xfId="0" applyNumberFormat="1" applyFont="1" applyBorder="1" applyAlignment="1">
      <alignment horizontal="center"/>
    </xf>
    <xf numFmtId="3" fontId="15" fillId="0" borderId="66" xfId="0" applyNumberFormat="1" applyFont="1" applyBorder="1" applyAlignment="1">
      <alignment horizontal="center"/>
    </xf>
    <xf numFmtId="168" fontId="15" fillId="0" borderId="66" xfId="0" applyNumberFormat="1" applyFont="1" applyBorder="1" applyAlignment="1">
      <alignment horizontal="center"/>
    </xf>
    <xf numFmtId="4" fontId="15" fillId="0" borderId="66" xfId="0" applyNumberFormat="1" applyFont="1" applyBorder="1" applyAlignment="1">
      <alignment horizontal="center"/>
    </xf>
    <xf numFmtId="0" fontId="17" fillId="10" borderId="66" xfId="0" applyFont="1" applyFill="1" applyBorder="1" applyAlignment="1">
      <alignment horizontal="center"/>
    </xf>
    <xf numFmtId="0" fontId="51" fillId="0" borderId="66" xfId="0" applyFont="1" applyBorder="1" applyAlignment="1">
      <alignment horizontal="center"/>
    </xf>
    <xf numFmtId="165" fontId="51" fillId="0" borderId="66" xfId="0" applyNumberFormat="1" applyFont="1" applyBorder="1" applyAlignment="1">
      <alignment horizontal="center"/>
    </xf>
    <xf numFmtId="4" fontId="51" fillId="0" borderId="66" xfId="0" applyNumberFormat="1" applyFont="1" applyBorder="1" applyAlignment="1">
      <alignment horizontal="center"/>
    </xf>
    <xf numFmtId="1" fontId="51" fillId="0" borderId="66" xfId="0" applyNumberFormat="1" applyFont="1" applyBorder="1" applyAlignment="1">
      <alignment horizontal="center"/>
    </xf>
    <xf numFmtId="170" fontId="51" fillId="0" borderId="66" xfId="0" applyNumberFormat="1" applyFont="1" applyBorder="1" applyAlignment="1">
      <alignment horizontal="center"/>
    </xf>
    <xf numFmtId="0" fontId="48" fillId="0" borderId="66" xfId="0" applyFont="1" applyBorder="1" applyAlignment="1">
      <alignment horizontal="center"/>
    </xf>
    <xf numFmtId="2" fontId="51" fillId="0" borderId="66" xfId="0" applyNumberFormat="1" applyFont="1" applyBorder="1" applyAlignment="1">
      <alignment horizontal="center"/>
    </xf>
    <xf numFmtId="0" fontId="3" fillId="0" borderId="31" xfId="0" applyFont="1" applyBorder="1" applyAlignment="1">
      <alignment horizontal="center" vertical="center" wrapText="1"/>
    </xf>
    <xf numFmtId="0" fontId="3" fillId="0" borderId="32" xfId="0" applyFont="1" applyBorder="1" applyAlignment="1">
      <alignment horizontal="center" vertical="center" wrapText="1"/>
    </xf>
    <xf numFmtId="0" fontId="14" fillId="9" borderId="69" xfId="0" applyFont="1" applyFill="1" applyBorder="1" applyAlignment="1">
      <alignment horizontal="center" vertical="center" wrapText="1"/>
    </xf>
    <xf numFmtId="0" fontId="48" fillId="25" borderId="69" xfId="0" applyFont="1" applyFill="1" applyBorder="1" applyAlignment="1">
      <alignment horizontal="center" vertical="center" wrapText="1"/>
    </xf>
    <xf numFmtId="0" fontId="48" fillId="25" borderId="70" xfId="0" applyFont="1" applyFill="1" applyBorder="1" applyAlignment="1">
      <alignment horizontal="center" vertical="center" wrapText="1"/>
    </xf>
    <xf numFmtId="165" fontId="0" fillId="0" borderId="32" xfId="0" applyNumberFormat="1" applyBorder="1"/>
    <xf numFmtId="165" fontId="0" fillId="0" borderId="33" xfId="0" applyNumberFormat="1" applyBorder="1"/>
    <xf numFmtId="14" fontId="0" fillId="0" borderId="31" xfId="0" applyNumberFormat="1" applyBorder="1" applyAlignment="1">
      <alignment horizontal="right"/>
    </xf>
    <xf numFmtId="0" fontId="60" fillId="0" borderId="0" xfId="0" applyFont="1" applyBorder="1" applyAlignment="1">
      <alignment vertical="center"/>
    </xf>
    <xf numFmtId="0" fontId="65" fillId="29" borderId="0" xfId="0" applyFont="1" applyFill="1" applyBorder="1" applyAlignment="1">
      <alignment horizontal="left" vertical="center"/>
    </xf>
    <xf numFmtId="0" fontId="61" fillId="29" borderId="71" xfId="0" applyFont="1" applyFill="1" applyBorder="1" applyAlignment="1">
      <alignment horizontal="center" vertical="center" wrapText="1"/>
    </xf>
    <xf numFmtId="0" fontId="62" fillId="0" borderId="71" xfId="0" applyFont="1" applyBorder="1" applyAlignment="1">
      <alignment horizontal="left" vertical="center"/>
    </xf>
    <xf numFmtId="1" fontId="62" fillId="0" borderId="71" xfId="0" applyNumberFormat="1" applyFont="1" applyBorder="1" applyAlignment="1">
      <alignment horizontal="center" vertical="center"/>
    </xf>
    <xf numFmtId="171" fontId="62" fillId="0" borderId="71" xfId="0" applyNumberFormat="1" applyFont="1" applyBorder="1" applyAlignment="1">
      <alignment horizontal="center" vertical="center"/>
    </xf>
    <xf numFmtId="2" fontId="62" fillId="0" borderId="71" xfId="0" applyNumberFormat="1" applyFont="1" applyBorder="1" applyAlignment="1">
      <alignment horizontal="center" vertical="center"/>
    </xf>
    <xf numFmtId="170" fontId="62" fillId="0" borderId="71" xfId="0" applyNumberFormat="1" applyFont="1" applyBorder="1" applyAlignment="1">
      <alignment horizontal="center" vertical="center"/>
    </xf>
    <xf numFmtId="0" fontId="62" fillId="30" borderId="71" xfId="0" applyFont="1" applyFill="1" applyBorder="1" applyAlignment="1">
      <alignment horizontal="center" vertical="center"/>
    </xf>
    <xf numFmtId="9" fontId="62" fillId="30" borderId="71" xfId="0" applyNumberFormat="1" applyFont="1" applyFill="1" applyBorder="1" applyAlignment="1">
      <alignment horizontal="center" vertical="center"/>
    </xf>
    <xf numFmtId="0" fontId="63" fillId="0" borderId="0" xfId="0" applyFont="1" applyBorder="1" applyAlignment="1">
      <alignment horizontal="left" vertical="top"/>
    </xf>
    <xf numFmtId="0" fontId="64" fillId="0" borderId="71" xfId="0" applyFont="1" applyBorder="1" applyAlignment="1">
      <alignment horizontal="center" vertical="center"/>
    </xf>
    <xf numFmtId="0" fontId="64" fillId="0" borderId="71" xfId="0" applyFont="1" applyBorder="1" applyAlignment="1">
      <alignment horizontal="left" vertical="center"/>
    </xf>
    <xf numFmtId="9" fontId="62" fillId="31" borderId="71" xfId="0" applyNumberFormat="1" applyFont="1" applyFill="1" applyBorder="1" applyAlignment="1">
      <alignment horizontal="center" vertical="center"/>
    </xf>
    <xf numFmtId="0" fontId="62" fillId="0" borderId="71" xfId="0" applyFont="1" applyBorder="1" applyAlignment="1">
      <alignment horizontal="center" vertical="center"/>
    </xf>
    <xf numFmtId="172" fontId="51" fillId="0" borderId="66" xfId="0" applyNumberFormat="1" applyFont="1" applyBorder="1" applyAlignment="1">
      <alignment horizontal="center"/>
    </xf>
    <xf numFmtId="0" fontId="0" fillId="33" borderId="0" xfId="0" applyFill="1" applyBorder="1"/>
    <xf numFmtId="3" fontId="15" fillId="0" borderId="29" xfId="0" applyNumberFormat="1" applyFont="1" applyBorder="1" applyAlignment="1">
      <alignment horizontal="center" vertical="center"/>
    </xf>
    <xf numFmtId="0" fontId="41" fillId="0" borderId="34" xfId="0" applyFont="1" applyAlignment="1">
      <alignment horizontal="center" vertical="center"/>
    </xf>
    <xf numFmtId="0" fontId="15" fillId="0" borderId="29" xfId="0" applyFont="1" applyBorder="1" applyAlignment="1">
      <alignment horizontal="left" vertical="center"/>
    </xf>
    <xf numFmtId="0" fontId="14" fillId="0" borderId="29" xfId="0" applyFont="1" applyBorder="1" applyAlignment="1">
      <alignment horizontal="center" vertical="center"/>
    </xf>
    <xf numFmtId="0" fontId="39" fillId="18" borderId="34" xfId="0" applyFont="1" applyFill="1" applyAlignment="1">
      <alignment horizontal="center"/>
    </xf>
    <xf numFmtId="0" fontId="25" fillId="9" borderId="36" xfId="0" applyFont="1" applyFill="1" applyBorder="1" applyAlignment="1">
      <alignment horizontal="center" vertical="center"/>
    </xf>
    <xf numFmtId="3" fontId="26" fillId="9" borderId="36" xfId="0" applyNumberFormat="1" applyFont="1" applyFill="1" applyBorder="1" applyAlignment="1">
      <alignment horizontal="center" vertical="center"/>
    </xf>
    <xf numFmtId="0" fontId="39" fillId="21" borderId="34" xfId="0" applyFont="1" applyFill="1" applyAlignment="1">
      <alignment horizontal="center"/>
    </xf>
    <xf numFmtId="0" fontId="42" fillId="9" borderId="29" xfId="0" applyFont="1" applyFill="1" applyBorder="1" applyAlignment="1">
      <alignment horizontal="center" vertical="center" wrapText="1"/>
    </xf>
    <xf numFmtId="0" fontId="39" fillId="20" borderId="34" xfId="0" applyFont="1" applyFill="1" applyAlignment="1">
      <alignment horizontal="center"/>
    </xf>
    <xf numFmtId="170" fontId="15" fillId="0" borderId="29" xfId="0" applyNumberFormat="1" applyFont="1" applyBorder="1" applyAlignment="1">
      <alignment horizontal="center" vertical="center"/>
    </xf>
    <xf numFmtId="0" fontId="15" fillId="0" borderId="29" xfId="0" applyFont="1" applyBorder="1"/>
    <xf numFmtId="0" fontId="43" fillId="0" borderId="29" xfId="0" applyFont="1" applyBorder="1"/>
    <xf numFmtId="1" fontId="15" fillId="0" borderId="29" xfId="0" applyNumberFormat="1" applyFont="1" applyBorder="1" applyAlignment="1">
      <alignment horizontal="center" vertical="center"/>
    </xf>
    <xf numFmtId="0" fontId="43" fillId="0" borderId="29" xfId="0" applyFont="1" applyBorder="1" applyAlignment="1">
      <alignment horizontal="center"/>
    </xf>
    <xf numFmtId="165" fontId="15" fillId="0" borderId="29" xfId="0" applyNumberFormat="1" applyFont="1" applyBorder="1" applyAlignment="1">
      <alignment horizontal="center" vertical="center"/>
    </xf>
    <xf numFmtId="4" fontId="15" fillId="0" borderId="29" xfId="0" applyNumberFormat="1" applyFont="1" applyBorder="1" applyAlignment="1">
      <alignment horizontal="center" vertical="center"/>
    </xf>
    <xf numFmtId="171" fontId="26" fillId="9" borderId="36" xfId="0" applyNumberFormat="1" applyFont="1" applyFill="1" applyBorder="1" applyAlignment="1">
      <alignment horizontal="center" vertical="center"/>
    </xf>
    <xf numFmtId="0" fontId="42" fillId="9" borderId="29" xfId="0" applyFont="1" applyFill="1" applyBorder="1" applyAlignment="1">
      <alignment horizontal="left"/>
    </xf>
    <xf numFmtId="1" fontId="26" fillId="9" borderId="36" xfId="0" applyNumberFormat="1" applyFont="1" applyFill="1" applyBorder="1" applyAlignment="1">
      <alignment horizontal="center" vertical="center"/>
    </xf>
    <xf numFmtId="0" fontId="14" fillId="0" borderId="29" xfId="0" applyFont="1" applyBorder="1" applyAlignment="1">
      <alignment horizontal="center"/>
    </xf>
    <xf numFmtId="0" fontId="40" fillId="19" borderId="34" xfId="0" applyFont="1" applyFill="1" applyAlignment="1">
      <alignment horizontal="center"/>
    </xf>
    <xf numFmtId="1" fontId="32" fillId="15" borderId="36" xfId="0" applyNumberFormat="1" applyFont="1" applyFill="1" applyBorder="1" applyAlignment="1">
      <alignment horizontal="center" vertical="center"/>
    </xf>
    <xf numFmtId="1" fontId="34" fillId="16" borderId="36" xfId="0" applyNumberFormat="1" applyFont="1" applyFill="1" applyBorder="1" applyAlignment="1">
      <alignment horizontal="center" vertical="center"/>
    </xf>
    <xf numFmtId="0" fontId="35" fillId="0" borderId="0" xfId="0" applyFont="1" applyBorder="1" applyAlignment="1">
      <alignment vertical="top" wrapText="1"/>
    </xf>
    <xf numFmtId="0" fontId="35" fillId="0" borderId="0" xfId="0" applyFont="1" applyBorder="1"/>
    <xf numFmtId="1" fontId="14" fillId="0" borderId="29" xfId="0" applyNumberFormat="1" applyFont="1" applyBorder="1" applyAlignment="1">
      <alignment horizontal="center"/>
    </xf>
    <xf numFmtId="4" fontId="43" fillId="0" borderId="29" xfId="0" applyNumberFormat="1" applyFont="1" applyBorder="1" applyAlignment="1">
      <alignment horizontal="center"/>
    </xf>
    <xf numFmtId="0" fontId="42" fillId="9" borderId="29" xfId="0" applyFont="1" applyFill="1" applyBorder="1" applyAlignment="1">
      <alignment horizontal="center"/>
    </xf>
    <xf numFmtId="0" fontId="15" fillId="0" borderId="29" xfId="0" applyFont="1" applyBorder="1" applyAlignment="1">
      <alignment horizontal="center" vertical="center"/>
    </xf>
    <xf numFmtId="0" fontId="41" fillId="0" borderId="0" xfId="0" applyFont="1" applyBorder="1"/>
    <xf numFmtId="9" fontId="26" fillId="9" borderId="36" xfId="0" applyNumberFormat="1" applyFont="1" applyFill="1" applyBorder="1" applyAlignment="1">
      <alignment horizontal="center" vertical="center"/>
    </xf>
    <xf numFmtId="1" fontId="28" fillId="12" borderId="36" xfId="0" applyNumberFormat="1" applyFont="1" applyFill="1" applyBorder="1" applyAlignment="1">
      <alignment horizontal="center" vertical="center"/>
    </xf>
    <xf numFmtId="1" fontId="30" fillId="13" borderId="36" xfId="0" applyNumberFormat="1" applyFont="1" applyFill="1" applyBorder="1" applyAlignment="1">
      <alignment horizontal="center" vertical="center"/>
    </xf>
    <xf numFmtId="1" fontId="30" fillId="14" borderId="36" xfId="0" applyNumberFormat="1" applyFont="1" applyFill="1" applyBorder="1" applyAlignment="1">
      <alignment horizontal="center" vertical="center"/>
    </xf>
    <xf numFmtId="0" fontId="39" fillId="23" borderId="34" xfId="0" applyFont="1" applyFill="1" applyAlignment="1">
      <alignment horizontal="center"/>
    </xf>
    <xf numFmtId="0" fontId="39" fillId="22" borderId="34" xfId="0" applyFont="1" applyFill="1" applyAlignment="1">
      <alignment horizontal="center"/>
    </xf>
    <xf numFmtId="0" fontId="31" fillId="15" borderId="36" xfId="0" applyFont="1" applyFill="1" applyBorder="1" applyAlignment="1">
      <alignment horizontal="center" vertical="center"/>
    </xf>
    <xf numFmtId="0" fontId="33" fillId="16" borderId="36" xfId="0" applyFont="1" applyFill="1" applyBorder="1" applyAlignment="1">
      <alignment horizontal="center" vertical="center"/>
    </xf>
    <xf numFmtId="0" fontId="27" fillId="12" borderId="36" xfId="0" applyFont="1" applyFill="1" applyBorder="1" applyAlignment="1">
      <alignment horizontal="center" vertical="center"/>
    </xf>
    <xf numFmtId="0" fontId="56" fillId="26" borderId="42" xfId="0" applyFont="1" applyFill="1" applyBorder="1" applyAlignment="1">
      <alignment horizontal="center" vertical="center" wrapText="1"/>
    </xf>
    <xf numFmtId="0" fontId="56" fillId="26" borderId="43" xfId="0" applyFont="1" applyFill="1" applyBorder="1" applyAlignment="1">
      <alignment horizontal="center" vertical="center" wrapText="1"/>
    </xf>
    <xf numFmtId="0" fontId="56" fillId="26" borderId="44" xfId="0" applyFont="1" applyFill="1" applyBorder="1" applyAlignment="1">
      <alignment horizontal="center" vertical="center" wrapText="1"/>
    </xf>
    <xf numFmtId="0" fontId="27" fillId="11" borderId="36" xfId="0" applyFont="1" applyFill="1" applyBorder="1" applyAlignment="1">
      <alignment horizontal="center" vertical="center"/>
    </xf>
    <xf numFmtId="0" fontId="29" fillId="13" borderId="36" xfId="0" applyFont="1" applyFill="1" applyBorder="1" applyAlignment="1">
      <alignment horizontal="center" vertical="center"/>
    </xf>
    <xf numFmtId="0" fontId="29" fillId="14" borderId="36" xfId="0" applyFont="1" applyFill="1" applyBorder="1" applyAlignment="1">
      <alignment horizontal="center" vertical="center"/>
    </xf>
    <xf numFmtId="1" fontId="28" fillId="11" borderId="36" xfId="0" applyNumberFormat="1" applyFont="1" applyFill="1" applyBorder="1" applyAlignment="1">
      <alignment horizontal="center" vertical="center"/>
    </xf>
    <xf numFmtId="165" fontId="56" fillId="26" borderId="42" xfId="0" applyNumberFormat="1" applyFont="1" applyFill="1" applyBorder="1" applyAlignment="1">
      <alignment horizontal="center" vertical="center" wrapText="1"/>
    </xf>
    <xf numFmtId="164" fontId="15" fillId="0" borderId="29" xfId="0" applyNumberFormat="1" applyFont="1" applyBorder="1" applyAlignment="1">
      <alignment horizontal="center" vertical="center"/>
    </xf>
    <xf numFmtId="2" fontId="15" fillId="0" borderId="29" xfId="0" applyNumberFormat="1" applyFont="1" applyBorder="1" applyAlignment="1">
      <alignment horizontal="center" vertical="center"/>
    </xf>
    <xf numFmtId="172" fontId="15" fillId="0" borderId="29" xfId="0" applyNumberFormat="1" applyFont="1" applyBorder="1" applyAlignment="1">
      <alignment horizontal="center" vertical="center"/>
    </xf>
    <xf numFmtId="0" fontId="38" fillId="32" borderId="0" xfId="0" applyFont="1" applyFill="1" applyBorder="1" applyAlignment="1">
      <alignment vertical="center"/>
    </xf>
    <xf numFmtId="0" fontId="38" fillId="17" borderId="0" xfId="0" applyFont="1" applyFill="1" applyBorder="1" applyAlignment="1">
      <alignment vertical="center"/>
    </xf>
    <xf numFmtId="14" fontId="3" fillId="0" borderId="15" xfId="0" applyNumberFormat="1" applyFont="1" applyBorder="1" applyAlignment="1">
      <alignment horizontal="center"/>
    </xf>
    <xf numFmtId="0" fontId="0" fillId="0" borderId="7" xfId="0" applyBorder="1"/>
    <xf numFmtId="0" fontId="0" fillId="0" borderId="12" xfId="0" applyBorder="1"/>
    <xf numFmtId="14" fontId="3" fillId="0" borderId="4" xfId="0" applyNumberFormat="1" applyFont="1" applyBorder="1" applyAlignment="1">
      <alignment horizontal="center"/>
    </xf>
    <xf numFmtId="0" fontId="0" fillId="0" borderId="9" xfId="0" applyBorder="1"/>
    <xf numFmtId="0" fontId="0" fillId="0" borderId="4" xfId="0" applyBorder="1"/>
    <xf numFmtId="14" fontId="3" fillId="0" borderId="12" xfId="0" applyNumberFormat="1" applyFont="1" applyBorder="1" applyAlignment="1">
      <alignment horizontal="center"/>
    </xf>
    <xf numFmtId="16" fontId="3" fillId="28" borderId="1" xfId="0" applyNumberFormat="1" applyFont="1" applyFill="1" applyBorder="1" applyAlignment="1">
      <alignment horizontal="center"/>
    </xf>
    <xf numFmtId="0" fontId="0" fillId="28" borderId="9" xfId="0" applyFill="1" applyBorder="1"/>
    <xf numFmtId="0" fontId="14" fillId="28" borderId="37" xfId="0" applyFont="1" applyFill="1" applyBorder="1" applyAlignment="1">
      <alignment horizontal="center"/>
    </xf>
    <xf numFmtId="0" fontId="0" fillId="28" borderId="33" xfId="0" applyFill="1" applyBorder="1"/>
    <xf numFmtId="0" fontId="3" fillId="28" borderId="11" xfId="0" applyFont="1" applyFill="1" applyBorder="1" applyAlignment="1">
      <alignment horizontal="center"/>
    </xf>
    <xf numFmtId="0" fontId="0" fillId="28" borderId="7" xfId="0" applyFill="1" applyBorder="1"/>
    <xf numFmtId="0" fontId="0" fillId="28" borderId="8" xfId="0" applyFill="1" applyBorder="1"/>
    <xf numFmtId="0" fontId="14" fillId="0" borderId="34" xfId="0" applyFont="1" applyAlignment="1">
      <alignment horizontal="right"/>
    </xf>
    <xf numFmtId="0" fontId="0" fillId="0" borderId="0" xfId="0" applyBorder="1"/>
    <xf numFmtId="0" fontId="0" fillId="28" borderId="32" xfId="0" applyFill="1" applyBorder="1"/>
    <xf numFmtId="0" fontId="3" fillId="0" borderId="31" xfId="0" applyFont="1" applyBorder="1" applyAlignment="1">
      <alignment horizontal="center"/>
    </xf>
    <xf numFmtId="0" fontId="0" fillId="0" borderId="33" xfId="0" applyBorder="1"/>
  </cellXfs>
  <cellStyles count="1">
    <cellStyle name="Normal" xfId="0" builtinId="0"/>
  </cellStyles>
  <dxfs count="87">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595959"/>
      </font>
      <fill>
        <patternFill>
          <bgColor rgb="FFEDEDED"/>
        </patternFill>
      </fill>
    </dxf>
    <dxf>
      <font>
        <color rgb="FF9C0006"/>
      </font>
      <fill>
        <patternFill>
          <bgColor rgb="FFFFC7CE"/>
        </patternFill>
      </fill>
    </dxf>
    <dxf>
      <font>
        <color rgb="FF006100"/>
      </font>
      <fill>
        <patternFill>
          <bgColor rgb="FFC6EFCE"/>
        </patternFill>
      </fill>
    </dxf>
    <dxf>
      <fill>
        <patternFill patternType="solid">
          <bgColor rgb="FFFFF176"/>
        </patternFill>
      </fill>
    </dxf>
    <dxf>
      <fill>
        <patternFill patternType="solid">
          <bgColor rgb="FFFFA726"/>
        </patternFill>
      </fill>
    </dxf>
    <dxf>
      <font>
        <b/>
        <color rgb="FFFFFFFF"/>
      </font>
      <fill>
        <patternFill patternType="solid">
          <bgColor rgb="FFE53935"/>
        </patternFill>
      </fill>
    </dxf>
    <dxf>
      <font>
        <b/>
        <color rgb="FFFFFFFF"/>
      </font>
      <fill>
        <patternFill patternType="solid">
          <bgColor rgb="FFC00000"/>
        </patternFill>
      </fill>
    </dxf>
    <dxf>
      <font>
        <color rgb="FF595959"/>
      </font>
      <fill>
        <patternFill>
          <bgColor rgb="FFEDEDED"/>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595959"/>
      </font>
      <fill>
        <patternFill>
          <bgColor rgb="FFEDEDED"/>
        </patternFill>
      </fill>
    </dxf>
    <dxf>
      <font>
        <b/>
        <color rgb="FFFFFFFF"/>
      </font>
      <fill>
        <patternFill patternType="solid">
          <bgColor rgb="FFE53935"/>
        </patternFill>
      </fill>
    </dxf>
    <dxf>
      <font>
        <b/>
      </font>
      <fill>
        <patternFill patternType="solid">
          <bgColor rgb="FFFFA726"/>
        </patternFill>
      </fill>
    </dxf>
    <dxf>
      <fill>
        <patternFill patternType="solid">
          <bgColor rgb="FFD9D9D9"/>
        </patternFill>
      </fill>
    </dxf>
    <dxf>
      <font>
        <b/>
        <color rgb="FFFFFFFF"/>
      </font>
      <fill>
        <patternFill patternType="solid">
          <bgColor rgb="FF5B8DB8"/>
        </patternFill>
      </fill>
    </dxf>
    <dxf>
      <font>
        <b/>
        <color rgb="FFFFFFFF"/>
      </font>
      <fill>
        <patternFill patternType="solid">
          <bgColor rgb="FF1F3A5F"/>
        </patternFill>
      </fill>
    </dxf>
    <dxf>
      <font>
        <b/>
        <color rgb="FFC00000"/>
      </font>
    </dxf>
    <dxf>
      <font>
        <color rgb="FF595959"/>
      </font>
      <fill>
        <patternFill>
          <bgColor rgb="FFEDEDED"/>
        </patternFill>
      </fill>
    </dxf>
    <dxf>
      <font>
        <b/>
        <color rgb="FF616161"/>
      </font>
      <fill>
        <patternFill patternType="solid">
          <fgColor rgb="FFE0E0E0"/>
          <bgColor rgb="FFE0E0E0"/>
        </patternFill>
      </fill>
    </dxf>
    <dxf>
      <font>
        <b/>
        <color rgb="FF1B5E20"/>
      </font>
      <fill>
        <patternFill patternType="solid">
          <fgColor rgb="FFA5D6A7"/>
          <bgColor rgb="FFA5D6A7"/>
        </patternFill>
      </fill>
    </dxf>
    <dxf>
      <font>
        <b/>
        <color rgb="FF000000"/>
      </font>
      <fill>
        <patternFill patternType="solid">
          <fgColor rgb="FFFFF176"/>
          <bgColor rgb="FFFFF176"/>
        </patternFill>
      </fill>
    </dxf>
    <dxf>
      <font>
        <b/>
        <color rgb="FF000000"/>
      </font>
      <fill>
        <patternFill patternType="solid">
          <fgColor rgb="FFFFA726"/>
          <bgColor rgb="FFFFA726"/>
        </patternFill>
      </fill>
    </dxf>
    <dxf>
      <font>
        <b/>
        <color rgb="FFFFFFFF"/>
      </font>
      <fill>
        <patternFill patternType="solid">
          <fgColor rgb="FFE53935"/>
          <bgColor rgb="FFE53935"/>
        </patternFill>
      </fill>
    </dxf>
    <dxf>
      <font>
        <b/>
        <color rgb="FFFFFFFF"/>
      </font>
      <fill>
        <patternFill patternType="solid">
          <fgColor rgb="FFC00000"/>
          <bgColor rgb="FFC00000"/>
        </patternFill>
      </fill>
    </dxf>
    <dxf>
      <font>
        <b/>
        <color rgb="FF616161"/>
      </font>
      <fill>
        <patternFill patternType="solid">
          <fgColor rgb="FFE0E0E0"/>
          <bgColor rgb="FFE0E0E0"/>
        </patternFill>
      </fill>
    </dxf>
    <dxf>
      <font>
        <b/>
        <color rgb="FF1B5E20"/>
      </font>
      <fill>
        <patternFill patternType="solid">
          <fgColor rgb="FFA5D6A7"/>
          <bgColor rgb="FFA5D6A7"/>
        </patternFill>
      </fill>
    </dxf>
    <dxf>
      <font>
        <b/>
        <color rgb="FF000000"/>
      </font>
      <fill>
        <patternFill patternType="solid">
          <fgColor rgb="FFFFF176"/>
          <bgColor rgb="FFFFF176"/>
        </patternFill>
      </fill>
    </dxf>
    <dxf>
      <font>
        <b/>
        <color rgb="FF000000"/>
      </font>
      <fill>
        <patternFill patternType="solid">
          <fgColor rgb="FFFFA726"/>
          <bgColor rgb="FFFFA726"/>
        </patternFill>
      </fill>
    </dxf>
    <dxf>
      <font>
        <b/>
        <color rgb="FFFFFFFF"/>
      </font>
      <fill>
        <patternFill patternType="solid">
          <fgColor rgb="FFE53935"/>
          <bgColor rgb="FFE53935"/>
        </patternFill>
      </fill>
    </dxf>
    <dxf>
      <font>
        <b/>
        <color rgb="FFFFFFFF"/>
      </font>
      <fill>
        <patternFill patternType="solid">
          <fgColor rgb="FFC00000"/>
          <bgColor rgb="FFC00000"/>
        </patternFill>
      </fill>
    </dxf>
    <dxf>
      <font>
        <b/>
        <color rgb="FF616161"/>
      </font>
      <fill>
        <patternFill patternType="solid">
          <fgColor rgb="FFE0E0E0"/>
          <bgColor rgb="FFE0E0E0"/>
        </patternFill>
      </fill>
    </dxf>
    <dxf>
      <font>
        <b/>
        <color rgb="FFFFFFFF"/>
      </font>
      <fill>
        <patternFill patternType="solid">
          <fgColor rgb="FFE53935"/>
          <bgColor rgb="FFE53935"/>
        </patternFill>
      </fill>
    </dxf>
    <dxf>
      <font>
        <b/>
        <color rgb="FF1B5E20"/>
      </font>
      <fill>
        <patternFill patternType="solid">
          <fgColor rgb="FFA5D6A7"/>
          <bgColor rgb="FFA5D6A7"/>
        </patternFill>
      </fill>
    </dxf>
    <dxf>
      <font>
        <b/>
        <color rgb="FFC55A11"/>
      </font>
    </dxf>
    <dxf>
      <font>
        <b/>
        <color rgb="FFC00000"/>
      </font>
    </dxf>
    <dxf>
      <font>
        <color rgb="FF9C0006"/>
      </font>
    </dxf>
    <dxf>
      <font>
        <b/>
        <color rgb="FFFFFFFF"/>
      </font>
      <fill>
        <patternFill patternType="solid">
          <fgColor rgb="FFE53935"/>
          <bgColor rgb="FFE53935"/>
        </patternFill>
      </fill>
    </dxf>
    <dxf>
      <font>
        <b/>
        <color rgb="FFC00000"/>
      </font>
    </dxf>
    <dxf>
      <font>
        <b/>
        <color rgb="FF9C0006"/>
      </font>
      <fill>
        <patternFill patternType="solid">
          <fgColor rgb="FFFFC7CE"/>
          <bgColor rgb="FFFFC7CE"/>
        </patternFill>
      </fill>
    </dxf>
    <dxf>
      <font>
        <color rgb="FF595959"/>
      </font>
      <fill>
        <patternFill>
          <bgColor rgb="FFEDEDED"/>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color rgb="FFC00000"/>
      </font>
    </dxf>
    <dxf>
      <font>
        <b/>
        <color rgb="FFC55A11"/>
      </font>
    </dxf>
    <dxf>
      <font>
        <b/>
        <color rgb="FFC00000"/>
      </font>
    </dxf>
    <dxf>
      <font>
        <b/>
        <color rgb="FFFFFFFF"/>
      </font>
      <fill>
        <patternFill patternType="solid">
          <bgColor rgb="FFE53935"/>
        </patternFill>
      </fill>
    </dxf>
    <dxf>
      <font>
        <b/>
        <color rgb="FF000000"/>
      </font>
      <fill>
        <patternFill patternType="solid">
          <bgColor rgb="FFD9D9D9"/>
        </patternFill>
      </fill>
    </dxf>
    <dxf>
      <font>
        <b/>
        <color rgb="FFFFFFFF"/>
      </font>
      <fill>
        <patternFill patternType="solid">
          <bgColor rgb="FF5B8DB8"/>
        </patternFill>
      </fill>
    </dxf>
    <dxf>
      <font>
        <b/>
        <color rgb="FFFFFFFF"/>
      </font>
      <fill>
        <patternFill patternType="solid">
          <bgColor rgb="FF1F3A5F"/>
        </patternFill>
      </fill>
    </dxf>
    <dxf>
      <font>
        <b/>
      </font>
      <fill>
        <patternFill patternType="solid">
          <bgColor rgb="FFFFA726"/>
        </patternFill>
      </fill>
    </dxf>
    <dxf>
      <font>
        <b/>
        <color rgb="FF000000"/>
      </font>
      <fill>
        <patternFill patternType="solid">
          <bgColor rgb="FFD9D9D9"/>
        </patternFill>
      </fill>
    </dxf>
    <dxf>
      <font>
        <b/>
        <color rgb="FFFFFFFF"/>
      </font>
      <fill>
        <patternFill patternType="solid">
          <bgColor rgb="FF5B8DB8"/>
        </patternFill>
      </fill>
    </dxf>
    <dxf>
      <font>
        <b/>
        <color rgb="FFFFFFFF"/>
      </font>
      <fill>
        <patternFill patternType="solid">
          <bgColor rgb="FF1F3A5F"/>
        </patternFill>
      </fill>
    </dxf>
    <dxf>
      <font>
        <b/>
        <color rgb="FFC00000"/>
      </font>
    </dxf>
    <dxf>
      <font>
        <b/>
        <color rgb="FFC00000"/>
      </font>
      <fill>
        <patternFill patternType="solid">
          <bgColor rgb="FFFFCDD2"/>
        </patternFill>
      </fill>
    </dxf>
    <dxf>
      <font>
        <b/>
        <color rgb="FF616161"/>
      </font>
      <fill>
        <patternFill patternType="solid">
          <bgColor rgb="FFE0E0E0"/>
        </patternFill>
      </fill>
    </dxf>
    <dxf>
      <font>
        <b/>
        <color rgb="FF1B5E20"/>
      </font>
      <fill>
        <patternFill patternType="solid">
          <bgColor rgb="FFA5D6A7"/>
        </patternFill>
      </fill>
    </dxf>
    <dxf>
      <font>
        <b/>
        <color rgb="FF000000"/>
      </font>
      <fill>
        <patternFill patternType="solid">
          <bgColor rgb="FFFFF176"/>
        </patternFill>
      </fill>
    </dxf>
    <dxf>
      <font>
        <b/>
        <color rgb="FF000000"/>
      </font>
      <fill>
        <patternFill patternType="solid">
          <bgColor rgb="FFFFA726"/>
        </patternFill>
      </fill>
    </dxf>
    <dxf>
      <font>
        <b/>
        <color rgb="FFFFFFFF"/>
      </font>
      <fill>
        <patternFill patternType="solid">
          <bgColor rgb="FFE53935"/>
        </patternFill>
      </fill>
    </dxf>
    <dxf>
      <font>
        <b/>
        <color rgb="FFFFFFFF"/>
      </font>
      <fill>
        <patternFill patternType="solid">
          <bgColor rgb="FFC00000"/>
        </patternFill>
      </fill>
    </dxf>
    <dxf>
      <font>
        <b/>
        <color rgb="FF000000"/>
      </font>
      <fill>
        <patternFill patternType="solid">
          <bgColor rgb="FFD9D9D9"/>
        </patternFill>
      </fill>
    </dxf>
    <dxf>
      <font>
        <b/>
        <color rgb="FFFFFFFF"/>
      </font>
      <fill>
        <patternFill patternType="solid">
          <bgColor rgb="FF5B8DB8"/>
        </patternFill>
      </fill>
    </dxf>
    <dxf>
      <font>
        <b/>
        <color rgb="FFFFFFFF"/>
      </font>
      <fill>
        <patternFill patternType="solid">
          <bgColor rgb="FF1F3A5F"/>
        </patternFill>
      </fill>
    </dxf>
    <dxf>
      <font>
        <b/>
        <color rgb="FFFFFFFF"/>
      </font>
      <fill>
        <patternFill patternType="solid">
          <bgColor rgb="FFE53935"/>
        </patternFill>
      </fill>
    </dxf>
    <dxf>
      <font>
        <b/>
        <color rgb="FF000000"/>
      </font>
      <fill>
        <patternFill patternType="solid">
          <bgColor rgb="FFD9D9D9"/>
        </patternFill>
      </fill>
    </dxf>
    <dxf>
      <font>
        <b/>
        <color rgb="FFFFFFFF"/>
      </font>
      <fill>
        <patternFill patternType="solid">
          <bgColor rgb="FF5B8DB8"/>
        </patternFill>
      </fill>
    </dxf>
    <dxf>
      <font>
        <b/>
        <color rgb="FFFFFFFF"/>
      </font>
      <fill>
        <patternFill patternType="solid">
          <bgColor rgb="FF1F3A5F"/>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300" b="1">
                <a:solidFill>
                  <a:srgbClr val="1F3A5F"/>
                </a:solidFill>
              </a:defRPr>
            </a:pPr>
            <a:r>
              <a:rPr lang="en-US" sz="1300" b="1">
                <a:solidFill>
                  <a:srgbClr val="1F3A5F"/>
                </a:solidFill>
              </a:rPr>
              <a:t>Snack preference: Sweet vs Savoury</a:t>
            </a:r>
          </a:p>
        </c:rich>
      </c:tx>
      <c:overlay val="0"/>
    </c:title>
    <c:autoTitleDeleted val="0"/>
    <c:plotArea>
      <c:layout/>
      <c:doughnutChart>
        <c:varyColors val="1"/>
        <c:ser>
          <c:idx val="0"/>
          <c:order val="0"/>
          <c:spPr>
            <a:ln>
              <a:prstDash val="solid"/>
            </a:ln>
          </c:spPr>
          <c:dPt>
            <c:idx val="0"/>
            <c:bubble3D val="0"/>
            <c:spPr>
              <a:solidFill>
                <a:srgbClr val="E75A7C"/>
              </a:solidFill>
              <a:ln w="19050">
                <a:solidFill>
                  <a:srgbClr val="FFFFFF"/>
                </a:solidFill>
                <a:prstDash val="solid"/>
              </a:ln>
            </c:spPr>
            <c:extLst>
              <c:ext xmlns:c16="http://schemas.microsoft.com/office/drawing/2014/chart" uri="{C3380CC4-5D6E-409C-BE32-E72D297353CC}">
                <c16:uniqueId val="{00000001-8BDA-4A64-B021-3094C5964599}"/>
              </c:ext>
            </c:extLst>
          </c:dPt>
          <c:dPt>
            <c:idx val="1"/>
            <c:bubble3D val="0"/>
            <c:spPr>
              <a:solidFill>
                <a:srgbClr val="F2A541"/>
              </a:solidFill>
              <a:ln w="19050">
                <a:solidFill>
                  <a:srgbClr val="FFFFFF"/>
                </a:solidFill>
                <a:prstDash val="solid"/>
              </a:ln>
            </c:spPr>
            <c:extLst>
              <c:ext xmlns:c16="http://schemas.microsoft.com/office/drawing/2014/chart" uri="{C3380CC4-5D6E-409C-BE32-E72D297353CC}">
                <c16:uniqueId val="{00000003-8BDA-4A64-B021-3094C5964599}"/>
              </c:ext>
            </c:extLst>
          </c:dPt>
          <c:dPt>
            <c:idx val="2"/>
            <c:bubble3D val="0"/>
            <c:spPr>
              <a:noFill/>
              <a:ln>
                <a:noFill/>
                <a:prstDash val="solid"/>
              </a:ln>
            </c:spPr>
            <c:extLst>
              <c:ext xmlns:c16="http://schemas.microsoft.com/office/drawing/2014/chart" uri="{C3380CC4-5D6E-409C-BE32-E72D297353CC}">
                <c16:uniqueId val="{00000005-8BDA-4A64-B021-3094C5964599}"/>
              </c:ext>
            </c:extLst>
          </c:dPt>
          <c:dLbls>
            <c:dLbl>
              <c:idx val="0"/>
              <c:numFmt formatCode="0&quot;%&quot;" sourceLinked="0"/>
              <c:spPr/>
              <c:txPr>
                <a:bodyPr/>
                <a:lstStyle/>
                <a:p>
                  <a:pPr>
                    <a:defRPr sz="1100" b="1">
                      <a:solidFill>
                        <a:srgbClr val="FFFFFF"/>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DA-4A64-B021-3094C5964599}"/>
                </c:ext>
              </c:extLst>
            </c:dLbl>
            <c:dLbl>
              <c:idx val="1"/>
              <c:numFmt formatCode="0&quot;%&quot;" sourceLinked="0"/>
              <c:spPr/>
              <c:txPr>
                <a:bodyPr/>
                <a:lstStyle/>
                <a:p>
                  <a:pPr>
                    <a:defRPr sz="1100" b="1">
                      <a:solidFill>
                        <a:srgbClr val="FFFFFF"/>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DA-4A64-B021-3094C596459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extLst>
          </c:dLbls>
          <c:cat>
            <c:strRef>
              <c:f>Dashboard!$AE$17:$AE$19</c:f>
              <c:strCache>
                <c:ptCount val="3"/>
                <c:pt idx="0">
                  <c:v>Sweet</c:v>
                </c:pt>
                <c:pt idx="1">
                  <c:v>Savoury</c:v>
                </c:pt>
                <c:pt idx="2">
                  <c:v>SAVOURY leads · 52% of 1,698 units</c:v>
                </c:pt>
              </c:strCache>
            </c:strRef>
          </c:cat>
          <c:val>
            <c:numRef>
              <c:f>Dashboard!$AD$17:$AD$19</c:f>
              <c:numCache>
                <c:formatCode>0.0</c:formatCode>
                <c:ptCount val="3"/>
                <c:pt idx="0">
                  <c:v>47.526501766784449</c:v>
                </c:pt>
                <c:pt idx="1">
                  <c:v>52.473498233215544</c:v>
                </c:pt>
                <c:pt idx="2" formatCode="General">
                  <c:v>100</c:v>
                </c:pt>
              </c:numCache>
            </c:numRef>
          </c:val>
          <c:extLst>
            <c:ext xmlns:c16="http://schemas.microsoft.com/office/drawing/2014/chart" uri="{C3380CC4-5D6E-409C-BE32-E72D297353CC}">
              <c16:uniqueId val="{00000006-8BDA-4A64-B021-3094C5964599}"/>
            </c:ext>
          </c:extLst>
        </c:ser>
        <c:dLbls>
          <c:showLegendKey val="0"/>
          <c:showVal val="0"/>
          <c:showCatName val="0"/>
          <c:showSerName val="0"/>
          <c:showPercent val="0"/>
          <c:showBubbleSize val="0"/>
          <c:showLeaderLines val="1"/>
        </c:dLbls>
        <c:firstSliceAng val="270"/>
        <c:holeSize val="52"/>
      </c:doughnutChart>
      <c:pieChart>
        <c:varyColors val="1"/>
        <c:ser>
          <c:idx val="1"/>
          <c:order val="1"/>
          <c:spPr>
            <a:ln>
              <a:prstDash val="solid"/>
            </a:ln>
          </c:spPr>
          <c:dPt>
            <c:idx val="0"/>
            <c:bubble3D val="0"/>
            <c:spPr>
              <a:noFill/>
              <a:ln>
                <a:noFill/>
                <a:prstDash val="solid"/>
              </a:ln>
            </c:spPr>
            <c:extLst>
              <c:ext xmlns:c16="http://schemas.microsoft.com/office/drawing/2014/chart" uri="{C3380CC4-5D6E-409C-BE32-E72D297353CC}">
                <c16:uniqueId val="{00000008-8BDA-4A64-B021-3094C5964599}"/>
              </c:ext>
            </c:extLst>
          </c:dPt>
          <c:dPt>
            <c:idx val="1"/>
            <c:bubble3D val="0"/>
            <c:spPr>
              <a:solidFill>
                <a:srgbClr val="262626"/>
              </a:solidFill>
              <a:ln>
                <a:noFill/>
                <a:prstDash val="solid"/>
              </a:ln>
            </c:spPr>
            <c:extLst>
              <c:ext xmlns:c16="http://schemas.microsoft.com/office/drawing/2014/chart" uri="{C3380CC4-5D6E-409C-BE32-E72D297353CC}">
                <c16:uniqueId val="{0000000A-8BDA-4A64-B021-3094C5964599}"/>
              </c:ext>
            </c:extLst>
          </c:dPt>
          <c:dPt>
            <c:idx val="2"/>
            <c:bubble3D val="0"/>
            <c:spPr>
              <a:noFill/>
              <a:ln>
                <a:noFill/>
                <a:prstDash val="solid"/>
              </a:ln>
            </c:spPr>
            <c:extLst>
              <c:ext xmlns:c16="http://schemas.microsoft.com/office/drawing/2014/chart" uri="{C3380CC4-5D6E-409C-BE32-E72D297353CC}">
                <c16:uniqueId val="{0000000C-8BDA-4A64-B021-3094C5964599}"/>
              </c:ext>
            </c:extLst>
          </c:dPt>
          <c:dPt>
            <c:idx val="3"/>
            <c:bubble3D val="0"/>
            <c:spPr>
              <a:noFill/>
              <a:ln>
                <a:noFill/>
                <a:prstDash val="solid"/>
              </a:ln>
            </c:spPr>
            <c:extLst>
              <c:ext xmlns:c16="http://schemas.microsoft.com/office/drawing/2014/chart" uri="{C3380CC4-5D6E-409C-BE32-E72D297353CC}">
                <c16:uniqueId val="{0000000E-8BDA-4A64-B021-3094C5964599}"/>
              </c:ext>
            </c:extLst>
          </c:dPt>
          <c:val>
            <c:numRef>
              <c:f>Dashboard!$AF$17:$AF$20</c:f>
              <c:numCache>
                <c:formatCode>General</c:formatCode>
                <c:ptCount val="4"/>
                <c:pt idx="0">
                  <c:v>72.763250883392217</c:v>
                </c:pt>
                <c:pt idx="1">
                  <c:v>2</c:v>
                </c:pt>
                <c:pt idx="2">
                  <c:v>25.236749116607783</c:v>
                </c:pt>
                <c:pt idx="3">
                  <c:v>100</c:v>
                </c:pt>
              </c:numCache>
            </c:numRef>
          </c:val>
          <c:extLst>
            <c:ext xmlns:c16="http://schemas.microsoft.com/office/drawing/2014/chart" uri="{C3380CC4-5D6E-409C-BE32-E72D297353CC}">
              <c16:uniqueId val="{0000000F-8BDA-4A64-B021-3094C5964599}"/>
            </c:ext>
          </c:extLst>
        </c:ser>
        <c:dLbls>
          <c:showLegendKey val="0"/>
          <c:showVal val="0"/>
          <c:showCatName val="0"/>
          <c:showSerName val="0"/>
          <c:showPercent val="0"/>
          <c:showBubbleSize val="0"/>
          <c:showLeaderLines val="1"/>
        </c:dLbls>
        <c:firstSliceAng val="270"/>
      </c:pieChart>
    </c:plotArea>
    <c:plotVisOnly val="0"/>
    <c:dispBlanksAs val="gap"/>
    <c:showDLblsOverMax val="1"/>
  </c:chart>
  <c:spPr>
    <a:solidFill>
      <a:srgbClr val="FFFFFF"/>
    </a:solidFill>
    <a:ln>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300" b="1">
                <a:solidFill>
                  <a:srgbClr val="1F3A5F"/>
                </a:solidFill>
              </a:defRPr>
            </a:pPr>
            <a:r>
              <a:rPr lang="en-US" sz="1300" b="1">
                <a:solidFill>
                  <a:srgbClr val="1F3A5F"/>
                </a:solidFill>
              </a:rPr>
              <a:t>Beverage preference: Coffee vs Tea vs Other</a:t>
            </a:r>
          </a:p>
        </c:rich>
      </c:tx>
      <c:overlay val="0"/>
    </c:title>
    <c:autoTitleDeleted val="0"/>
    <c:plotArea>
      <c:layout/>
      <c:doughnutChart>
        <c:varyColors val="1"/>
        <c:ser>
          <c:idx val="0"/>
          <c:order val="0"/>
          <c:spPr>
            <a:ln>
              <a:prstDash val="solid"/>
            </a:ln>
          </c:spPr>
          <c:dPt>
            <c:idx val="0"/>
            <c:bubble3D val="0"/>
            <c:spPr>
              <a:solidFill>
                <a:srgbClr val="6F4E37"/>
              </a:solidFill>
              <a:ln w="19050">
                <a:solidFill>
                  <a:srgbClr val="FFFFFF"/>
                </a:solidFill>
                <a:prstDash val="solid"/>
              </a:ln>
            </c:spPr>
            <c:extLst>
              <c:ext xmlns:c16="http://schemas.microsoft.com/office/drawing/2014/chart" uri="{C3380CC4-5D6E-409C-BE32-E72D297353CC}">
                <c16:uniqueId val="{00000001-A799-4238-8AB5-A03A5F01D44A}"/>
              </c:ext>
            </c:extLst>
          </c:dPt>
          <c:dPt>
            <c:idx val="1"/>
            <c:bubble3D val="0"/>
            <c:spPr>
              <a:solidFill>
                <a:srgbClr val="5FA55A"/>
              </a:solidFill>
              <a:ln w="19050">
                <a:solidFill>
                  <a:srgbClr val="FFFFFF"/>
                </a:solidFill>
                <a:prstDash val="solid"/>
              </a:ln>
            </c:spPr>
            <c:extLst>
              <c:ext xmlns:c16="http://schemas.microsoft.com/office/drawing/2014/chart" uri="{C3380CC4-5D6E-409C-BE32-E72D297353CC}">
                <c16:uniqueId val="{00000003-A799-4238-8AB5-A03A5F01D44A}"/>
              </c:ext>
            </c:extLst>
          </c:dPt>
          <c:dPt>
            <c:idx val="2"/>
            <c:bubble3D val="0"/>
            <c:spPr>
              <a:solidFill>
                <a:srgbClr val="4A90C2"/>
              </a:solidFill>
              <a:ln w="19050">
                <a:solidFill>
                  <a:srgbClr val="FFFFFF"/>
                </a:solidFill>
                <a:prstDash val="solid"/>
              </a:ln>
            </c:spPr>
            <c:extLst>
              <c:ext xmlns:c16="http://schemas.microsoft.com/office/drawing/2014/chart" uri="{C3380CC4-5D6E-409C-BE32-E72D297353CC}">
                <c16:uniqueId val="{00000005-A799-4238-8AB5-A03A5F01D44A}"/>
              </c:ext>
            </c:extLst>
          </c:dPt>
          <c:dPt>
            <c:idx val="3"/>
            <c:bubble3D val="0"/>
            <c:spPr>
              <a:noFill/>
              <a:ln>
                <a:noFill/>
                <a:prstDash val="solid"/>
              </a:ln>
            </c:spPr>
            <c:extLst>
              <c:ext xmlns:c16="http://schemas.microsoft.com/office/drawing/2014/chart" uri="{C3380CC4-5D6E-409C-BE32-E72D297353CC}">
                <c16:uniqueId val="{00000007-A799-4238-8AB5-A03A5F01D44A}"/>
              </c:ext>
            </c:extLst>
          </c:dPt>
          <c:dLbls>
            <c:dLbl>
              <c:idx val="0"/>
              <c:numFmt formatCode="0&quot;%&quot;" sourceLinked="0"/>
              <c:spPr/>
              <c:txPr>
                <a:bodyPr/>
                <a:lstStyle/>
                <a:p>
                  <a:pPr>
                    <a:defRPr sz="1100" b="1">
                      <a:solidFill>
                        <a:srgbClr val="FFFFFF"/>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99-4238-8AB5-A03A5F01D44A}"/>
                </c:ext>
              </c:extLst>
            </c:dLbl>
            <c:dLbl>
              <c:idx val="1"/>
              <c:numFmt formatCode="0&quot;%&quot;" sourceLinked="0"/>
              <c:spPr/>
              <c:txPr>
                <a:bodyPr/>
                <a:lstStyle/>
                <a:p>
                  <a:pPr>
                    <a:defRPr sz="1100" b="1">
                      <a:solidFill>
                        <a:srgbClr val="FFFFFF"/>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99-4238-8AB5-A03A5F01D44A}"/>
                </c:ext>
              </c:extLst>
            </c:dLbl>
            <c:dLbl>
              <c:idx val="2"/>
              <c:numFmt formatCode="0&quot;%&quot;" sourceLinked="0"/>
              <c:spPr/>
              <c:txPr>
                <a:bodyPr/>
                <a:lstStyle/>
                <a:p>
                  <a:pPr>
                    <a:defRPr sz="1100" b="1">
                      <a:solidFill>
                        <a:srgbClr val="FFFFFF"/>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99-4238-8AB5-A03A5F01D44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extLst>
          </c:dLbls>
          <c:cat>
            <c:strRef>
              <c:f>Dashboard!$AE$28:$AE$31</c:f>
              <c:strCache>
                <c:ptCount val="4"/>
                <c:pt idx="0">
                  <c:v>Coffee</c:v>
                </c:pt>
                <c:pt idx="1">
                  <c:v>Tea</c:v>
                </c:pt>
                <c:pt idx="2">
                  <c:v>Other</c:v>
                </c:pt>
                <c:pt idx="3">
                  <c:v>OTHER leads · 76% of 3,474 units</c:v>
                </c:pt>
              </c:strCache>
            </c:strRef>
          </c:cat>
          <c:val>
            <c:numRef>
              <c:f>Dashboard!$AD$28:$AD$31</c:f>
              <c:numCache>
                <c:formatCode>0.0</c:formatCode>
                <c:ptCount val="4"/>
                <c:pt idx="0">
                  <c:v>2.993667242371906</c:v>
                </c:pt>
                <c:pt idx="1">
                  <c:v>21.243523316062177</c:v>
                </c:pt>
                <c:pt idx="2">
                  <c:v>75.762809441565921</c:v>
                </c:pt>
                <c:pt idx="3" formatCode="General">
                  <c:v>100</c:v>
                </c:pt>
              </c:numCache>
            </c:numRef>
          </c:val>
          <c:extLst>
            <c:ext xmlns:c16="http://schemas.microsoft.com/office/drawing/2014/chart" uri="{C3380CC4-5D6E-409C-BE32-E72D297353CC}">
              <c16:uniqueId val="{00000008-A799-4238-8AB5-A03A5F01D44A}"/>
            </c:ext>
          </c:extLst>
        </c:ser>
        <c:dLbls>
          <c:showLegendKey val="0"/>
          <c:showVal val="0"/>
          <c:showCatName val="0"/>
          <c:showSerName val="0"/>
          <c:showPercent val="0"/>
          <c:showBubbleSize val="0"/>
          <c:showLeaderLines val="1"/>
        </c:dLbls>
        <c:firstSliceAng val="270"/>
        <c:holeSize val="52"/>
      </c:doughnutChart>
      <c:pieChart>
        <c:varyColors val="1"/>
        <c:ser>
          <c:idx val="1"/>
          <c:order val="1"/>
          <c:spPr>
            <a:ln>
              <a:prstDash val="solid"/>
            </a:ln>
          </c:spPr>
          <c:dPt>
            <c:idx val="0"/>
            <c:bubble3D val="0"/>
            <c:spPr>
              <a:noFill/>
              <a:ln>
                <a:noFill/>
                <a:prstDash val="solid"/>
              </a:ln>
            </c:spPr>
            <c:extLst>
              <c:ext xmlns:c16="http://schemas.microsoft.com/office/drawing/2014/chart" uri="{C3380CC4-5D6E-409C-BE32-E72D297353CC}">
                <c16:uniqueId val="{0000000A-A799-4238-8AB5-A03A5F01D44A}"/>
              </c:ext>
            </c:extLst>
          </c:dPt>
          <c:dPt>
            <c:idx val="1"/>
            <c:bubble3D val="0"/>
            <c:spPr>
              <a:solidFill>
                <a:srgbClr val="262626"/>
              </a:solidFill>
              <a:ln>
                <a:noFill/>
                <a:prstDash val="solid"/>
              </a:ln>
            </c:spPr>
            <c:extLst>
              <c:ext xmlns:c16="http://schemas.microsoft.com/office/drawing/2014/chart" uri="{C3380CC4-5D6E-409C-BE32-E72D297353CC}">
                <c16:uniqueId val="{0000000C-A799-4238-8AB5-A03A5F01D44A}"/>
              </c:ext>
            </c:extLst>
          </c:dPt>
          <c:dPt>
            <c:idx val="2"/>
            <c:bubble3D val="0"/>
            <c:spPr>
              <a:noFill/>
              <a:ln>
                <a:noFill/>
                <a:prstDash val="solid"/>
              </a:ln>
            </c:spPr>
            <c:extLst>
              <c:ext xmlns:c16="http://schemas.microsoft.com/office/drawing/2014/chart" uri="{C3380CC4-5D6E-409C-BE32-E72D297353CC}">
                <c16:uniqueId val="{0000000E-A799-4238-8AB5-A03A5F01D44A}"/>
              </c:ext>
            </c:extLst>
          </c:dPt>
          <c:dPt>
            <c:idx val="3"/>
            <c:bubble3D val="0"/>
            <c:spPr>
              <a:noFill/>
              <a:ln>
                <a:noFill/>
                <a:prstDash val="solid"/>
              </a:ln>
            </c:spPr>
            <c:extLst>
              <c:ext xmlns:c16="http://schemas.microsoft.com/office/drawing/2014/chart" uri="{C3380CC4-5D6E-409C-BE32-E72D297353CC}">
                <c16:uniqueId val="{00000010-A799-4238-8AB5-A03A5F01D44A}"/>
              </c:ext>
            </c:extLst>
          </c:dPt>
          <c:val>
            <c:numRef>
              <c:f>Dashboard!$AF$28:$AF$31</c:f>
              <c:numCache>
                <c:formatCode>General</c:formatCode>
                <c:ptCount val="4"/>
                <c:pt idx="0">
                  <c:v>61.118595279217047</c:v>
                </c:pt>
                <c:pt idx="1">
                  <c:v>2</c:v>
                </c:pt>
                <c:pt idx="2">
                  <c:v>36.881404720782953</c:v>
                </c:pt>
                <c:pt idx="3">
                  <c:v>100</c:v>
                </c:pt>
              </c:numCache>
            </c:numRef>
          </c:val>
          <c:extLst>
            <c:ext xmlns:c16="http://schemas.microsoft.com/office/drawing/2014/chart" uri="{C3380CC4-5D6E-409C-BE32-E72D297353CC}">
              <c16:uniqueId val="{00000011-A799-4238-8AB5-A03A5F01D44A}"/>
            </c:ext>
          </c:extLst>
        </c:ser>
        <c:dLbls>
          <c:showLegendKey val="0"/>
          <c:showVal val="0"/>
          <c:showCatName val="0"/>
          <c:showSerName val="0"/>
          <c:showPercent val="0"/>
          <c:showBubbleSize val="0"/>
          <c:showLeaderLines val="1"/>
        </c:dLbls>
        <c:firstSliceAng val="270"/>
      </c:pieChart>
    </c:plotArea>
    <c:plotVisOnly val="0"/>
    <c:dispBlanksAs val="gap"/>
    <c:showDLblsOverMax val="1"/>
  </c:chart>
  <c:spPr>
    <a:solidFill>
      <a:srgbClr val="FFFFFF"/>
    </a:solidFill>
    <a:ln>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sz="1300" b="1">
                <a:solidFill>
                  <a:srgbClr val="1F3A5F"/>
                </a:solidFill>
              </a:rPr>
              <a:t>Days of stock cover - 10 most urgent items</a:t>
            </a:r>
          </a:p>
        </c:rich>
      </c:tx>
      <c:overlay val="0"/>
    </c:title>
    <c:autoTitleDeleted val="0"/>
    <c:plotArea>
      <c:layout/>
      <c:barChart>
        <c:barDir val="bar"/>
        <c:grouping val="stacked"/>
        <c:varyColors val="1"/>
        <c:ser>
          <c:idx val="0"/>
          <c:order val="0"/>
          <c:tx>
            <c:v>Out / Critical</c:v>
          </c:tx>
          <c:spPr>
            <a:solidFill>
              <a:srgbClr val="C00000"/>
            </a:solidFill>
            <a:ln>
              <a:solidFill>
                <a:srgbClr val="FFFFFF"/>
              </a:solidFill>
              <a:prstDash val="solid"/>
            </a:ln>
          </c:spPr>
          <c:invertIfNegative val="1"/>
          <c:dLbls>
            <c:numFmt formatCode="0.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Dashboard!$AB$39:$AB$48</c:f>
              <c:strCache>
                <c:ptCount val="10"/>
                <c:pt idx="0">
                  <c:v>Julies Butter Waffles (OUT)</c:v>
                </c:pt>
                <c:pt idx="1">
                  <c:v>NV OATS &amp; DARK CHOC 42GX5 (OUT)</c:v>
                </c:pt>
                <c:pt idx="2">
                  <c:v>Oat Side Chocolate 200ml</c:v>
                </c:pt>
                <c:pt idx="3">
                  <c:v>Vsoy Soya Bean  250ml</c:v>
                </c:pt>
                <c:pt idx="4">
                  <c:v>Ayataka Tea 300ml</c:v>
                </c:pt>
                <c:pt idx="5">
                  <c:v>Munchy Oat Krunch - Dark Cho</c:v>
                </c:pt>
                <c:pt idx="6">
                  <c:v>Milo 200ml</c:v>
                </c:pt>
                <c:pt idx="7">
                  <c:v>Munchy Oat Krunch - Strawber</c:v>
                </c:pt>
                <c:pt idx="8">
                  <c:v>Oat Side Original 200ml</c:v>
                </c:pt>
                <c:pt idx="9">
                  <c:v>Lays Potato Chips (Original)</c:v>
                </c:pt>
              </c:strCache>
            </c:strRef>
          </c:cat>
          <c:val>
            <c:numRef>
              <c:f>Dashboard!$AC$39:$AC$48</c:f>
              <c:numCache>
                <c:formatCode>0.0;\-0.0;;</c:formatCode>
                <c:ptCount val="10"/>
                <c:pt idx="0">
                  <c:v>0</c:v>
                </c:pt>
                <c:pt idx="1">
                  <c:v>0</c:v>
                </c:pt>
                <c:pt idx="2">
                  <c:v>0.94255874673629236</c:v>
                </c:pt>
                <c:pt idx="3">
                  <c:v>1.6937269372693726</c:v>
                </c:pt>
                <c:pt idx="4">
                  <c:v>2.7149877149877151</c:v>
                </c:pt>
                <c:pt idx="5">
                  <c:v>2.8421052631578947</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0-51F4-42F7-8D4B-EC464733BF89}"/>
            </c:ext>
          </c:extLst>
        </c:ser>
        <c:ser>
          <c:idx val="1"/>
          <c:order val="1"/>
          <c:tx>
            <c:v>Low</c:v>
          </c:tx>
          <c:spPr>
            <a:solidFill>
              <a:srgbClr val="FFA726"/>
            </a:solidFill>
            <a:ln>
              <a:solidFill>
                <a:srgbClr val="FFFFFF"/>
              </a:solidFill>
              <a:prstDash val="solid"/>
            </a:ln>
          </c:spPr>
          <c:invertIfNegative val="1"/>
          <c:dLbls>
            <c:numFmt formatCode="0.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Dashboard!$AB$39:$AB$48</c:f>
              <c:strCache>
                <c:ptCount val="10"/>
                <c:pt idx="0">
                  <c:v>Julies Butter Waffles (OUT)</c:v>
                </c:pt>
                <c:pt idx="1">
                  <c:v>NV OATS &amp; DARK CHOC 42GX5 (OUT)</c:v>
                </c:pt>
                <c:pt idx="2">
                  <c:v>Oat Side Chocolate 200ml</c:v>
                </c:pt>
                <c:pt idx="3">
                  <c:v>Vsoy Soya Bean  250ml</c:v>
                </c:pt>
                <c:pt idx="4">
                  <c:v>Ayataka Tea 300ml</c:v>
                </c:pt>
                <c:pt idx="5">
                  <c:v>Munchy Oat Krunch - Dark Cho</c:v>
                </c:pt>
                <c:pt idx="6">
                  <c:v>Milo 200ml</c:v>
                </c:pt>
                <c:pt idx="7">
                  <c:v>Munchy Oat Krunch - Strawber</c:v>
                </c:pt>
                <c:pt idx="8">
                  <c:v>Oat Side Original 200ml</c:v>
                </c:pt>
                <c:pt idx="9">
                  <c:v>Lays Potato Chips (Original)</c:v>
                </c:pt>
              </c:strCache>
            </c:strRef>
          </c:cat>
          <c:val>
            <c:numRef>
              <c:f>Dashboard!$AD$39:$AD$48</c:f>
              <c:numCache>
                <c:formatCode>0.0;\-0.0;;</c:formatCode>
                <c:ptCount val="10"/>
                <c:pt idx="0">
                  <c:v>0</c:v>
                </c:pt>
                <c:pt idx="1">
                  <c:v>0</c:v>
                </c:pt>
                <c:pt idx="2">
                  <c:v>0</c:v>
                </c:pt>
                <c:pt idx="3">
                  <c:v>0</c:v>
                </c:pt>
                <c:pt idx="4">
                  <c:v>0</c:v>
                </c:pt>
                <c:pt idx="5">
                  <c:v>0</c:v>
                </c:pt>
                <c:pt idx="6">
                  <c:v>3.6428571428571428</c:v>
                </c:pt>
                <c:pt idx="7">
                  <c:v>4.4725274725274717</c:v>
                </c:pt>
                <c:pt idx="8">
                  <c:v>4.666666666666667</c:v>
                </c:pt>
                <c:pt idx="9">
                  <c:v>5.1764705882352944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1-51F4-42F7-8D4B-EC464733BF89}"/>
            </c:ext>
          </c:extLst>
        </c:ser>
        <c:ser>
          <c:idx val="2"/>
          <c:order val="2"/>
          <c:tx>
            <c:v>Watch</c:v>
          </c:tx>
          <c:spPr>
            <a:solidFill>
              <a:srgbClr val="FFF176"/>
            </a:solidFill>
            <a:ln>
              <a:solidFill>
                <a:srgbClr val="FFFFFF"/>
              </a:solidFill>
              <a:prstDash val="solid"/>
            </a:ln>
          </c:spPr>
          <c:invertIfNegative val="1"/>
          <c:dLbls>
            <c:numFmt formatCode="0.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Dashboard!$AB$39:$AB$48</c:f>
              <c:strCache>
                <c:ptCount val="10"/>
                <c:pt idx="0">
                  <c:v>Julies Butter Waffles (OUT)</c:v>
                </c:pt>
                <c:pt idx="1">
                  <c:v>NV OATS &amp; DARK CHOC 42GX5 (OUT)</c:v>
                </c:pt>
                <c:pt idx="2">
                  <c:v>Oat Side Chocolate 200ml</c:v>
                </c:pt>
                <c:pt idx="3">
                  <c:v>Vsoy Soya Bean  250ml</c:v>
                </c:pt>
                <c:pt idx="4">
                  <c:v>Ayataka Tea 300ml</c:v>
                </c:pt>
                <c:pt idx="5">
                  <c:v>Munchy Oat Krunch - Dark Cho</c:v>
                </c:pt>
                <c:pt idx="6">
                  <c:v>Milo 200ml</c:v>
                </c:pt>
                <c:pt idx="7">
                  <c:v>Munchy Oat Krunch - Strawber</c:v>
                </c:pt>
                <c:pt idx="8">
                  <c:v>Oat Side Original 200ml</c:v>
                </c:pt>
                <c:pt idx="9">
                  <c:v>Lays Potato Chips (Original)</c:v>
                </c:pt>
              </c:strCache>
            </c:strRef>
          </c:cat>
          <c:val>
            <c:numRef>
              <c:f>Dashboard!$AE$39:$AE$48</c:f>
              <c:numCache>
                <c:formatCode>0.0;\-0.0;;</c:formatCode>
                <c:ptCount val="10"/>
                <c:pt idx="0">
                  <c:v>0</c:v>
                </c:pt>
                <c:pt idx="1">
                  <c:v>0</c:v>
                </c:pt>
                <c:pt idx="2">
                  <c:v>0</c:v>
                </c:pt>
                <c:pt idx="3">
                  <c:v>0</c:v>
                </c:pt>
                <c:pt idx="4">
                  <c:v>0</c:v>
                </c:pt>
                <c:pt idx="5">
                  <c:v>0</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2-51F4-42F7-8D4B-EC464733BF89}"/>
            </c:ext>
          </c:extLst>
        </c:ser>
        <c:ser>
          <c:idx val="3"/>
          <c:order val="3"/>
          <c:tx>
            <c:v>Healthy</c:v>
          </c:tx>
          <c:spPr>
            <a:solidFill>
              <a:srgbClr val="66BB6A"/>
            </a:solidFill>
            <a:ln>
              <a:solidFill>
                <a:srgbClr val="FFFFFF"/>
              </a:solidFill>
              <a:prstDash val="solid"/>
            </a:ln>
          </c:spPr>
          <c:invertIfNegative val="1"/>
          <c:dLbls>
            <c:numFmt formatCode="0.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Dashboard!$AB$39:$AB$48</c:f>
              <c:strCache>
                <c:ptCount val="10"/>
                <c:pt idx="0">
                  <c:v>Julies Butter Waffles (OUT)</c:v>
                </c:pt>
                <c:pt idx="1">
                  <c:v>NV OATS &amp; DARK CHOC 42GX5 (OUT)</c:v>
                </c:pt>
                <c:pt idx="2">
                  <c:v>Oat Side Chocolate 200ml</c:v>
                </c:pt>
                <c:pt idx="3">
                  <c:v>Vsoy Soya Bean  250ml</c:v>
                </c:pt>
                <c:pt idx="4">
                  <c:v>Ayataka Tea 300ml</c:v>
                </c:pt>
                <c:pt idx="5">
                  <c:v>Munchy Oat Krunch - Dark Cho</c:v>
                </c:pt>
                <c:pt idx="6">
                  <c:v>Milo 200ml</c:v>
                </c:pt>
                <c:pt idx="7">
                  <c:v>Munchy Oat Krunch - Strawber</c:v>
                </c:pt>
                <c:pt idx="8">
                  <c:v>Oat Side Original 200ml</c:v>
                </c:pt>
                <c:pt idx="9">
                  <c:v>Lays Potato Chips (Original)</c:v>
                </c:pt>
              </c:strCache>
            </c:strRef>
          </c:cat>
          <c:val>
            <c:numRef>
              <c:f>Dashboard!$AF$39:$AF$48</c:f>
              <c:numCache>
                <c:formatCode>0.0;\-0.0;;</c:formatCode>
                <c:ptCount val="10"/>
                <c:pt idx="0">
                  <c:v>0</c:v>
                </c:pt>
                <c:pt idx="1">
                  <c:v>0</c:v>
                </c:pt>
                <c:pt idx="2">
                  <c:v>0</c:v>
                </c:pt>
                <c:pt idx="3">
                  <c:v>0</c:v>
                </c:pt>
                <c:pt idx="4">
                  <c:v>0</c:v>
                </c:pt>
                <c:pt idx="5">
                  <c:v>0</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3-51F4-42F7-8D4B-EC464733BF89}"/>
            </c:ext>
          </c:extLst>
        </c:ser>
        <c:dLbls>
          <c:showLegendKey val="0"/>
          <c:showVal val="0"/>
          <c:showCatName val="0"/>
          <c:showSerName val="0"/>
          <c:showPercent val="0"/>
          <c:showBubbleSize val="0"/>
        </c:dLbls>
        <c:gapWidth val="5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000000"/>
                </a:solidFill>
              </a:defRPr>
            </a:pPr>
            <a:endParaRPr lang="en-US"/>
          </a:p>
        </c:txPr>
        <c:crossAx val="100"/>
        <c:crosses val="autoZero"/>
        <c:auto val="1"/>
        <c:lblAlgn val="ctr"/>
        <c:lblOffset val="100"/>
        <c:noMultiLvlLbl val="1"/>
      </c:catAx>
      <c:valAx>
        <c:axId val="100"/>
        <c:scaling>
          <c:orientation val="minMax"/>
        </c:scaling>
        <c:delete val="0"/>
        <c:axPos val="b"/>
        <c:majorGridlines>
          <c:spPr>
            <a:ln>
              <a:solidFill>
                <a:srgbClr val="E5E5E5"/>
              </a:solidFill>
              <a:prstDash val="solid"/>
            </a:ln>
          </c:spPr>
        </c:majorGridlines>
        <c:title>
          <c:tx>
            <c:rich>
              <a:bodyPr/>
              <a:lstStyle/>
              <a:p>
                <a:pPr>
                  <a:defRPr/>
                </a:pPr>
                <a:r>
                  <a:rPr lang="en-US"/>
                  <a:t>Days</a:t>
                </a:r>
              </a:p>
            </c:rich>
          </c:tx>
          <c:overlay val="1"/>
        </c:title>
        <c:numFmt formatCode="0.0;\-0.0;;" sourceLinked="1"/>
        <c:majorTickMark val="none"/>
        <c:minorTickMark val="none"/>
        <c:tickLblPos val="nextTo"/>
        <c:crossAx val="10"/>
        <c:crosses val="max"/>
        <c:crossBetween val="between"/>
      </c:valAx>
    </c:plotArea>
    <c:legend>
      <c:legendPos val="b"/>
      <c:overlay val="1"/>
    </c:legend>
    <c:plotVisOnly val="0"/>
    <c:dispBlanksAs val="gap"/>
    <c:showDLblsOverMax val="1"/>
  </c:chart>
  <c:spPr>
    <a:solidFill>
      <a:srgbClr val="FFFFFF"/>
    </a:solidFill>
    <a:ln>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MY"/>
              <a:t>Units consumed per day</a:t>
            </a:r>
          </a:p>
        </c:rich>
      </c:tx>
      <c:overlay val="1"/>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1"/>
        <c:ser>
          <c:idx val="0"/>
          <c:order val="0"/>
          <c:invertIfNegative val="1"/>
          <c:dPt>
            <c:idx val="0"/>
            <c:invertIfNegative val="1"/>
            <c:bubble3D val="0"/>
            <c:spPr>
              <a:solidFill>
                <a:schemeClr val="accent1"/>
              </a:solidFill>
              <a:ln w="6350" cap="flat" cmpd="sng" algn="ctr">
                <a:solidFill>
                  <a:schemeClr val="lt1"/>
                </a:solidFill>
                <a:prstDash val="solid"/>
                <a:round/>
              </a:ln>
              <a:effectLst/>
            </c:spPr>
            <c:extLst>
              <c:ext xmlns:c16="http://schemas.microsoft.com/office/drawing/2014/chart" uri="{C3380CC4-5D6E-409C-BE32-E72D297353CC}">
                <c16:uniqueId val="{00000001-9946-45A3-AAB5-D5807D519B4F}"/>
              </c:ext>
            </c:extLst>
          </c:dPt>
          <c:dPt>
            <c:idx val="1"/>
            <c:invertIfNegative val="1"/>
            <c:bubble3D val="0"/>
            <c:spPr>
              <a:solidFill>
                <a:schemeClr val="accent2"/>
              </a:solidFill>
              <a:ln w="6350" cap="flat" cmpd="sng" algn="ctr">
                <a:solidFill>
                  <a:schemeClr val="lt1"/>
                </a:solidFill>
                <a:prstDash val="solid"/>
                <a:round/>
              </a:ln>
              <a:effectLst/>
            </c:spPr>
            <c:extLst>
              <c:ext xmlns:c16="http://schemas.microsoft.com/office/drawing/2014/chart" uri="{C3380CC4-5D6E-409C-BE32-E72D297353CC}">
                <c16:uniqueId val="{00000003-9946-45A3-AAB5-D5807D519B4F}"/>
              </c:ext>
            </c:extLst>
          </c:dPt>
          <c:dPt>
            <c:idx val="2"/>
            <c:invertIfNegative val="1"/>
            <c:bubble3D val="0"/>
            <c:spPr>
              <a:solidFill>
                <a:schemeClr val="accent3"/>
              </a:solidFill>
              <a:ln w="6350" cap="flat" cmpd="sng" algn="ctr">
                <a:solidFill>
                  <a:schemeClr val="lt1"/>
                </a:solidFill>
                <a:prstDash val="solid"/>
                <a:round/>
              </a:ln>
              <a:effectLst/>
            </c:spPr>
            <c:extLst>
              <c:ext xmlns:c16="http://schemas.microsoft.com/office/drawing/2014/chart" uri="{C3380CC4-5D6E-409C-BE32-E72D297353CC}">
                <c16:uniqueId val="{00000005-9946-45A3-AAB5-D5807D519B4F}"/>
              </c:ext>
            </c:extLst>
          </c:dPt>
          <c:dPt>
            <c:idx val="3"/>
            <c:invertIfNegative val="1"/>
            <c:bubble3D val="0"/>
            <c:spPr>
              <a:solidFill>
                <a:schemeClr val="accent4"/>
              </a:solidFill>
              <a:ln w="6350" cap="flat" cmpd="sng" algn="ctr">
                <a:solidFill>
                  <a:schemeClr val="lt1"/>
                </a:solidFill>
                <a:prstDash val="solid"/>
                <a:round/>
              </a:ln>
              <a:effectLst/>
            </c:spPr>
            <c:extLst>
              <c:ext xmlns:c16="http://schemas.microsoft.com/office/drawing/2014/chart" uri="{C3380CC4-5D6E-409C-BE32-E72D297353CC}">
                <c16:uniqueId val="{00000007-9946-45A3-AAB5-D5807D519B4F}"/>
              </c:ext>
            </c:extLst>
          </c:dPt>
          <c:dPt>
            <c:idx val="4"/>
            <c:invertIfNegative val="1"/>
            <c:bubble3D val="0"/>
            <c:spPr>
              <a:solidFill>
                <a:schemeClr val="accent5"/>
              </a:solidFill>
              <a:ln w="6350" cap="flat" cmpd="sng" algn="ctr">
                <a:solidFill>
                  <a:schemeClr val="lt1"/>
                </a:solidFill>
                <a:prstDash val="solid"/>
                <a:round/>
              </a:ln>
              <a:effectLst/>
            </c:spPr>
            <c:extLst>
              <c:ext xmlns:c16="http://schemas.microsoft.com/office/drawing/2014/chart" uri="{C3380CC4-5D6E-409C-BE32-E72D297353CC}">
                <c16:uniqueId val="{00000009-9946-45A3-AAB5-D5807D519B4F}"/>
              </c:ext>
            </c:extLst>
          </c:dPt>
          <c:dPt>
            <c:idx val="5"/>
            <c:invertIfNegative val="1"/>
            <c:bubble3D val="0"/>
            <c:spPr>
              <a:solidFill>
                <a:schemeClr val="accent6"/>
              </a:solidFill>
              <a:ln w="6350" cap="flat" cmpd="sng" algn="ctr">
                <a:solidFill>
                  <a:schemeClr val="lt1"/>
                </a:solidFill>
                <a:prstDash val="solid"/>
                <a:round/>
              </a:ln>
              <a:effectLst/>
            </c:spPr>
            <c:extLst>
              <c:ext xmlns:c16="http://schemas.microsoft.com/office/drawing/2014/chart" uri="{C3380CC4-5D6E-409C-BE32-E72D297353CC}">
                <c16:uniqueId val="{0000000B-9946-45A3-AAB5-D5807D519B4F}"/>
              </c:ext>
            </c:extLst>
          </c:dPt>
          <c:dPt>
            <c:idx val="6"/>
            <c:invertIfNegative val="1"/>
            <c:bubble3D val="0"/>
            <c:spPr>
              <a:solidFill>
                <a:schemeClr val="accent1">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0D-9946-45A3-AAB5-D5807D519B4F}"/>
              </c:ext>
            </c:extLst>
          </c:dPt>
          <c:dPt>
            <c:idx val="7"/>
            <c:invertIfNegative val="1"/>
            <c:bubble3D val="0"/>
            <c:spPr>
              <a:solidFill>
                <a:schemeClr val="accent2">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0F-9946-45A3-AAB5-D5807D519B4F}"/>
              </c:ext>
            </c:extLst>
          </c:dPt>
          <c:dPt>
            <c:idx val="8"/>
            <c:invertIfNegative val="1"/>
            <c:bubble3D val="0"/>
            <c:spPr>
              <a:solidFill>
                <a:schemeClr val="accent3">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11-9946-45A3-AAB5-D5807D519B4F}"/>
              </c:ext>
            </c:extLst>
          </c:dPt>
          <c:dPt>
            <c:idx val="9"/>
            <c:invertIfNegative val="1"/>
            <c:bubble3D val="0"/>
            <c:spPr>
              <a:solidFill>
                <a:schemeClr val="accent4">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13-9946-45A3-AAB5-D5807D519B4F}"/>
              </c:ext>
            </c:extLst>
          </c:dPt>
          <c:dPt>
            <c:idx val="10"/>
            <c:invertIfNegative val="1"/>
            <c:bubble3D val="0"/>
            <c:spPr>
              <a:solidFill>
                <a:schemeClr val="accent5">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15-9946-45A3-AAB5-D5807D519B4F}"/>
              </c:ext>
            </c:extLst>
          </c:dPt>
          <c:dPt>
            <c:idx val="11"/>
            <c:invertIfNegative val="1"/>
            <c:bubble3D val="0"/>
            <c:spPr>
              <a:solidFill>
                <a:schemeClr val="accent6">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17-9946-45A3-AAB5-D5807D519B4F}"/>
              </c:ext>
            </c:extLst>
          </c:dPt>
          <c:dPt>
            <c:idx val="12"/>
            <c:invertIfNegative val="1"/>
            <c:bubble3D val="0"/>
            <c:spPr>
              <a:solidFill>
                <a:schemeClr val="accent1">
                  <a:lumMod val="80000"/>
                  <a:lumOff val="20000"/>
                </a:schemeClr>
              </a:solidFill>
              <a:ln w="6350" cap="flat" cmpd="sng" algn="ctr">
                <a:solidFill>
                  <a:schemeClr val="lt1"/>
                </a:solidFill>
                <a:prstDash val="solid"/>
                <a:round/>
              </a:ln>
              <a:effectLst/>
            </c:spPr>
            <c:extLst>
              <c:ext xmlns:c16="http://schemas.microsoft.com/office/drawing/2014/chart" uri="{C3380CC4-5D6E-409C-BE32-E72D297353CC}">
                <c16:uniqueId val="{00000019-9946-45A3-AAB5-D5807D519B4F}"/>
              </c:ext>
            </c:extLst>
          </c:dPt>
          <c:dPt>
            <c:idx val="13"/>
            <c:invertIfNegative val="1"/>
            <c:bubble3D val="0"/>
            <c:spPr>
              <a:solidFill>
                <a:schemeClr val="accent2">
                  <a:lumMod val="80000"/>
                  <a:lumOff val="20000"/>
                </a:schemeClr>
              </a:solidFill>
              <a:ln w="6350" cap="flat" cmpd="sng" algn="ctr">
                <a:solidFill>
                  <a:schemeClr val="lt1"/>
                </a:solidFill>
                <a:prstDash val="solid"/>
                <a:round/>
              </a:ln>
              <a:effectLst/>
            </c:spPr>
            <c:extLst>
              <c:ext xmlns:c16="http://schemas.microsoft.com/office/drawing/2014/chart" uri="{C3380CC4-5D6E-409C-BE32-E72D297353CC}">
                <c16:uniqueId val="{0000001B-9946-45A3-AAB5-D5807D519B4F}"/>
              </c:ext>
            </c:extLst>
          </c:dPt>
          <c:dPt>
            <c:idx val="14"/>
            <c:invertIfNegative val="1"/>
            <c:bubble3D val="0"/>
            <c:spPr>
              <a:solidFill>
                <a:schemeClr val="accent3">
                  <a:lumMod val="80000"/>
                  <a:lumOff val="20000"/>
                </a:schemeClr>
              </a:solidFill>
              <a:ln w="6350" cap="flat" cmpd="sng" algn="ctr">
                <a:solidFill>
                  <a:schemeClr val="lt1"/>
                </a:solidFill>
                <a:prstDash val="solid"/>
                <a:round/>
              </a:ln>
              <a:effectLst/>
            </c:spPr>
            <c:extLst>
              <c:ext xmlns:c16="http://schemas.microsoft.com/office/drawing/2014/chart" uri="{C3380CC4-5D6E-409C-BE32-E72D297353CC}">
                <c16:uniqueId val="{0000001D-9946-45A3-AAB5-D5807D519B4F}"/>
              </c:ext>
            </c:extLst>
          </c:dPt>
          <c:dPt>
            <c:idx val="15"/>
            <c:invertIfNegative val="1"/>
            <c:bubble3D val="0"/>
            <c:spPr>
              <a:solidFill>
                <a:schemeClr val="accent4">
                  <a:lumMod val="80000"/>
                  <a:lumOff val="20000"/>
                </a:schemeClr>
              </a:solidFill>
              <a:ln w="6350" cap="flat" cmpd="sng" algn="ctr">
                <a:solidFill>
                  <a:schemeClr val="lt1"/>
                </a:solidFill>
                <a:prstDash val="solid"/>
                <a:round/>
              </a:ln>
              <a:effectLst/>
            </c:spPr>
            <c:extLst>
              <c:ext xmlns:c16="http://schemas.microsoft.com/office/drawing/2014/chart" uri="{C3380CC4-5D6E-409C-BE32-E72D297353CC}">
                <c16:uniqueId val="{0000001F-9946-45A3-AAB5-D5807D519B4F}"/>
              </c:ext>
            </c:extLst>
          </c:dPt>
          <c:dPt>
            <c:idx val="16"/>
            <c:invertIfNegative val="1"/>
            <c:bubble3D val="0"/>
            <c:spPr>
              <a:solidFill>
                <a:schemeClr val="accent5">
                  <a:lumMod val="80000"/>
                  <a:lumOff val="20000"/>
                </a:schemeClr>
              </a:solidFill>
              <a:ln w="6350" cap="flat" cmpd="sng" algn="ctr">
                <a:solidFill>
                  <a:schemeClr val="lt1"/>
                </a:solidFill>
                <a:prstDash val="solid"/>
                <a:round/>
              </a:ln>
              <a:effectLst/>
            </c:spPr>
            <c:extLst>
              <c:ext xmlns:c16="http://schemas.microsoft.com/office/drawing/2014/chart" uri="{C3380CC4-5D6E-409C-BE32-E72D297353CC}">
                <c16:uniqueId val="{00000021-9946-45A3-AAB5-D5807D519B4F}"/>
              </c:ext>
            </c:extLst>
          </c:dPt>
          <c:dPt>
            <c:idx val="17"/>
            <c:invertIfNegative val="1"/>
            <c:bubble3D val="0"/>
            <c:spPr>
              <a:solidFill>
                <a:schemeClr val="accent6">
                  <a:lumMod val="80000"/>
                  <a:lumOff val="20000"/>
                </a:schemeClr>
              </a:solidFill>
              <a:ln w="6350" cap="flat" cmpd="sng" algn="ctr">
                <a:solidFill>
                  <a:schemeClr val="lt1"/>
                </a:solidFill>
                <a:prstDash val="solid"/>
                <a:round/>
              </a:ln>
              <a:effectLst/>
            </c:spPr>
            <c:extLst>
              <c:ext xmlns:c16="http://schemas.microsoft.com/office/drawing/2014/chart" uri="{C3380CC4-5D6E-409C-BE32-E72D297353CC}">
                <c16:uniqueId val="{00000023-9946-45A3-AAB5-D5807D519B4F}"/>
              </c:ext>
            </c:extLst>
          </c:dPt>
          <c:dPt>
            <c:idx val="18"/>
            <c:invertIfNegative val="1"/>
            <c:bubble3D val="0"/>
            <c:spPr>
              <a:solidFill>
                <a:schemeClr val="accent1">
                  <a:lumMod val="80000"/>
                </a:schemeClr>
              </a:solidFill>
              <a:ln w="6350" cap="flat" cmpd="sng" algn="ctr">
                <a:solidFill>
                  <a:schemeClr val="lt1"/>
                </a:solidFill>
                <a:prstDash val="solid"/>
                <a:round/>
              </a:ln>
              <a:effectLst/>
            </c:spPr>
            <c:extLst>
              <c:ext xmlns:c16="http://schemas.microsoft.com/office/drawing/2014/chart" uri="{C3380CC4-5D6E-409C-BE32-E72D297353CC}">
                <c16:uniqueId val="{00000025-9946-45A3-AAB5-D5807D519B4F}"/>
              </c:ext>
            </c:extLst>
          </c:dPt>
          <c:dPt>
            <c:idx val="19"/>
            <c:invertIfNegative val="1"/>
            <c:bubble3D val="0"/>
            <c:spPr>
              <a:solidFill>
                <a:schemeClr val="accent2">
                  <a:lumMod val="80000"/>
                </a:schemeClr>
              </a:solidFill>
              <a:ln w="6350" cap="flat" cmpd="sng" algn="ctr">
                <a:solidFill>
                  <a:schemeClr val="lt1"/>
                </a:solidFill>
                <a:prstDash val="solid"/>
                <a:round/>
              </a:ln>
              <a:effectLst/>
            </c:spPr>
            <c:extLst>
              <c:ext xmlns:c16="http://schemas.microsoft.com/office/drawing/2014/chart" uri="{C3380CC4-5D6E-409C-BE32-E72D297353CC}">
                <c16:uniqueId val="{00000027-9946-45A3-AAB5-D5807D519B4F}"/>
              </c:ext>
            </c:extLst>
          </c:dPt>
          <c:dPt>
            <c:idx val="20"/>
            <c:invertIfNegative val="1"/>
            <c:bubble3D val="0"/>
            <c:spPr>
              <a:solidFill>
                <a:schemeClr val="accent3">
                  <a:lumMod val="80000"/>
                </a:schemeClr>
              </a:solidFill>
              <a:ln w="6350" cap="flat" cmpd="sng" algn="ctr">
                <a:solidFill>
                  <a:schemeClr val="lt1"/>
                </a:solidFill>
                <a:prstDash val="solid"/>
                <a:round/>
              </a:ln>
              <a:effectLst/>
            </c:spPr>
            <c:extLst>
              <c:ext xmlns:c16="http://schemas.microsoft.com/office/drawing/2014/chart" uri="{C3380CC4-5D6E-409C-BE32-E72D297353CC}">
                <c16:uniqueId val="{00000029-9946-45A3-AAB5-D5807D519B4F}"/>
              </c:ext>
            </c:extLst>
          </c:dPt>
          <c:dPt>
            <c:idx val="21"/>
            <c:invertIfNegative val="1"/>
            <c:bubble3D val="0"/>
            <c:spPr>
              <a:solidFill>
                <a:schemeClr val="accent4">
                  <a:lumMod val="80000"/>
                </a:schemeClr>
              </a:solidFill>
              <a:ln w="6350" cap="flat" cmpd="sng" algn="ctr">
                <a:solidFill>
                  <a:schemeClr val="lt1"/>
                </a:solidFill>
                <a:prstDash val="solid"/>
                <a:round/>
              </a:ln>
              <a:effectLst/>
            </c:spPr>
            <c:extLst>
              <c:ext xmlns:c16="http://schemas.microsoft.com/office/drawing/2014/chart" uri="{C3380CC4-5D6E-409C-BE32-E72D297353CC}">
                <c16:uniqueId val="{0000002B-9946-45A3-AAB5-D5807D519B4F}"/>
              </c:ext>
            </c:extLst>
          </c:dPt>
          <c:dPt>
            <c:idx val="22"/>
            <c:invertIfNegative val="1"/>
            <c:bubble3D val="0"/>
            <c:spPr>
              <a:solidFill>
                <a:schemeClr val="accent5">
                  <a:lumMod val="80000"/>
                </a:schemeClr>
              </a:solidFill>
              <a:ln w="6350" cap="flat" cmpd="sng" algn="ctr">
                <a:solidFill>
                  <a:schemeClr val="lt1"/>
                </a:solidFill>
                <a:prstDash val="solid"/>
                <a:round/>
              </a:ln>
              <a:effectLst/>
            </c:spPr>
            <c:extLst>
              <c:ext xmlns:c16="http://schemas.microsoft.com/office/drawing/2014/chart" uri="{C3380CC4-5D6E-409C-BE32-E72D297353CC}">
                <c16:uniqueId val="{0000002D-9946-45A3-AAB5-D5807D519B4F}"/>
              </c:ext>
            </c:extLst>
          </c:dPt>
          <c:dPt>
            <c:idx val="23"/>
            <c:invertIfNegative val="1"/>
            <c:bubble3D val="0"/>
            <c:spPr>
              <a:solidFill>
                <a:schemeClr val="accent6">
                  <a:lumMod val="80000"/>
                </a:schemeClr>
              </a:solidFill>
              <a:ln w="6350" cap="flat" cmpd="sng" algn="ctr">
                <a:solidFill>
                  <a:schemeClr val="lt1"/>
                </a:solidFill>
                <a:prstDash val="solid"/>
                <a:round/>
              </a:ln>
              <a:effectLst/>
            </c:spPr>
            <c:extLst>
              <c:ext xmlns:c16="http://schemas.microsoft.com/office/drawing/2014/chart" uri="{C3380CC4-5D6E-409C-BE32-E72D297353CC}">
                <c16:uniqueId val="{0000002F-9946-45A3-AAB5-D5807D519B4F}"/>
              </c:ext>
            </c:extLst>
          </c:dPt>
          <c:dPt>
            <c:idx val="24"/>
            <c:invertIfNegative val="1"/>
            <c:bubble3D val="0"/>
            <c:spPr>
              <a:solidFill>
                <a:schemeClr val="accent1">
                  <a:lumMod val="60000"/>
                  <a:lumOff val="40000"/>
                </a:schemeClr>
              </a:solidFill>
              <a:ln w="6350" cap="flat" cmpd="sng" algn="ctr">
                <a:solidFill>
                  <a:schemeClr val="lt1"/>
                </a:solidFill>
                <a:prstDash val="solid"/>
                <a:round/>
              </a:ln>
              <a:effectLst/>
            </c:spPr>
            <c:extLst>
              <c:ext xmlns:c16="http://schemas.microsoft.com/office/drawing/2014/chart" uri="{C3380CC4-5D6E-409C-BE32-E72D297353CC}">
                <c16:uniqueId val="{00000031-9946-45A3-AAB5-D5807D519B4F}"/>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Dashboard!$AH$17:$AH$41</c:f>
              <c:strCache>
                <c:ptCount val="22"/>
                <c:pt idx="0">
                  <c:v>01 Sep</c:v>
                </c:pt>
                <c:pt idx="1">
                  <c:v>02 Sep</c:v>
                </c:pt>
                <c:pt idx="2">
                  <c:v>03 Sep</c:v>
                </c:pt>
                <c:pt idx="3">
                  <c:v>04 Sep</c:v>
                </c:pt>
                <c:pt idx="4">
                  <c:v>07 Sep</c:v>
                </c:pt>
                <c:pt idx="5">
                  <c:v>08 Sep</c:v>
                </c:pt>
                <c:pt idx="6">
                  <c:v>09 Sep</c:v>
                </c:pt>
                <c:pt idx="7">
                  <c:v>10 Sep</c:v>
                </c:pt>
                <c:pt idx="8">
                  <c:v>11 Sep</c:v>
                </c:pt>
                <c:pt idx="9">
                  <c:v>14 Sep</c:v>
                </c:pt>
                <c:pt idx="10">
                  <c:v>15 Sep</c:v>
                </c:pt>
                <c:pt idx="11">
                  <c:v>16 Sep</c:v>
                </c:pt>
                <c:pt idx="12">
                  <c:v>17 Sep</c:v>
                </c:pt>
                <c:pt idx="13">
                  <c:v>18 Sep</c:v>
                </c:pt>
                <c:pt idx="14">
                  <c:v>21 Sep</c:v>
                </c:pt>
                <c:pt idx="15">
                  <c:v>22 Sep</c:v>
                </c:pt>
                <c:pt idx="16">
                  <c:v>23 Sep</c:v>
                </c:pt>
                <c:pt idx="17">
                  <c:v>24 Sep</c:v>
                </c:pt>
                <c:pt idx="18">
                  <c:v>25 Sep</c:v>
                </c:pt>
                <c:pt idx="19">
                  <c:v>28 Sep</c:v>
                </c:pt>
                <c:pt idx="20">
                  <c:v>29 Sep</c:v>
                </c:pt>
                <c:pt idx="21">
                  <c:v>30 Sep</c:v>
                </c:pt>
              </c:strCache>
            </c:strRef>
          </c:cat>
          <c:val>
            <c:numRef>
              <c:f>Dashboard!$AI$17:$AI$41</c:f>
              <c:numCache>
                <c:formatCode>#,##0</c:formatCode>
                <c:ptCount val="25"/>
                <c:pt idx="0">
                  <c:v>283</c:v>
                </c:pt>
                <c:pt idx="1">
                  <c:v>273</c:v>
                </c:pt>
                <c:pt idx="2">
                  <c:v>196</c:v>
                </c:pt>
                <c:pt idx="3">
                  <c:v>206</c:v>
                </c:pt>
                <c:pt idx="4">
                  <c:v>183</c:v>
                </c:pt>
                <c:pt idx="5">
                  <c:v>143</c:v>
                </c:pt>
                <c:pt idx="6">
                  <c:v>327</c:v>
                </c:pt>
                <c:pt idx="7">
                  <c:v>291</c:v>
                </c:pt>
                <c:pt idx="8">
                  <c:v>294</c:v>
                </c:pt>
                <c:pt idx="9">
                  <c:v>190</c:v>
                </c:pt>
                <c:pt idx="10">
                  <c:v>189</c:v>
                </c:pt>
                <c:pt idx="11">
                  <c:v>0</c:v>
                </c:pt>
                <c:pt idx="12">
                  <c:v>246</c:v>
                </c:pt>
                <c:pt idx="13">
                  <c:v>217</c:v>
                </c:pt>
                <c:pt idx="14">
                  <c:v>155</c:v>
                </c:pt>
                <c:pt idx="15">
                  <c:v>248</c:v>
                </c:pt>
                <c:pt idx="16">
                  <c:v>287</c:v>
                </c:pt>
                <c:pt idx="17">
                  <c:v>350</c:v>
                </c:pt>
                <c:pt idx="18">
                  <c:v>243</c:v>
                </c:pt>
                <c:pt idx="19">
                  <c:v>275</c:v>
                </c:pt>
                <c:pt idx="20">
                  <c:v>317</c:v>
                </c:pt>
                <c:pt idx="21">
                  <c:v>259</c:v>
                </c:pt>
                <c:pt idx="22">
                  <c:v>0</c:v>
                </c:pt>
                <c:pt idx="23">
                  <c:v>0</c:v>
                </c:pt>
                <c:pt idx="24">
                  <c:v>0</c:v>
                </c:pt>
              </c:numCache>
            </c:numRef>
          </c:val>
          <c:extLst>
            <c:ext xmlns:c16="http://schemas.microsoft.com/office/drawing/2014/chart" uri="{C3380CC4-5D6E-409C-BE32-E72D297353CC}">
              <c16:uniqueId val="{00000000-ED82-4365-B9E3-6B8D0CC0FBBD}"/>
            </c:ext>
          </c:extLst>
        </c:ser>
        <c:dLbls>
          <c:showLegendKey val="0"/>
          <c:showVal val="1"/>
          <c:showCatName val="0"/>
          <c:showSerName val="0"/>
          <c:showPercent val="1"/>
          <c:showBubbleSize val="1"/>
        </c:dLbls>
        <c:gapWidth val="60"/>
        <c:axId val="10"/>
        <c:axId val="100"/>
      </c:barChart>
      <c:catAx>
        <c:axId val="10"/>
        <c:scaling>
          <c:orientation val="minMax"/>
        </c:scaling>
        <c:delete val="0"/>
        <c:axPos val="b"/>
        <c:numFmt formatCode="General"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6350" cap="flat" cmpd="sng" algn="ctr">
              <a:noFill/>
              <a:prstDash val="solid"/>
              <a:round/>
            </a:ln>
            <a:effectLst/>
          </c:spPr>
        </c:majorGridlines>
        <c:numFmt formatCode="#,##0"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
        <c:crosses val="autoZero"/>
        <c:crossBetween val="between"/>
      </c:valAx>
      <c:spPr>
        <a:solidFill>
          <a:schemeClr val="bg1"/>
        </a:solidFill>
        <a:ln>
          <a:noFill/>
        </a:ln>
        <a:effectLst/>
      </c:spPr>
    </c:plotArea>
    <c:plotVisOnly val="0"/>
    <c:dispBlanksAs val="gap"/>
    <c:showDLblsOverMax val="1"/>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MY"/>
              <a:t>Units consumed by weekday</a:t>
            </a:r>
          </a:p>
        </c:rich>
      </c:tx>
      <c:overlay val="1"/>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1"/>
        <c:ser>
          <c:idx val="0"/>
          <c:order val="0"/>
          <c:invertIfNegative val="1"/>
          <c:dPt>
            <c:idx val="0"/>
            <c:invertIfNegative val="1"/>
            <c:bubble3D val="0"/>
            <c:spPr>
              <a:solidFill>
                <a:schemeClr val="accent1"/>
              </a:solidFill>
              <a:ln w="6350" cap="flat" cmpd="sng" algn="ctr">
                <a:solidFill>
                  <a:schemeClr val="lt1"/>
                </a:solidFill>
                <a:prstDash val="solid"/>
                <a:round/>
              </a:ln>
              <a:effectLst/>
            </c:spPr>
            <c:extLst>
              <c:ext xmlns:c16="http://schemas.microsoft.com/office/drawing/2014/chart" uri="{C3380CC4-5D6E-409C-BE32-E72D297353CC}">
                <c16:uniqueId val="{00000001-3568-4120-8D56-26382C2C5DBB}"/>
              </c:ext>
            </c:extLst>
          </c:dPt>
          <c:dPt>
            <c:idx val="1"/>
            <c:invertIfNegative val="1"/>
            <c:bubble3D val="0"/>
            <c:spPr>
              <a:solidFill>
                <a:schemeClr val="accent3"/>
              </a:solidFill>
              <a:ln w="6350" cap="flat" cmpd="sng" algn="ctr">
                <a:solidFill>
                  <a:schemeClr val="lt1"/>
                </a:solidFill>
                <a:prstDash val="solid"/>
                <a:round/>
              </a:ln>
              <a:effectLst/>
            </c:spPr>
            <c:extLst>
              <c:ext xmlns:c16="http://schemas.microsoft.com/office/drawing/2014/chart" uri="{C3380CC4-5D6E-409C-BE32-E72D297353CC}">
                <c16:uniqueId val="{00000003-3568-4120-8D56-26382C2C5DBB}"/>
              </c:ext>
            </c:extLst>
          </c:dPt>
          <c:dPt>
            <c:idx val="2"/>
            <c:invertIfNegative val="1"/>
            <c:bubble3D val="0"/>
            <c:spPr>
              <a:solidFill>
                <a:schemeClr val="accent5"/>
              </a:solidFill>
              <a:ln w="6350" cap="flat" cmpd="sng" algn="ctr">
                <a:solidFill>
                  <a:schemeClr val="lt1"/>
                </a:solidFill>
                <a:prstDash val="solid"/>
                <a:round/>
              </a:ln>
              <a:effectLst/>
            </c:spPr>
            <c:extLst>
              <c:ext xmlns:c16="http://schemas.microsoft.com/office/drawing/2014/chart" uri="{C3380CC4-5D6E-409C-BE32-E72D297353CC}">
                <c16:uniqueId val="{00000005-3568-4120-8D56-26382C2C5DBB}"/>
              </c:ext>
            </c:extLst>
          </c:dPt>
          <c:dPt>
            <c:idx val="3"/>
            <c:invertIfNegative val="1"/>
            <c:bubble3D val="0"/>
            <c:spPr>
              <a:solidFill>
                <a:schemeClr val="accent1">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07-3568-4120-8D56-26382C2C5DBB}"/>
              </c:ext>
            </c:extLst>
          </c:dPt>
          <c:dPt>
            <c:idx val="4"/>
            <c:invertIfNegative val="1"/>
            <c:bubble3D val="0"/>
            <c:spPr>
              <a:solidFill>
                <a:schemeClr val="accent3">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09-3568-4120-8D56-26382C2C5DBB}"/>
              </c:ext>
            </c:extLst>
          </c:dPt>
          <c:dPt>
            <c:idx val="5"/>
            <c:invertIfNegative val="1"/>
            <c:bubble3D val="0"/>
            <c:spPr>
              <a:solidFill>
                <a:schemeClr val="accent5">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0B-3568-4120-8D56-26382C2C5DBB}"/>
              </c:ext>
            </c:extLst>
          </c:dPt>
          <c:dPt>
            <c:idx val="6"/>
            <c:invertIfNegative val="1"/>
            <c:bubble3D val="0"/>
            <c:spPr>
              <a:solidFill>
                <a:schemeClr val="accent1">
                  <a:lumMod val="80000"/>
                  <a:lumOff val="20000"/>
                </a:schemeClr>
              </a:solidFill>
              <a:ln w="6350" cap="flat" cmpd="sng" algn="ctr">
                <a:solidFill>
                  <a:schemeClr val="lt1"/>
                </a:solidFill>
                <a:prstDash val="solid"/>
                <a:round/>
              </a:ln>
              <a:effectLst/>
            </c:spPr>
            <c:extLst>
              <c:ext xmlns:c16="http://schemas.microsoft.com/office/drawing/2014/chart" uri="{C3380CC4-5D6E-409C-BE32-E72D297353CC}">
                <c16:uniqueId val="{0000000D-3568-4120-8D56-26382C2C5DBB}"/>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Dashboard!$AM$17:$AM$23</c:f>
              <c:strCache>
                <c:ptCount val="7"/>
                <c:pt idx="0">
                  <c:v>Tue</c:v>
                </c:pt>
                <c:pt idx="1">
                  <c:v>Wed</c:v>
                </c:pt>
                <c:pt idx="2">
                  <c:v>Thu</c:v>
                </c:pt>
                <c:pt idx="3">
                  <c:v>Fri</c:v>
                </c:pt>
                <c:pt idx="4">
                  <c:v>Sat</c:v>
                </c:pt>
                <c:pt idx="5">
                  <c:v>Sun</c:v>
                </c:pt>
                <c:pt idx="6">
                  <c:v>Mon</c:v>
                </c:pt>
              </c:strCache>
            </c:strRef>
          </c:cat>
          <c:val>
            <c:numRef>
              <c:f>Dashboard!$AN$17:$AN$23</c:f>
              <c:numCache>
                <c:formatCode>#,##0</c:formatCode>
                <c:ptCount val="7"/>
                <c:pt idx="0">
                  <c:v>1180</c:v>
                </c:pt>
                <c:pt idx="1">
                  <c:v>1146</c:v>
                </c:pt>
                <c:pt idx="2">
                  <c:v>1083</c:v>
                </c:pt>
                <c:pt idx="3">
                  <c:v>960</c:v>
                </c:pt>
                <c:pt idx="4">
                  <c:v>0</c:v>
                </c:pt>
                <c:pt idx="5">
                  <c:v>0</c:v>
                </c:pt>
                <c:pt idx="6">
                  <c:v>803</c:v>
                </c:pt>
              </c:numCache>
            </c:numRef>
          </c:val>
          <c:extLst>
            <c:ext xmlns:c16="http://schemas.microsoft.com/office/drawing/2014/chart" uri="{C3380CC4-5D6E-409C-BE32-E72D297353CC}">
              <c16:uniqueId val="{00000000-C476-4978-B6CE-893F571AA5A1}"/>
            </c:ext>
          </c:extLst>
        </c:ser>
        <c:dLbls>
          <c:showLegendKey val="0"/>
          <c:showVal val="1"/>
          <c:showCatName val="0"/>
          <c:showSerName val="0"/>
          <c:showPercent val="1"/>
          <c:showBubbleSize val="1"/>
        </c:dLbls>
        <c:gapWidth val="60"/>
        <c:axId val="10"/>
        <c:axId val="100"/>
      </c:barChart>
      <c:catAx>
        <c:axId val="10"/>
        <c:scaling>
          <c:orientation val="minMax"/>
        </c:scaling>
        <c:delete val="0"/>
        <c:axPos val="b"/>
        <c:numFmt formatCode="General"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6350" cap="flat" cmpd="sng" algn="ctr">
              <a:noFill/>
              <a:prstDash val="solid"/>
              <a:round/>
            </a:ln>
            <a:effectLst/>
          </c:spPr>
        </c:majorGridlines>
        <c:numFmt formatCode="#,##0"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
        <c:crosses val="autoZero"/>
        <c:crossBetween val="between"/>
      </c:valAx>
      <c:spPr>
        <a:solidFill>
          <a:schemeClr val="bg1"/>
        </a:solidFill>
        <a:ln>
          <a:noFill/>
        </a:ln>
        <a:effectLst/>
      </c:spPr>
    </c:plotArea>
    <c:plotVisOnly val="0"/>
    <c:dispBlanksAs val="gap"/>
    <c:showDLblsOverMax val="1"/>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MY"/>
              <a:t>Units consumed by week</a:t>
            </a:r>
          </a:p>
        </c:rich>
      </c:tx>
      <c:overlay val="1"/>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1"/>
        <c:ser>
          <c:idx val="0"/>
          <c:order val="0"/>
          <c:invertIfNegative val="1"/>
          <c:dPt>
            <c:idx val="0"/>
            <c:invertIfNegative val="1"/>
            <c:bubble3D val="0"/>
            <c:spPr>
              <a:solidFill>
                <a:schemeClr val="accent2"/>
              </a:solidFill>
              <a:ln w="6350" cap="flat" cmpd="sng" algn="ctr">
                <a:solidFill>
                  <a:schemeClr val="lt1"/>
                </a:solidFill>
                <a:prstDash val="solid"/>
                <a:round/>
              </a:ln>
              <a:effectLst/>
            </c:spPr>
            <c:extLst>
              <c:ext xmlns:c16="http://schemas.microsoft.com/office/drawing/2014/chart" uri="{C3380CC4-5D6E-409C-BE32-E72D297353CC}">
                <c16:uniqueId val="{00000001-F19A-47E1-AA8E-8DBC2EE4151B}"/>
              </c:ext>
            </c:extLst>
          </c:dPt>
          <c:dPt>
            <c:idx val="1"/>
            <c:invertIfNegative val="1"/>
            <c:bubble3D val="0"/>
            <c:spPr>
              <a:solidFill>
                <a:schemeClr val="accent4"/>
              </a:solidFill>
              <a:ln w="6350" cap="flat" cmpd="sng" algn="ctr">
                <a:solidFill>
                  <a:schemeClr val="lt1"/>
                </a:solidFill>
                <a:prstDash val="solid"/>
                <a:round/>
              </a:ln>
              <a:effectLst/>
            </c:spPr>
            <c:extLst>
              <c:ext xmlns:c16="http://schemas.microsoft.com/office/drawing/2014/chart" uri="{C3380CC4-5D6E-409C-BE32-E72D297353CC}">
                <c16:uniqueId val="{00000003-F19A-47E1-AA8E-8DBC2EE4151B}"/>
              </c:ext>
            </c:extLst>
          </c:dPt>
          <c:dPt>
            <c:idx val="2"/>
            <c:invertIfNegative val="1"/>
            <c:bubble3D val="0"/>
            <c:spPr>
              <a:solidFill>
                <a:schemeClr val="accent6"/>
              </a:solidFill>
              <a:ln w="6350" cap="flat" cmpd="sng" algn="ctr">
                <a:solidFill>
                  <a:schemeClr val="lt1"/>
                </a:solidFill>
                <a:prstDash val="solid"/>
                <a:round/>
              </a:ln>
              <a:effectLst/>
            </c:spPr>
            <c:extLst>
              <c:ext xmlns:c16="http://schemas.microsoft.com/office/drawing/2014/chart" uri="{C3380CC4-5D6E-409C-BE32-E72D297353CC}">
                <c16:uniqueId val="{00000005-F19A-47E1-AA8E-8DBC2EE4151B}"/>
              </c:ext>
            </c:extLst>
          </c:dPt>
          <c:dPt>
            <c:idx val="3"/>
            <c:invertIfNegative val="1"/>
            <c:bubble3D val="0"/>
            <c:spPr>
              <a:solidFill>
                <a:schemeClr val="accent2">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07-F19A-47E1-AA8E-8DBC2EE4151B}"/>
              </c:ext>
            </c:extLst>
          </c:dPt>
          <c:dPt>
            <c:idx val="4"/>
            <c:invertIfNegative val="1"/>
            <c:bubble3D val="0"/>
            <c:spPr>
              <a:solidFill>
                <a:schemeClr val="accent4">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09-F19A-47E1-AA8E-8DBC2EE4151B}"/>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Dashboard!$AM$27:$AM$31</c:f>
              <c:strCache>
                <c:ptCount val="5"/>
                <c:pt idx="0">
                  <c:v>Sep Week 1</c:v>
                </c:pt>
                <c:pt idx="1">
                  <c:v>Sep Week 2</c:v>
                </c:pt>
                <c:pt idx="2">
                  <c:v>Sep Week 3</c:v>
                </c:pt>
                <c:pt idx="3">
                  <c:v>Sep Week 4</c:v>
                </c:pt>
                <c:pt idx="4">
                  <c:v>Sep Week 5</c:v>
                </c:pt>
              </c:strCache>
            </c:strRef>
          </c:cat>
          <c:val>
            <c:numRef>
              <c:f>Dashboard!$AN$27:$AN$31</c:f>
              <c:numCache>
                <c:formatCode>#,##0</c:formatCode>
                <c:ptCount val="5"/>
                <c:pt idx="0">
                  <c:v>1141</c:v>
                </c:pt>
                <c:pt idx="1">
                  <c:v>1245</c:v>
                </c:pt>
                <c:pt idx="2">
                  <c:v>807</c:v>
                </c:pt>
                <c:pt idx="3">
                  <c:v>1403</c:v>
                </c:pt>
                <c:pt idx="4">
                  <c:v>576</c:v>
                </c:pt>
              </c:numCache>
            </c:numRef>
          </c:val>
          <c:extLst>
            <c:ext xmlns:c16="http://schemas.microsoft.com/office/drawing/2014/chart" uri="{C3380CC4-5D6E-409C-BE32-E72D297353CC}">
              <c16:uniqueId val="{00000000-5D6D-4DBD-9096-0C03809E3ED8}"/>
            </c:ext>
          </c:extLst>
        </c:ser>
        <c:dLbls>
          <c:showLegendKey val="0"/>
          <c:showVal val="1"/>
          <c:showCatName val="0"/>
          <c:showSerName val="0"/>
          <c:showPercent val="1"/>
          <c:showBubbleSize val="1"/>
        </c:dLbls>
        <c:gapWidth val="60"/>
        <c:axId val="10"/>
        <c:axId val="100"/>
      </c:barChart>
      <c:catAx>
        <c:axId val="10"/>
        <c:scaling>
          <c:orientation val="minMax"/>
        </c:scaling>
        <c:delete val="0"/>
        <c:axPos val="b"/>
        <c:numFmt formatCode="General"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6350" cap="flat" cmpd="sng" algn="ctr">
              <a:noFill/>
              <a:prstDash val="solid"/>
              <a:round/>
            </a:ln>
            <a:effectLst/>
          </c:spPr>
        </c:majorGridlines>
        <c:numFmt formatCode="#,##0"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
        <c:crosses val="autoZero"/>
        <c:crossBetween val="between"/>
      </c:valAx>
      <c:spPr>
        <a:solidFill>
          <a:schemeClr val="bg1"/>
        </a:solidFill>
        <a:ln>
          <a:noFill/>
        </a:ln>
        <a:effectLst/>
      </c:spPr>
    </c:plotArea>
    <c:plotVisOnly val="0"/>
    <c:dispBlanksAs val="gap"/>
    <c:showDLblsOverMax val="1"/>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t" anchorCtr="0"/>
          <a:lstStyle/>
          <a:p>
            <a:pPr>
              <a:defRPr sz="1000" b="1" i="0" u="none" strike="noStrike" kern="1200" baseline="0">
                <a:solidFill>
                  <a:schemeClr val="tx1"/>
                </a:solidFill>
                <a:latin typeface="+mn-lt"/>
                <a:ea typeface="+mn-ea"/>
                <a:cs typeface="+mn-cs"/>
              </a:defRPr>
            </a:pPr>
            <a:r>
              <a:rPr lang="en-MY"/>
              <a:t>Top 10 items by units consumed</a:t>
            </a:r>
          </a:p>
        </c:rich>
      </c:tx>
      <c:overlay val="1"/>
      <c:spPr>
        <a:noFill/>
        <a:ln>
          <a:noFill/>
        </a:ln>
        <a:effectLst/>
      </c:spPr>
      <c:txPr>
        <a:bodyPr rot="0" spcFirstLastPara="1" vertOverflow="ellipsis" vert="horz" wrap="square" anchor="t" anchorCtr="0"/>
        <a:lstStyle/>
        <a:p>
          <a:pPr>
            <a:defRPr sz="1000" b="1" i="0" u="none" strike="noStrike" kern="1200" baseline="0">
              <a:solidFill>
                <a:schemeClr val="tx1"/>
              </a:solidFill>
              <a:latin typeface="+mn-lt"/>
              <a:ea typeface="+mn-ea"/>
              <a:cs typeface="+mn-cs"/>
            </a:defRPr>
          </a:pPr>
          <a:endParaRPr lang="en-US"/>
        </a:p>
      </c:txPr>
    </c:title>
    <c:autoTitleDeleted val="0"/>
    <c:plotArea>
      <c:layout/>
      <c:barChart>
        <c:barDir val="bar"/>
        <c:grouping val="clustered"/>
        <c:varyColors val="1"/>
        <c:ser>
          <c:idx val="0"/>
          <c:order val="0"/>
          <c:invertIfNegative val="1"/>
          <c:dPt>
            <c:idx val="0"/>
            <c:invertIfNegative val="1"/>
            <c:bubble3D val="0"/>
            <c:spPr>
              <a:solidFill>
                <a:schemeClr val="accent3">
                  <a:shade val="42000"/>
                </a:schemeClr>
              </a:solidFill>
              <a:ln w="6350" cap="flat" cmpd="sng" algn="ctr">
                <a:solidFill>
                  <a:schemeClr val="lt1"/>
                </a:solidFill>
                <a:prstDash val="solid"/>
                <a:round/>
              </a:ln>
              <a:effectLst/>
            </c:spPr>
            <c:extLst>
              <c:ext xmlns:c16="http://schemas.microsoft.com/office/drawing/2014/chart" uri="{C3380CC4-5D6E-409C-BE32-E72D297353CC}">
                <c16:uniqueId val="{00000001-EE09-4E70-AA5E-FFB2D9262A9C}"/>
              </c:ext>
            </c:extLst>
          </c:dPt>
          <c:dPt>
            <c:idx val="1"/>
            <c:invertIfNegative val="1"/>
            <c:bubble3D val="0"/>
            <c:spPr>
              <a:solidFill>
                <a:schemeClr val="accent3">
                  <a:shade val="55000"/>
                </a:schemeClr>
              </a:solidFill>
              <a:ln w="6350" cap="flat" cmpd="sng" algn="ctr">
                <a:solidFill>
                  <a:schemeClr val="lt1"/>
                </a:solidFill>
                <a:prstDash val="solid"/>
                <a:round/>
              </a:ln>
              <a:effectLst/>
            </c:spPr>
            <c:extLst>
              <c:ext xmlns:c16="http://schemas.microsoft.com/office/drawing/2014/chart" uri="{C3380CC4-5D6E-409C-BE32-E72D297353CC}">
                <c16:uniqueId val="{00000003-EE09-4E70-AA5E-FFB2D9262A9C}"/>
              </c:ext>
            </c:extLst>
          </c:dPt>
          <c:dPt>
            <c:idx val="2"/>
            <c:invertIfNegative val="1"/>
            <c:bubble3D val="0"/>
            <c:spPr>
              <a:solidFill>
                <a:schemeClr val="accent3">
                  <a:shade val="68000"/>
                </a:schemeClr>
              </a:solidFill>
              <a:ln w="6350" cap="flat" cmpd="sng" algn="ctr">
                <a:solidFill>
                  <a:schemeClr val="lt1"/>
                </a:solidFill>
                <a:prstDash val="solid"/>
                <a:round/>
              </a:ln>
              <a:effectLst/>
            </c:spPr>
            <c:extLst>
              <c:ext xmlns:c16="http://schemas.microsoft.com/office/drawing/2014/chart" uri="{C3380CC4-5D6E-409C-BE32-E72D297353CC}">
                <c16:uniqueId val="{00000005-EE09-4E70-AA5E-FFB2D9262A9C}"/>
              </c:ext>
            </c:extLst>
          </c:dPt>
          <c:dPt>
            <c:idx val="3"/>
            <c:invertIfNegative val="1"/>
            <c:bubble3D val="0"/>
            <c:spPr>
              <a:solidFill>
                <a:schemeClr val="accent3">
                  <a:shade val="80000"/>
                </a:schemeClr>
              </a:solidFill>
              <a:ln w="6350" cap="flat" cmpd="sng" algn="ctr">
                <a:solidFill>
                  <a:schemeClr val="lt1"/>
                </a:solidFill>
                <a:prstDash val="solid"/>
                <a:round/>
              </a:ln>
              <a:effectLst/>
            </c:spPr>
            <c:extLst>
              <c:ext xmlns:c16="http://schemas.microsoft.com/office/drawing/2014/chart" uri="{C3380CC4-5D6E-409C-BE32-E72D297353CC}">
                <c16:uniqueId val="{00000007-EE09-4E70-AA5E-FFB2D9262A9C}"/>
              </c:ext>
            </c:extLst>
          </c:dPt>
          <c:dPt>
            <c:idx val="4"/>
            <c:invertIfNegative val="1"/>
            <c:bubble3D val="0"/>
            <c:spPr>
              <a:solidFill>
                <a:schemeClr val="accent3">
                  <a:shade val="93000"/>
                </a:schemeClr>
              </a:solidFill>
              <a:ln w="6350" cap="flat" cmpd="sng" algn="ctr">
                <a:solidFill>
                  <a:schemeClr val="lt1"/>
                </a:solidFill>
                <a:prstDash val="solid"/>
                <a:round/>
              </a:ln>
              <a:effectLst/>
            </c:spPr>
            <c:extLst>
              <c:ext xmlns:c16="http://schemas.microsoft.com/office/drawing/2014/chart" uri="{C3380CC4-5D6E-409C-BE32-E72D297353CC}">
                <c16:uniqueId val="{00000009-EE09-4E70-AA5E-FFB2D9262A9C}"/>
              </c:ext>
            </c:extLst>
          </c:dPt>
          <c:dPt>
            <c:idx val="5"/>
            <c:invertIfNegative val="1"/>
            <c:bubble3D val="0"/>
            <c:spPr>
              <a:solidFill>
                <a:schemeClr val="accent3">
                  <a:tint val="94000"/>
                </a:schemeClr>
              </a:solidFill>
              <a:ln w="6350" cap="flat" cmpd="sng" algn="ctr">
                <a:solidFill>
                  <a:schemeClr val="lt1"/>
                </a:solidFill>
                <a:prstDash val="solid"/>
                <a:round/>
              </a:ln>
              <a:effectLst/>
            </c:spPr>
            <c:extLst>
              <c:ext xmlns:c16="http://schemas.microsoft.com/office/drawing/2014/chart" uri="{C3380CC4-5D6E-409C-BE32-E72D297353CC}">
                <c16:uniqueId val="{0000000B-EE09-4E70-AA5E-FFB2D9262A9C}"/>
              </c:ext>
            </c:extLst>
          </c:dPt>
          <c:dPt>
            <c:idx val="6"/>
            <c:invertIfNegative val="1"/>
            <c:bubble3D val="0"/>
            <c:spPr>
              <a:solidFill>
                <a:schemeClr val="accent3">
                  <a:tint val="81000"/>
                </a:schemeClr>
              </a:solidFill>
              <a:ln w="6350" cap="flat" cmpd="sng" algn="ctr">
                <a:solidFill>
                  <a:schemeClr val="lt1"/>
                </a:solidFill>
                <a:prstDash val="solid"/>
                <a:round/>
              </a:ln>
              <a:effectLst/>
            </c:spPr>
            <c:extLst>
              <c:ext xmlns:c16="http://schemas.microsoft.com/office/drawing/2014/chart" uri="{C3380CC4-5D6E-409C-BE32-E72D297353CC}">
                <c16:uniqueId val="{0000000D-EE09-4E70-AA5E-FFB2D9262A9C}"/>
              </c:ext>
            </c:extLst>
          </c:dPt>
          <c:dPt>
            <c:idx val="7"/>
            <c:invertIfNegative val="1"/>
            <c:bubble3D val="0"/>
            <c:spPr>
              <a:solidFill>
                <a:schemeClr val="accent3">
                  <a:tint val="69000"/>
                </a:schemeClr>
              </a:solidFill>
              <a:ln w="6350" cap="flat" cmpd="sng" algn="ctr">
                <a:solidFill>
                  <a:schemeClr val="lt1"/>
                </a:solidFill>
                <a:prstDash val="solid"/>
                <a:round/>
              </a:ln>
              <a:effectLst/>
            </c:spPr>
            <c:extLst>
              <c:ext xmlns:c16="http://schemas.microsoft.com/office/drawing/2014/chart" uri="{C3380CC4-5D6E-409C-BE32-E72D297353CC}">
                <c16:uniqueId val="{0000000F-EE09-4E70-AA5E-FFB2D9262A9C}"/>
              </c:ext>
            </c:extLst>
          </c:dPt>
          <c:dPt>
            <c:idx val="8"/>
            <c:invertIfNegative val="1"/>
            <c:bubble3D val="0"/>
            <c:spPr>
              <a:solidFill>
                <a:schemeClr val="accent3">
                  <a:tint val="56000"/>
                </a:schemeClr>
              </a:solidFill>
              <a:ln w="6350" cap="flat" cmpd="sng" algn="ctr">
                <a:solidFill>
                  <a:schemeClr val="lt1"/>
                </a:solidFill>
                <a:prstDash val="solid"/>
                <a:round/>
              </a:ln>
              <a:effectLst/>
            </c:spPr>
            <c:extLst>
              <c:ext xmlns:c16="http://schemas.microsoft.com/office/drawing/2014/chart" uri="{C3380CC4-5D6E-409C-BE32-E72D297353CC}">
                <c16:uniqueId val="{00000011-EE09-4E70-AA5E-FFB2D9262A9C}"/>
              </c:ext>
            </c:extLst>
          </c:dPt>
          <c:dPt>
            <c:idx val="9"/>
            <c:invertIfNegative val="1"/>
            <c:bubble3D val="0"/>
            <c:spPr>
              <a:solidFill>
                <a:schemeClr val="accent3">
                  <a:tint val="43000"/>
                </a:schemeClr>
              </a:solidFill>
              <a:ln w="6350" cap="flat" cmpd="sng" algn="ctr">
                <a:solidFill>
                  <a:schemeClr val="lt1"/>
                </a:solidFill>
                <a:prstDash val="solid"/>
                <a:round/>
              </a:ln>
              <a:effectLst/>
            </c:spPr>
            <c:extLst>
              <c:ext xmlns:c16="http://schemas.microsoft.com/office/drawing/2014/chart" uri="{C3380CC4-5D6E-409C-BE32-E72D297353CC}">
                <c16:uniqueId val="{00000013-EE09-4E70-AA5E-FFB2D9262A9C}"/>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Dashboard!$AP$47:$AP$56</c:f>
              <c:strCache>
                <c:ptCount val="10"/>
                <c:pt idx="0">
                  <c:v>Spritzer sparkling water (orig</c:v>
                </c:pt>
                <c:pt idx="1">
                  <c:v>COWA Coconut Water 330 ml</c:v>
                </c:pt>
                <c:pt idx="2">
                  <c:v>Ayataka Tea 300ml</c:v>
                </c:pt>
                <c:pt idx="3">
                  <c:v>Oat Side Chocolate 200ml</c:v>
                </c:pt>
                <c:pt idx="4">
                  <c:v>BBMG 90G</c:v>
                </c:pt>
                <c:pt idx="5">
                  <c:v>Oolong Tea 300ml</c:v>
                </c:pt>
                <c:pt idx="6">
                  <c:v>Lays Double Crunch - Seaweed F</c:v>
                </c:pt>
                <c:pt idx="7">
                  <c:v>Oat Side Original 200ml</c:v>
                </c:pt>
                <c:pt idx="8">
                  <c:v>Munchy Oat Krunch - Dark Choco</c:v>
                </c:pt>
                <c:pt idx="9">
                  <c:v>Vsoy Soya Bean  250ml</c:v>
                </c:pt>
              </c:strCache>
            </c:strRef>
          </c:cat>
          <c:val>
            <c:numRef>
              <c:f>Dashboard!$AQ$47:$AQ$56</c:f>
              <c:numCache>
                <c:formatCode>#,##0</c:formatCode>
                <c:ptCount val="10"/>
                <c:pt idx="0">
                  <c:v>528</c:v>
                </c:pt>
                <c:pt idx="1">
                  <c:v>416</c:v>
                </c:pt>
                <c:pt idx="2">
                  <c:v>407</c:v>
                </c:pt>
                <c:pt idx="3">
                  <c:v>383</c:v>
                </c:pt>
                <c:pt idx="4">
                  <c:v>362</c:v>
                </c:pt>
                <c:pt idx="5">
                  <c:v>331</c:v>
                </c:pt>
                <c:pt idx="6">
                  <c:v>315</c:v>
                </c:pt>
                <c:pt idx="7">
                  <c:v>297</c:v>
                </c:pt>
                <c:pt idx="8">
                  <c:v>285</c:v>
                </c:pt>
                <c:pt idx="9">
                  <c:v>271</c:v>
                </c:pt>
              </c:numCache>
            </c:numRef>
          </c:val>
          <c:extLst>
            <c:ext xmlns:c16="http://schemas.microsoft.com/office/drawing/2014/chart" uri="{C3380CC4-5D6E-409C-BE32-E72D297353CC}">
              <c16:uniqueId val="{00000000-59D5-4A22-82A5-26C90F5C3AC4}"/>
            </c:ext>
          </c:extLst>
        </c:ser>
        <c:dLbls>
          <c:showLegendKey val="0"/>
          <c:showVal val="1"/>
          <c:showCatName val="0"/>
          <c:showSerName val="0"/>
          <c:showPercent val="1"/>
          <c:showBubbleSize val="1"/>
        </c:dLbls>
        <c:gapWidth val="60"/>
        <c:axId val="10"/>
        <c:axId val="100"/>
      </c:barChart>
      <c:catAx>
        <c:axId val="10"/>
        <c:scaling>
          <c:orientation val="maxMin"/>
        </c:scaling>
        <c:delete val="0"/>
        <c:axPos val="l"/>
        <c:numFmt formatCode="General"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t"/>
        <c:majorGridlines>
          <c:spPr>
            <a:ln w="6350" cap="flat" cmpd="sng" algn="ctr">
              <a:noFill/>
              <a:prstDash val="solid"/>
              <a:round/>
            </a:ln>
            <a:effectLst/>
          </c:spPr>
        </c:majorGridlines>
        <c:numFmt formatCode="#,##0" sourceLinked="1"/>
        <c:majorTickMark val="none"/>
        <c:minorTickMark val="none"/>
        <c:tickLblPos val="none"/>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
        <c:crosses val="autoZero"/>
        <c:crossBetween val="between"/>
      </c:valAx>
      <c:spPr>
        <a:solidFill>
          <a:schemeClr val="bg1"/>
        </a:solidFill>
        <a:ln>
          <a:noFill/>
        </a:ln>
        <a:effectLst/>
      </c:spPr>
    </c:plotArea>
    <c:plotVisOnly val="0"/>
    <c:dispBlanksAs val="gap"/>
    <c:showDLblsOverMax val="1"/>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MY"/>
              <a:t>ABC / Pareto - consumption value by item</a:t>
            </a:r>
          </a:p>
        </c:rich>
      </c:tx>
      <c:overlay val="1"/>
    </c:title>
    <c:autoTitleDeleted val="0"/>
    <c:plotArea>
      <c:layout/>
      <c:barChart>
        <c:barDir val="col"/>
        <c:grouping val="clustered"/>
        <c:varyColors val="1"/>
        <c:ser>
          <c:idx val="0"/>
          <c:order val="0"/>
          <c:tx>
            <c:v>Consumption value</c:v>
          </c:tx>
          <c:spPr>
            <a:solidFill>
              <a:srgbClr val="1F3A5F"/>
            </a:solidFill>
            <a:ln>
              <a:solidFill>
                <a:srgbClr val="1F3A5F"/>
              </a:solidFill>
              <a:prstDash val="solid"/>
            </a:ln>
          </c:spPr>
          <c:invertIfNegative val="1"/>
          <c:cat>
            <c:strRef>
              <c:f>Dashboard!$BB$17:$BB$31</c:f>
              <c:strCache>
                <c:ptCount val="15"/>
                <c:pt idx="0">
                  <c:v>Lays Double Crunch -</c:v>
                </c:pt>
                <c:pt idx="1">
                  <c:v>COWA Coconut Water 3</c:v>
                </c:pt>
                <c:pt idx="2">
                  <c:v>Oat Side Chocolate 2</c:v>
                </c:pt>
                <c:pt idx="3">
                  <c:v>Oat Side Original 20</c:v>
                </c:pt>
                <c:pt idx="4">
                  <c:v>Spritzer sparkling w</c:v>
                </c:pt>
                <c:pt idx="5">
                  <c:v>Ayataka Tea 300ml</c:v>
                </c:pt>
                <c:pt idx="6">
                  <c:v>Oolong Tea 300ml</c:v>
                </c:pt>
                <c:pt idx="7">
                  <c:v>Milo 200ml</c:v>
                </c:pt>
                <c:pt idx="8">
                  <c:v>BingRae Banana Milk </c:v>
                </c:pt>
                <c:pt idx="9">
                  <c:v>Vsoy Soya Bean  250m</c:v>
                </c:pt>
                <c:pt idx="10">
                  <c:v>COKE ZERO  325ML</c:v>
                </c:pt>
                <c:pt idx="11">
                  <c:v>FN 100 plus (origina</c:v>
                </c:pt>
                <c:pt idx="12">
                  <c:v>Lays Potato Chips (O</c:v>
                </c:pt>
                <c:pt idx="13">
                  <c:v>Julie's Peanut Butte</c:v>
                </c:pt>
                <c:pt idx="14">
                  <c:v>Munchy Oat Krunch - </c:v>
                </c:pt>
              </c:strCache>
            </c:strRef>
          </c:cat>
          <c:val>
            <c:numRef>
              <c:f>Dashboard!$BC$17:$BC$31</c:f>
              <c:numCache>
                <c:formatCode>#,##0.00</c:formatCode>
                <c:ptCount val="15"/>
                <c:pt idx="0">
                  <c:v>1260</c:v>
                </c:pt>
                <c:pt idx="1">
                  <c:v>1248</c:v>
                </c:pt>
                <c:pt idx="2">
                  <c:v>1149</c:v>
                </c:pt>
                <c:pt idx="3">
                  <c:v>891</c:v>
                </c:pt>
                <c:pt idx="4">
                  <c:v>853.59999999999991</c:v>
                </c:pt>
                <c:pt idx="5">
                  <c:v>712.25</c:v>
                </c:pt>
                <c:pt idx="6">
                  <c:v>579.25</c:v>
                </c:pt>
                <c:pt idx="7">
                  <c:v>530.88</c:v>
                </c:pt>
                <c:pt idx="8">
                  <c:v>407.86799999999999</c:v>
                </c:pt>
                <c:pt idx="9">
                  <c:v>338.75</c:v>
                </c:pt>
                <c:pt idx="10">
                  <c:v>338.54999999999995</c:v>
                </c:pt>
                <c:pt idx="11">
                  <c:v>323.90000000000003</c:v>
                </c:pt>
                <c:pt idx="12">
                  <c:v>293.93</c:v>
                </c:pt>
                <c:pt idx="13">
                  <c:v>213.351</c:v>
                </c:pt>
                <c:pt idx="14">
                  <c:v>208.04999999999995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F3A5F"/>
                    </a:solidFill>
                    <a:prstDash val="solid"/>
                  </a:ln>
                </c14:spPr>
              </c14:invertSolidFillFmt>
            </c:ext>
            <c:ext xmlns:c16="http://schemas.microsoft.com/office/drawing/2014/chart" uri="{C3380CC4-5D6E-409C-BE32-E72D297353CC}">
              <c16:uniqueId val="{00000000-1B4C-4552-A752-54D96942AF05}"/>
            </c:ext>
          </c:extLst>
        </c:ser>
        <c:dLbls>
          <c:showLegendKey val="0"/>
          <c:showVal val="0"/>
          <c:showCatName val="0"/>
          <c:showSerName val="0"/>
          <c:showPercent val="0"/>
          <c:showBubbleSize val="0"/>
        </c:dLbls>
        <c:gapWidth val="40"/>
        <c:axId val="10"/>
        <c:axId val="100"/>
      </c:barChart>
      <c:lineChart>
        <c:grouping val="standard"/>
        <c:varyColors val="1"/>
        <c:ser>
          <c:idx val="1"/>
          <c:order val="1"/>
          <c:tx>
            <c:v>Cumulative %</c:v>
          </c:tx>
          <c:spPr>
            <a:ln w="28575">
              <a:solidFill>
                <a:srgbClr val="E75A7C"/>
              </a:solidFill>
              <a:prstDash val="solid"/>
            </a:ln>
          </c:spPr>
          <c:marker>
            <c:symbol val="circle"/>
            <c:size val="5"/>
            <c:spPr>
              <a:solidFill>
                <a:srgbClr val="E75A7C"/>
              </a:solidFill>
              <a:ln>
                <a:solidFill>
                  <a:srgbClr val="E75A7C"/>
                </a:solidFill>
                <a:prstDash val="solid"/>
              </a:ln>
            </c:spPr>
          </c:marker>
          <c:val>
            <c:numRef>
              <c:f>Dashboard!$BD$17:$BD$31</c:f>
              <c:numCache>
                <c:formatCode>0.0%</c:formatCode>
                <c:ptCount val="15"/>
                <c:pt idx="0">
                  <c:v>0.12244677816773945</c:v>
                </c:pt>
                <c:pt idx="1">
                  <c:v>0.24372739654340519</c:v>
                </c:pt>
                <c:pt idx="2">
                  <c:v>0.35538719663446283</c:v>
                </c:pt>
                <c:pt idx="3">
                  <c:v>0.44197456119593576</c:v>
                </c:pt>
                <c:pt idx="4">
                  <c:v>0.52492739440544556</c:v>
                </c:pt>
                <c:pt idx="5">
                  <c:v>0.59414383706415397</c:v>
                </c:pt>
                <c:pt idx="6">
                  <c:v>0.65043534202737863</c:v>
                </c:pt>
                <c:pt idx="7">
                  <c:v>0.70202625122871953</c:v>
                </c:pt>
                <c:pt idx="8">
                  <c:v>0.74166285640151275</c:v>
                </c:pt>
                <c:pt idx="9">
                  <c:v>0.77458257553192689</c:v>
                </c:pt>
                <c:pt idx="10">
                  <c:v>0.80748285866580627</c:v>
                </c:pt>
                <c:pt idx="11">
                  <c:v>0.83895945505352931</c:v>
                </c:pt>
                <c:pt idx="12">
                  <c:v>0.86752356736054814</c:v>
                </c:pt>
                <c:pt idx="13">
                  <c:v>0.88825701384377442</c:v>
                </c:pt>
                <c:pt idx="14">
                  <c:v>0.90847530923885234</c:v>
                </c:pt>
              </c:numCache>
            </c:numRef>
          </c:val>
          <c:smooth val="1"/>
          <c:extLst>
            <c:ext xmlns:c16="http://schemas.microsoft.com/office/drawing/2014/chart" uri="{C3380CC4-5D6E-409C-BE32-E72D297353CC}">
              <c16:uniqueId val="{00000001-1B4C-4552-A752-54D96942AF05}"/>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none"/>
        <c:minorTickMark val="none"/>
        <c:tickLblPos val="nextTo"/>
        <c:txPr>
          <a:bodyPr rot="-2700000" vert="horz"/>
          <a:lstStyle/>
          <a:p>
            <a:pPr>
              <a:defRPr sz="800"/>
            </a:pPr>
            <a:endParaRPr lang="en-US"/>
          </a:p>
        </c:txPr>
        <c:crossAx val="100"/>
        <c:crosses val="autoZero"/>
        <c:auto val="1"/>
        <c:lblAlgn val="ctr"/>
        <c:lblOffset val="100"/>
        <c:noMultiLvlLbl val="1"/>
      </c:catAx>
      <c:valAx>
        <c:axId val="100"/>
        <c:scaling>
          <c:orientation val="minMax"/>
        </c:scaling>
        <c:delete val="0"/>
        <c:axPos val="l"/>
        <c:majorGridlines>
          <c:spPr>
            <a:ln>
              <a:noFill/>
            </a:ln>
          </c:spPr>
        </c:majorGridlines>
        <c:numFmt formatCode="#,##0" sourceLinked="0"/>
        <c:majorTickMark val="none"/>
        <c:minorTickMark val="none"/>
        <c:tickLblPos val="nextTo"/>
        <c:crossAx val="10"/>
        <c:crosses val="autoZero"/>
        <c:crossBetween val="between"/>
      </c:valAx>
      <c:valAx>
        <c:axId val="200"/>
        <c:scaling>
          <c:orientation val="minMax"/>
          <c:max val="1"/>
          <c:min val="0"/>
        </c:scaling>
        <c:delete val="0"/>
        <c:axPos val="r"/>
        <c:numFmt formatCode="0%" sourceLinked="0"/>
        <c:majorTickMark val="none"/>
        <c:minorTickMark val="none"/>
        <c:tickLblPos val="nextTo"/>
        <c:crossAx val="10"/>
        <c:crosses val="max"/>
        <c:crossBetween val="between"/>
      </c:valAx>
    </c:plotArea>
    <c:legend>
      <c:legendPos val="b"/>
      <c:overlay val="1"/>
    </c:legend>
    <c:plotVisOnly val="0"/>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MY"/>
              <a:t>Stock remaining vs reorder point</a:t>
            </a:r>
          </a:p>
        </c:rich>
      </c:tx>
      <c:overlay val="1"/>
    </c:title>
    <c:autoTitleDeleted val="0"/>
    <c:plotArea>
      <c:layout/>
      <c:barChart>
        <c:barDir val="bar"/>
        <c:grouping val="clustered"/>
        <c:varyColors val="1"/>
        <c:ser>
          <c:idx val="0"/>
          <c:order val="0"/>
          <c:tx>
            <c:v>Stock remaining</c:v>
          </c:tx>
          <c:spPr>
            <a:solidFill>
              <a:srgbClr val="1F3A5F"/>
            </a:solidFill>
            <a:ln>
              <a:prstDash val="solid"/>
            </a:ln>
          </c:spPr>
          <c:invertIfNegative val="1"/>
          <c:cat>
            <c:strRef>
              <c:f>Dashboard!$K$93:$K$100</c:f>
              <c:strCache>
                <c:ptCount val="8"/>
                <c:pt idx="0">
                  <c:v>Oat Side Chocolate 200ml</c:v>
                </c:pt>
                <c:pt idx="1">
                  <c:v>Ayataka Tea 300ml</c:v>
                </c:pt>
                <c:pt idx="2">
                  <c:v>Munchy Oat Krunch - Dark Choco</c:v>
                </c:pt>
                <c:pt idx="3">
                  <c:v>Vsoy Soya Bean  250ml</c:v>
                </c:pt>
                <c:pt idx="4">
                  <c:v>Milo 200ml</c:v>
                </c:pt>
                <c:pt idx="5">
                  <c:v>NV OATS &amp; DARK CHOC 42GX5</c:v>
                </c:pt>
                <c:pt idx="6">
                  <c:v>Oat Side Original 200ml</c:v>
                </c:pt>
                <c:pt idx="7">
                  <c:v>Munchy Oat Krunch - Strawberry &amp; Blackcurrant</c:v>
                </c:pt>
              </c:strCache>
            </c:strRef>
          </c:cat>
          <c:val>
            <c:numRef>
              <c:f>Dashboard!$R$93:$R$100</c:f>
              <c:numCache>
                <c:formatCode>#,##0</c:formatCode>
                <c:ptCount val="8"/>
                <c:pt idx="0">
                  <c:v>19</c:v>
                </c:pt>
                <c:pt idx="1">
                  <c:v>85</c:v>
                </c:pt>
                <c:pt idx="2">
                  <c:v>45</c:v>
                </c:pt>
                <c:pt idx="3">
                  <c:v>27</c:v>
                </c:pt>
                <c:pt idx="4">
                  <c:v>51</c:v>
                </c:pt>
                <c:pt idx="5">
                  <c:v>0</c:v>
                </c:pt>
                <c:pt idx="6">
                  <c:v>63</c:v>
                </c:pt>
                <c:pt idx="7">
                  <c:v>37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169-45A5-945E-396B4250ED7B}"/>
            </c:ext>
          </c:extLst>
        </c:ser>
        <c:ser>
          <c:idx val="1"/>
          <c:order val="1"/>
          <c:tx>
            <c:v>Reorder point</c:v>
          </c:tx>
          <c:spPr>
            <a:solidFill>
              <a:srgbClr val="E75A7C"/>
            </a:solidFill>
            <a:ln>
              <a:prstDash val="solid"/>
            </a:ln>
          </c:spPr>
          <c:invertIfNegative val="1"/>
          <c:cat>
            <c:strRef>
              <c:f>Dashboard!$K$93:$K$100</c:f>
              <c:strCache>
                <c:ptCount val="8"/>
                <c:pt idx="0">
                  <c:v>Oat Side Chocolate 200ml</c:v>
                </c:pt>
                <c:pt idx="1">
                  <c:v>Ayataka Tea 300ml</c:v>
                </c:pt>
                <c:pt idx="2">
                  <c:v>Munchy Oat Krunch - Dark Choco</c:v>
                </c:pt>
                <c:pt idx="3">
                  <c:v>Vsoy Soya Bean  250ml</c:v>
                </c:pt>
                <c:pt idx="4">
                  <c:v>Milo 200ml</c:v>
                </c:pt>
                <c:pt idx="5">
                  <c:v>NV OATS &amp; DARK CHOC 42GX5</c:v>
                </c:pt>
                <c:pt idx="6">
                  <c:v>Oat Side Original 200ml</c:v>
                </c:pt>
                <c:pt idx="7">
                  <c:v>Munchy Oat Krunch - Strawberry &amp; Blackcurrant</c:v>
                </c:pt>
              </c:strCache>
            </c:strRef>
          </c:cat>
          <c:val>
            <c:numRef>
              <c:f>Dashboard!$T$93:$T$100</c:f>
              <c:numCache>
                <c:formatCode>#,##0</c:formatCode>
                <c:ptCount val="8"/>
                <c:pt idx="0">
                  <c:v>144.21904530321251</c:v>
                </c:pt>
                <c:pt idx="1">
                  <c:v>208.68317528171542</c:v>
                </c:pt>
                <c:pt idx="2">
                  <c:v>123.30672730051366</c:v>
                </c:pt>
                <c:pt idx="3">
                  <c:v>101.57696054823009</c:v>
                </c:pt>
                <c:pt idx="4">
                  <c:v>100.76873001894758</c:v>
                </c:pt>
                <c:pt idx="5">
                  <c:v>35.302225818133358</c:v>
                </c:pt>
                <c:pt idx="6">
                  <c:v>88.39090534721042</c:v>
                </c:pt>
                <c:pt idx="7">
                  <c:v>58.991102613628001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7169-45A5-945E-396B4250ED7B}"/>
            </c:ext>
          </c:extLst>
        </c:ser>
        <c:dLbls>
          <c:showLegendKey val="0"/>
          <c:showVal val="0"/>
          <c:showCatName val="0"/>
          <c:showSerName val="0"/>
          <c:showPercent val="0"/>
          <c:showBubbleSize val="0"/>
        </c:dLbls>
        <c:gapWidth val="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t"/>
        <c:majorGridlines/>
        <c:numFmt formatCode="#,##0" sourceLinked="1"/>
        <c:majorTickMark val="none"/>
        <c:minorTickMark val="none"/>
        <c:tickLblPos val="nextTo"/>
        <c:crossAx val="10"/>
        <c:crosses val="autoZero"/>
        <c:crossBetween val="between"/>
      </c:valAx>
    </c:plotArea>
    <c:legend>
      <c:legendPos val="b"/>
      <c:overlay val="1"/>
    </c:legend>
    <c:plotVisOnly val="0"/>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00" b="1"/>
            </a:pPr>
            <a:r>
              <a:rPr lang="en-US" sz="1000" b="1"/>
              <a:t>Storehouse movement per day (units)</a:t>
            </a:r>
          </a:p>
        </c:rich>
      </c:tx>
      <c:overlay val="0"/>
    </c:title>
    <c:autoTitleDeleted val="0"/>
    <c:plotArea>
      <c:layout/>
      <c:barChart>
        <c:barDir val="col"/>
        <c:grouping val="clustered"/>
        <c:varyColors val="0"/>
        <c:ser>
          <c:idx val="0"/>
          <c:order val="0"/>
          <c:tx>
            <c:strRef>
              <c:f>Dashboard!$CI$16</c:f>
              <c:strCache>
                <c:ptCount val="1"/>
                <c:pt idx="0">
                  <c:v>Stock out</c:v>
                </c:pt>
              </c:strCache>
            </c:strRef>
          </c:tx>
          <c:spPr>
            <a:solidFill>
              <a:srgbClr val="1F3A5F"/>
            </a:solidFill>
          </c:spPr>
          <c:invertIfNegative val="0"/>
          <c:cat>
            <c:strRef>
              <c:f>Dashboard!$CH$17:$CH$46</c:f>
              <c:strCache>
                <c:ptCount val="30"/>
                <c:pt idx="0">
                  <c:v>01 Sep</c:v>
                </c:pt>
                <c:pt idx="1">
                  <c:v>02 Sep</c:v>
                </c:pt>
                <c:pt idx="2">
                  <c:v>03 Sep</c:v>
                </c:pt>
                <c:pt idx="3">
                  <c:v>04 Sep</c:v>
                </c:pt>
                <c:pt idx="4">
                  <c:v>05 Sep</c:v>
                </c:pt>
                <c:pt idx="5">
                  <c:v>06 Sep</c:v>
                </c:pt>
                <c:pt idx="6">
                  <c:v>07 Sep</c:v>
                </c:pt>
                <c:pt idx="7">
                  <c:v>08 Sep</c:v>
                </c:pt>
                <c:pt idx="8">
                  <c:v>09 Sep</c:v>
                </c:pt>
                <c:pt idx="9">
                  <c:v>10 Sep</c:v>
                </c:pt>
                <c:pt idx="10">
                  <c:v>11 Sep</c:v>
                </c:pt>
                <c:pt idx="11">
                  <c:v>12 Sep</c:v>
                </c:pt>
                <c:pt idx="12">
                  <c:v>13 Sep</c:v>
                </c:pt>
                <c:pt idx="13">
                  <c:v>14 Sep</c:v>
                </c:pt>
                <c:pt idx="14">
                  <c:v>15 Sep</c:v>
                </c:pt>
                <c:pt idx="15">
                  <c:v>16 Sep</c:v>
                </c:pt>
                <c:pt idx="16">
                  <c:v>17 Sep</c:v>
                </c:pt>
                <c:pt idx="17">
                  <c:v>18 Sep</c:v>
                </c:pt>
                <c:pt idx="18">
                  <c:v>19 Sep</c:v>
                </c:pt>
                <c:pt idx="19">
                  <c:v>20 Sep</c:v>
                </c:pt>
                <c:pt idx="20">
                  <c:v>21 Sep</c:v>
                </c:pt>
                <c:pt idx="21">
                  <c:v>22 Sep</c:v>
                </c:pt>
                <c:pt idx="22">
                  <c:v>23 Sep</c:v>
                </c:pt>
                <c:pt idx="23">
                  <c:v>24 Sep</c:v>
                </c:pt>
                <c:pt idx="24">
                  <c:v>25 Sep</c:v>
                </c:pt>
                <c:pt idx="25">
                  <c:v>26 Sep</c:v>
                </c:pt>
                <c:pt idx="26">
                  <c:v>27 Sep</c:v>
                </c:pt>
                <c:pt idx="27">
                  <c:v>28 Sep</c:v>
                </c:pt>
                <c:pt idx="28">
                  <c:v>29 Sep</c:v>
                </c:pt>
                <c:pt idx="29">
                  <c:v>30 Sep</c:v>
                </c:pt>
              </c:strCache>
            </c:strRef>
          </c:cat>
          <c:val>
            <c:numRef>
              <c:f>Dashboard!$CI$17:$CI$46</c:f>
              <c:numCache>
                <c:formatCode>General</c:formatCode>
                <c:ptCount val="30"/>
                <c:pt idx="0">
                  <c:v>267</c:v>
                </c:pt>
                <c:pt idx="1">
                  <c:v>120</c:v>
                </c:pt>
                <c:pt idx="2">
                  <c:v>261</c:v>
                </c:pt>
                <c:pt idx="3">
                  <c:v>0</c:v>
                </c:pt>
                <c:pt idx="4">
                  <c:v>0</c:v>
                </c:pt>
                <c:pt idx="5">
                  <c:v>0</c:v>
                </c:pt>
                <c:pt idx="6">
                  <c:v>336</c:v>
                </c:pt>
                <c:pt idx="7">
                  <c:v>555</c:v>
                </c:pt>
                <c:pt idx="8">
                  <c:v>274</c:v>
                </c:pt>
                <c:pt idx="9">
                  <c:v>150</c:v>
                </c:pt>
                <c:pt idx="10">
                  <c:v>264</c:v>
                </c:pt>
                <c:pt idx="11">
                  <c:v>0</c:v>
                </c:pt>
                <c:pt idx="12">
                  <c:v>0</c:v>
                </c:pt>
                <c:pt idx="13">
                  <c:v>144</c:v>
                </c:pt>
                <c:pt idx="14">
                  <c:v>269</c:v>
                </c:pt>
                <c:pt idx="15">
                  <c:v>0</c:v>
                </c:pt>
                <c:pt idx="16">
                  <c:v>186</c:v>
                </c:pt>
                <c:pt idx="17">
                  <c:v>134</c:v>
                </c:pt>
                <c:pt idx="18">
                  <c:v>0</c:v>
                </c:pt>
                <c:pt idx="19">
                  <c:v>0</c:v>
                </c:pt>
                <c:pt idx="20">
                  <c:v>233</c:v>
                </c:pt>
                <c:pt idx="21">
                  <c:v>464</c:v>
                </c:pt>
                <c:pt idx="22">
                  <c:v>319</c:v>
                </c:pt>
                <c:pt idx="23">
                  <c:v>312</c:v>
                </c:pt>
                <c:pt idx="24">
                  <c:v>145</c:v>
                </c:pt>
                <c:pt idx="25">
                  <c:v>0</c:v>
                </c:pt>
                <c:pt idx="26">
                  <c:v>0</c:v>
                </c:pt>
                <c:pt idx="27">
                  <c:v>596</c:v>
                </c:pt>
                <c:pt idx="28">
                  <c:v>300</c:v>
                </c:pt>
                <c:pt idx="29">
                  <c:v>240</c:v>
                </c:pt>
              </c:numCache>
            </c:numRef>
          </c:val>
          <c:extLst>
            <c:ext xmlns:c16="http://schemas.microsoft.com/office/drawing/2014/chart" uri="{C3380CC4-5D6E-409C-BE32-E72D297353CC}">
              <c16:uniqueId val="{00000000-5A3A-4E74-B5FC-FF838AD9BAD6}"/>
            </c:ext>
          </c:extLst>
        </c:ser>
        <c:ser>
          <c:idx val="1"/>
          <c:order val="1"/>
          <c:tx>
            <c:strRef>
              <c:f>Dashboard!$CJ$16</c:f>
              <c:strCache>
                <c:ptCount val="1"/>
                <c:pt idx="0">
                  <c:v>Received from suppliers</c:v>
                </c:pt>
              </c:strCache>
            </c:strRef>
          </c:tx>
          <c:spPr>
            <a:solidFill>
              <a:srgbClr val="F2A541"/>
            </a:solidFill>
          </c:spPr>
          <c:invertIfNegative val="0"/>
          <c:cat>
            <c:strRef>
              <c:f>Dashboard!$CH$17:$CH$46</c:f>
              <c:strCache>
                <c:ptCount val="30"/>
                <c:pt idx="0">
                  <c:v>01 Sep</c:v>
                </c:pt>
                <c:pt idx="1">
                  <c:v>02 Sep</c:v>
                </c:pt>
                <c:pt idx="2">
                  <c:v>03 Sep</c:v>
                </c:pt>
                <c:pt idx="3">
                  <c:v>04 Sep</c:v>
                </c:pt>
                <c:pt idx="4">
                  <c:v>05 Sep</c:v>
                </c:pt>
                <c:pt idx="5">
                  <c:v>06 Sep</c:v>
                </c:pt>
                <c:pt idx="6">
                  <c:v>07 Sep</c:v>
                </c:pt>
                <c:pt idx="7">
                  <c:v>08 Sep</c:v>
                </c:pt>
                <c:pt idx="8">
                  <c:v>09 Sep</c:v>
                </c:pt>
                <c:pt idx="9">
                  <c:v>10 Sep</c:v>
                </c:pt>
                <c:pt idx="10">
                  <c:v>11 Sep</c:v>
                </c:pt>
                <c:pt idx="11">
                  <c:v>12 Sep</c:v>
                </c:pt>
                <c:pt idx="12">
                  <c:v>13 Sep</c:v>
                </c:pt>
                <c:pt idx="13">
                  <c:v>14 Sep</c:v>
                </c:pt>
                <c:pt idx="14">
                  <c:v>15 Sep</c:v>
                </c:pt>
                <c:pt idx="15">
                  <c:v>16 Sep</c:v>
                </c:pt>
                <c:pt idx="16">
                  <c:v>17 Sep</c:v>
                </c:pt>
                <c:pt idx="17">
                  <c:v>18 Sep</c:v>
                </c:pt>
                <c:pt idx="18">
                  <c:v>19 Sep</c:v>
                </c:pt>
                <c:pt idx="19">
                  <c:v>20 Sep</c:v>
                </c:pt>
                <c:pt idx="20">
                  <c:v>21 Sep</c:v>
                </c:pt>
                <c:pt idx="21">
                  <c:v>22 Sep</c:v>
                </c:pt>
                <c:pt idx="22">
                  <c:v>23 Sep</c:v>
                </c:pt>
                <c:pt idx="23">
                  <c:v>24 Sep</c:v>
                </c:pt>
                <c:pt idx="24">
                  <c:v>25 Sep</c:v>
                </c:pt>
                <c:pt idx="25">
                  <c:v>26 Sep</c:v>
                </c:pt>
                <c:pt idx="26">
                  <c:v>27 Sep</c:v>
                </c:pt>
                <c:pt idx="27">
                  <c:v>28 Sep</c:v>
                </c:pt>
                <c:pt idx="28">
                  <c:v>29 Sep</c:v>
                </c:pt>
                <c:pt idx="29">
                  <c:v>30 Sep</c:v>
                </c:pt>
              </c:strCache>
            </c:strRef>
          </c:cat>
          <c:val>
            <c:numRef>
              <c:f>Dashboard!$CJ$17:$CJ$46</c:f>
              <c:numCache>
                <c:formatCode>General</c:formatCode>
                <c:ptCount val="30"/>
                <c:pt idx="0">
                  <c:v>89</c:v>
                </c:pt>
                <c:pt idx="1">
                  <c:v>0</c:v>
                </c:pt>
                <c:pt idx="2">
                  <c:v>0</c:v>
                </c:pt>
                <c:pt idx="3">
                  <c:v>540</c:v>
                </c:pt>
                <c:pt idx="4">
                  <c:v>0</c:v>
                </c:pt>
                <c:pt idx="5">
                  <c:v>124</c:v>
                </c:pt>
                <c:pt idx="6">
                  <c:v>144</c:v>
                </c:pt>
                <c:pt idx="7">
                  <c:v>914</c:v>
                </c:pt>
                <c:pt idx="8">
                  <c:v>168</c:v>
                </c:pt>
                <c:pt idx="9">
                  <c:v>0</c:v>
                </c:pt>
                <c:pt idx="10">
                  <c:v>144</c:v>
                </c:pt>
                <c:pt idx="11">
                  <c:v>0</c:v>
                </c:pt>
                <c:pt idx="12">
                  <c:v>0</c:v>
                </c:pt>
                <c:pt idx="13">
                  <c:v>0</c:v>
                </c:pt>
                <c:pt idx="14">
                  <c:v>379</c:v>
                </c:pt>
                <c:pt idx="15">
                  <c:v>0</c:v>
                </c:pt>
                <c:pt idx="16">
                  <c:v>0</c:v>
                </c:pt>
                <c:pt idx="17">
                  <c:v>77</c:v>
                </c:pt>
                <c:pt idx="18">
                  <c:v>0</c:v>
                </c:pt>
                <c:pt idx="19">
                  <c:v>0</c:v>
                </c:pt>
                <c:pt idx="20">
                  <c:v>1678</c:v>
                </c:pt>
                <c:pt idx="21">
                  <c:v>0</c:v>
                </c:pt>
                <c:pt idx="22">
                  <c:v>0</c:v>
                </c:pt>
                <c:pt idx="23">
                  <c:v>72</c:v>
                </c:pt>
                <c:pt idx="24">
                  <c:v>0</c:v>
                </c:pt>
                <c:pt idx="25">
                  <c:v>0</c:v>
                </c:pt>
                <c:pt idx="26">
                  <c:v>0</c:v>
                </c:pt>
                <c:pt idx="27">
                  <c:v>1096</c:v>
                </c:pt>
                <c:pt idx="28">
                  <c:v>312</c:v>
                </c:pt>
                <c:pt idx="29">
                  <c:v>309</c:v>
                </c:pt>
              </c:numCache>
            </c:numRef>
          </c:val>
          <c:extLst>
            <c:ext xmlns:c16="http://schemas.microsoft.com/office/drawing/2014/chart" uri="{C3380CC4-5D6E-409C-BE32-E72D297353CC}">
              <c16:uniqueId val="{00000001-5A3A-4E74-B5FC-FF838AD9BAD6}"/>
            </c:ext>
          </c:extLst>
        </c:ser>
        <c:dLbls>
          <c:showLegendKey val="0"/>
          <c:showVal val="0"/>
          <c:showCatName val="0"/>
          <c:showSerName val="0"/>
          <c:showPercent val="0"/>
          <c:showBubbleSize val="0"/>
        </c:dLbls>
        <c:gapWidth val="60"/>
        <c:overlap val="-10"/>
        <c:axId val="5001"/>
        <c:axId val="5002"/>
      </c:barChart>
      <c:catAx>
        <c:axId val="5001"/>
        <c:scaling>
          <c:orientation val="minMax"/>
        </c:scaling>
        <c:delete val="0"/>
        <c:axPos val="b"/>
        <c:numFmt formatCode="General" sourceLinked="0"/>
        <c:majorTickMark val="none"/>
        <c:minorTickMark val="none"/>
        <c:tickLblPos val="nextTo"/>
        <c:spPr>
          <a:ln w="6350">
            <a:solidFill>
              <a:srgbClr val="BFBFBF"/>
            </a:solidFill>
          </a:ln>
        </c:spPr>
        <c:txPr>
          <a:bodyPr rot="-2700000" vert="horz"/>
          <a:lstStyle/>
          <a:p>
            <a:pPr>
              <a:defRPr sz="700">
                <a:solidFill>
                  <a:srgbClr val="595959"/>
                </a:solidFill>
              </a:defRPr>
            </a:pPr>
            <a:endParaRPr lang="en-US"/>
          </a:p>
        </c:txPr>
        <c:crossAx val="5002"/>
        <c:crosses val="autoZero"/>
        <c:auto val="1"/>
        <c:lblAlgn val="ctr"/>
        <c:lblOffset val="100"/>
        <c:tickLblSkip val="1"/>
        <c:noMultiLvlLbl val="0"/>
      </c:catAx>
      <c:valAx>
        <c:axId val="5002"/>
        <c:scaling>
          <c:orientation val="minMax"/>
        </c:scaling>
        <c:delete val="0"/>
        <c:axPos val="l"/>
        <c:majorGridlines>
          <c:spPr>
            <a:ln w="6350">
              <a:solidFill>
                <a:srgbClr val="E0E0E0"/>
              </a:solidFill>
            </a:ln>
          </c:spPr>
        </c:majorGridlines>
        <c:numFmt formatCode="#,##0" sourceLinked="0"/>
        <c:majorTickMark val="none"/>
        <c:minorTickMark val="none"/>
        <c:tickLblPos val="nextTo"/>
        <c:spPr>
          <a:ln>
            <a:noFill/>
          </a:ln>
        </c:spPr>
        <c:txPr>
          <a:bodyPr/>
          <a:lstStyle/>
          <a:p>
            <a:pPr>
              <a:defRPr sz="800" b="0">
                <a:solidFill>
                  <a:srgbClr val="595959"/>
                </a:solidFill>
              </a:defRPr>
            </a:pPr>
            <a:endParaRPr lang="en-US"/>
          </a:p>
        </c:txPr>
        <c:crossAx val="5001"/>
        <c:crosses val="autoZero"/>
        <c:crossBetween val="between"/>
      </c:valAx>
    </c:plotArea>
    <c:legend>
      <c:legendPos val="b"/>
      <c:overlay val="0"/>
      <c:txPr>
        <a:bodyPr/>
        <a:lstStyle/>
        <a:p>
          <a:pPr>
            <a:defRPr sz="800" b="0">
              <a:solidFill>
                <a:srgbClr val="595959"/>
              </a:solidFill>
            </a:defRPr>
          </a:pPr>
          <a:endParaRPr lang="en-US"/>
        </a:p>
      </c:txPr>
    </c:legend>
    <c:plotVisOnly val="0"/>
    <c:dispBlanksAs val="gap"/>
    <c:showDLblsOverMax val="1"/>
  </c:chart>
  <c:spPr>
    <a:solidFill>
      <a:srgbClr val="FFFFFF"/>
    </a:solidFill>
    <a:ln w="9525">
      <a:solidFill>
        <a:srgbClr val="BFBFBF"/>
      </a:solid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00" b="1"/>
            </a:pPr>
            <a:r>
              <a:rPr lang="en-US" sz="1000" b="1"/>
              <a:t>Where the stock sits - storehouse vs pantry by flavor profile (units)</a:t>
            </a:r>
          </a:p>
        </c:rich>
      </c:tx>
      <c:overlay val="0"/>
    </c:title>
    <c:autoTitleDeleted val="0"/>
    <c:plotArea>
      <c:layout/>
      <c:barChart>
        <c:barDir val="col"/>
        <c:grouping val="stacked"/>
        <c:varyColors val="0"/>
        <c:ser>
          <c:idx val="0"/>
          <c:order val="0"/>
          <c:tx>
            <c:strRef>
              <c:f>Dashboard!$CQ$16</c:f>
              <c:strCache>
                <c:ptCount val="1"/>
                <c:pt idx="0">
                  <c:v>Storehouse</c:v>
                </c:pt>
              </c:strCache>
            </c:strRef>
          </c:tx>
          <c:spPr>
            <a:solidFill>
              <a:srgbClr val="1F3A5F"/>
            </a:solidFill>
          </c:spPr>
          <c:invertIfNegative val="0"/>
          <c:dLbls>
            <c:numFmt formatCode="#,##0;;;" sourceLinked="0"/>
            <c:spPr>
              <a:noFill/>
              <a:ln>
                <a:noFill/>
              </a:ln>
            </c:spPr>
            <c:txPr>
              <a:bodyPr/>
              <a:lstStyle/>
              <a:p>
                <a:pPr>
                  <a:defRPr sz="800" b="1">
                    <a:solidFill>
                      <a:srgbClr val="FFFFFF"/>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Dashboard!$CP$17:$CP$21</c:f>
              <c:strCache>
                <c:ptCount val="5"/>
                <c:pt idx="0">
                  <c:v>Sweet</c:v>
                </c:pt>
                <c:pt idx="1">
                  <c:v>Savoury</c:v>
                </c:pt>
                <c:pt idx="2">
                  <c:v>Coffee</c:v>
                </c:pt>
                <c:pt idx="3">
                  <c:v>Tea</c:v>
                </c:pt>
                <c:pt idx="4">
                  <c:v>Other</c:v>
                </c:pt>
              </c:strCache>
            </c:strRef>
          </c:cat>
          <c:val>
            <c:numRef>
              <c:f>Dashboard!$CQ$17:$CQ$21</c:f>
              <c:numCache>
                <c:formatCode>General</c:formatCode>
                <c:ptCount val="5"/>
                <c:pt idx="0">
                  <c:v>88</c:v>
                </c:pt>
                <c:pt idx="1">
                  <c:v>601</c:v>
                </c:pt>
                <c:pt idx="2">
                  <c:v>48</c:v>
                </c:pt>
                <c:pt idx="3">
                  <c:v>132</c:v>
                </c:pt>
                <c:pt idx="4">
                  <c:v>720</c:v>
                </c:pt>
              </c:numCache>
            </c:numRef>
          </c:val>
          <c:extLst>
            <c:ext xmlns:c16="http://schemas.microsoft.com/office/drawing/2014/chart" uri="{C3380CC4-5D6E-409C-BE32-E72D297353CC}">
              <c16:uniqueId val="{00000000-CD61-4C25-961C-47A2D949CFBA}"/>
            </c:ext>
          </c:extLst>
        </c:ser>
        <c:ser>
          <c:idx val="1"/>
          <c:order val="1"/>
          <c:tx>
            <c:strRef>
              <c:f>Dashboard!$CR$16</c:f>
              <c:strCache>
                <c:ptCount val="1"/>
                <c:pt idx="0">
                  <c:v>Pantry</c:v>
                </c:pt>
              </c:strCache>
            </c:strRef>
          </c:tx>
          <c:spPr>
            <a:solidFill>
              <a:srgbClr val="9DC3E6"/>
            </a:solidFill>
          </c:spPr>
          <c:invertIfNegative val="0"/>
          <c:dLbls>
            <c:numFmt formatCode="#,##0;;;" sourceLinked="0"/>
            <c:spPr>
              <a:noFill/>
              <a:ln>
                <a:noFill/>
              </a:ln>
            </c:spPr>
            <c:txPr>
              <a:bodyPr/>
              <a:lstStyle/>
              <a:p>
                <a:pPr>
                  <a:defRPr sz="800" b="1">
                    <a:solidFill>
                      <a:srgbClr val="1F3A5F"/>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Dashboard!$CP$17:$CP$21</c:f>
              <c:strCache>
                <c:ptCount val="5"/>
                <c:pt idx="0">
                  <c:v>Sweet</c:v>
                </c:pt>
                <c:pt idx="1">
                  <c:v>Savoury</c:v>
                </c:pt>
                <c:pt idx="2">
                  <c:v>Coffee</c:v>
                </c:pt>
                <c:pt idx="3">
                  <c:v>Tea</c:v>
                </c:pt>
                <c:pt idx="4">
                  <c:v>Other</c:v>
                </c:pt>
              </c:strCache>
            </c:strRef>
          </c:cat>
          <c:val>
            <c:numRef>
              <c:f>Dashboard!$CR$17:$CR$21</c:f>
              <c:numCache>
                <c:formatCode>General</c:formatCode>
                <c:ptCount val="5"/>
                <c:pt idx="0">
                  <c:v>138</c:v>
                </c:pt>
                <c:pt idx="1">
                  <c:v>171</c:v>
                </c:pt>
                <c:pt idx="2">
                  <c:v>77</c:v>
                </c:pt>
                <c:pt idx="3">
                  <c:v>90</c:v>
                </c:pt>
                <c:pt idx="4">
                  <c:v>542</c:v>
                </c:pt>
              </c:numCache>
            </c:numRef>
          </c:val>
          <c:extLst>
            <c:ext xmlns:c16="http://schemas.microsoft.com/office/drawing/2014/chart" uri="{C3380CC4-5D6E-409C-BE32-E72D297353CC}">
              <c16:uniqueId val="{00000001-CD61-4C25-961C-47A2D949CFBA}"/>
            </c:ext>
          </c:extLst>
        </c:ser>
        <c:dLbls>
          <c:showLegendKey val="0"/>
          <c:showVal val="0"/>
          <c:showCatName val="0"/>
          <c:showSerName val="0"/>
          <c:showPercent val="0"/>
          <c:showBubbleSize val="0"/>
        </c:dLbls>
        <c:gapWidth val="60"/>
        <c:overlap val="100"/>
        <c:axId val="5003"/>
        <c:axId val="5004"/>
      </c:barChart>
      <c:catAx>
        <c:axId val="5003"/>
        <c:scaling>
          <c:orientation val="minMax"/>
        </c:scaling>
        <c:delete val="0"/>
        <c:axPos val="b"/>
        <c:numFmt formatCode="General" sourceLinked="0"/>
        <c:majorTickMark val="none"/>
        <c:minorTickMark val="none"/>
        <c:tickLblPos val="nextTo"/>
        <c:spPr>
          <a:ln w="6350">
            <a:solidFill>
              <a:srgbClr val="BFBFBF"/>
            </a:solidFill>
          </a:ln>
        </c:spPr>
        <c:txPr>
          <a:bodyPr/>
          <a:lstStyle/>
          <a:p>
            <a:pPr>
              <a:defRPr sz="900" b="0">
                <a:solidFill>
                  <a:srgbClr val="595959"/>
                </a:solidFill>
              </a:defRPr>
            </a:pPr>
            <a:endParaRPr lang="en-US"/>
          </a:p>
        </c:txPr>
        <c:crossAx val="5004"/>
        <c:crosses val="autoZero"/>
        <c:auto val="1"/>
        <c:lblAlgn val="ctr"/>
        <c:lblOffset val="100"/>
        <c:noMultiLvlLbl val="0"/>
      </c:catAx>
      <c:valAx>
        <c:axId val="5004"/>
        <c:scaling>
          <c:orientation val="minMax"/>
        </c:scaling>
        <c:delete val="0"/>
        <c:axPos val="l"/>
        <c:majorGridlines>
          <c:spPr>
            <a:ln w="6350">
              <a:solidFill>
                <a:srgbClr val="E0E0E0"/>
              </a:solidFill>
            </a:ln>
          </c:spPr>
        </c:majorGridlines>
        <c:numFmt formatCode="#,##0" sourceLinked="0"/>
        <c:majorTickMark val="none"/>
        <c:minorTickMark val="none"/>
        <c:tickLblPos val="nextTo"/>
        <c:spPr>
          <a:ln>
            <a:noFill/>
          </a:ln>
        </c:spPr>
        <c:txPr>
          <a:bodyPr/>
          <a:lstStyle/>
          <a:p>
            <a:pPr>
              <a:defRPr sz="800" b="0">
                <a:solidFill>
                  <a:srgbClr val="595959"/>
                </a:solidFill>
              </a:defRPr>
            </a:pPr>
            <a:endParaRPr lang="en-US"/>
          </a:p>
        </c:txPr>
        <c:crossAx val="5003"/>
        <c:crosses val="autoZero"/>
        <c:crossBetween val="between"/>
      </c:valAx>
    </c:plotArea>
    <c:legend>
      <c:legendPos val="b"/>
      <c:overlay val="0"/>
      <c:txPr>
        <a:bodyPr/>
        <a:lstStyle/>
        <a:p>
          <a:pPr>
            <a:defRPr sz="800" b="0">
              <a:solidFill>
                <a:srgbClr val="595959"/>
              </a:solidFill>
            </a:defRPr>
          </a:pPr>
          <a:endParaRPr lang="en-US"/>
        </a:p>
      </c:txPr>
    </c:legend>
    <c:plotVisOnly val="0"/>
    <c:dispBlanksAs val="gap"/>
    <c:showDLblsOverMax val="1"/>
  </c:chart>
  <c:spPr>
    <a:solidFill>
      <a:srgbClr val="FFFFFF"/>
    </a:solidFill>
    <a:ln w="9525">
      <a:solidFill>
        <a:srgbClr val="BFBFBF"/>
      </a:solidFill>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10">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1">
      <a:schemeClr val="dk1"/>
    </cs:effectRef>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1">
      <a:schemeClr val="dk1"/>
    </cs:effectRef>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1">
      <a:schemeClr val="dk1"/>
    </cs:effectRef>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1">
      <a:schemeClr val="dk1"/>
    </cs:effectRef>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10</xdr:row>
      <xdr:rowOff>270303</xdr:rowOff>
    </xdr:from>
    <xdr:ext cx="4685270" cy="2806013"/>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25743</xdr:colOff>
      <xdr:row>10</xdr:row>
      <xdr:rowOff>270303</xdr:rowOff>
    </xdr:from>
    <xdr:ext cx="4492195" cy="2806013"/>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17</xdr:col>
      <xdr:colOff>23813</xdr:colOff>
      <xdr:row>11</xdr:row>
      <xdr:rowOff>0</xdr:rowOff>
    </xdr:from>
    <xdr:ext cx="5794160" cy="3539696"/>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xdr:col>
      <xdr:colOff>0</xdr:colOff>
      <xdr:row>52</xdr:row>
      <xdr:rowOff>0</xdr:rowOff>
    </xdr:from>
    <xdr:ext cx="5793742" cy="3304592"/>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12</xdr:col>
      <xdr:colOff>121117</xdr:colOff>
      <xdr:row>52</xdr:row>
      <xdr:rowOff>0</xdr:rowOff>
    </xdr:from>
    <xdr:ext cx="3438045" cy="3304592"/>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18</xdr:col>
      <xdr:colOff>315412</xdr:colOff>
      <xdr:row>52</xdr:row>
      <xdr:rowOff>0</xdr:rowOff>
    </xdr:from>
    <xdr:ext cx="3321713" cy="3304592"/>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0</xdr:colOff>
      <xdr:row>68</xdr:row>
      <xdr:rowOff>194387</xdr:rowOff>
    </xdr:from>
    <xdr:ext cx="3960000" cy="5132994"/>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9</xdr:col>
      <xdr:colOff>97190</xdr:colOff>
      <xdr:row>68</xdr:row>
      <xdr:rowOff>194387</xdr:rowOff>
    </xdr:from>
    <xdr:ext cx="3960000" cy="5122118"/>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1</xdr:col>
      <xdr:colOff>19439</xdr:colOff>
      <xdr:row>100</xdr:row>
      <xdr:rowOff>194387</xdr:rowOff>
    </xdr:from>
    <xdr:ext cx="11818776" cy="5345663"/>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27</xdr:col>
      <xdr:colOff>0</xdr:colOff>
      <xdr:row>11</xdr:row>
      <xdr:rowOff>0</xdr:rowOff>
    </xdr:from>
    <xdr:ext cx="7285338" cy="3320878"/>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111</xdr:col>
      <xdr:colOff>102972</xdr:colOff>
      <xdr:row>10</xdr:row>
      <xdr:rowOff>270303</xdr:rowOff>
    </xdr:from>
    <xdr:ext cx="6847704" cy="3308007"/>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editAs="oneCell">
    <xdr:from>
      <xdr:col>25</xdr:col>
      <xdr:colOff>1590675</xdr:colOff>
      <xdr:row>46</xdr:row>
      <xdr:rowOff>28575</xdr:rowOff>
    </xdr:from>
    <xdr:to>
      <xdr:col>30</xdr:col>
      <xdr:colOff>228600</xdr:colOff>
      <xdr:row>56</xdr:row>
      <xdr:rowOff>142875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3250525" y="9667875"/>
          <a:ext cx="4572000" cy="2114550"/>
        </a:xfrm>
        <a:prstGeom prst="rect">
          <a:avLst/>
        </a:prstGeom>
        <a:ln>
          <a:prstDash val="solid"/>
        </a:ln>
      </xdr:spPr>
    </xdr:pic>
    <xdr:clientData/>
  </xdr:twoCellAnchor>
  <xdr:twoCellAnchor editAs="oneCell">
    <xdr:from>
      <xdr:col>25</xdr:col>
      <xdr:colOff>666750</xdr:colOff>
      <xdr:row>63</xdr:row>
      <xdr:rowOff>0</xdr:rowOff>
    </xdr:from>
    <xdr:to>
      <xdr:col>28</xdr:col>
      <xdr:colOff>885825</xdr:colOff>
      <xdr:row>70</xdr:row>
      <xdr:rowOff>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22326600" y="12363450"/>
          <a:ext cx="4572000" cy="1409700"/>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 Inventory"/>
      <sheetName val="Storehouse Replenishment Schedu"/>
      <sheetName val="mcr"/>
      <sheetName val="Item Purchases"/>
      <sheetName val="Avg Consumption Graph"/>
      <sheetName val="Sheet1"/>
    </sheetNames>
    <sheetDataSet>
      <sheetData sheetId="0"/>
      <sheetData sheetId="1">
        <row r="4">
          <cell r="CU4">
            <v>48</v>
          </cell>
        </row>
        <row r="5">
          <cell r="CU5">
            <v>20</v>
          </cell>
        </row>
        <row r="6">
          <cell r="CU6">
            <v>0</v>
          </cell>
        </row>
        <row r="7">
          <cell r="CU7">
            <v>0</v>
          </cell>
        </row>
        <row r="8">
          <cell r="CU8">
            <v>0</v>
          </cell>
        </row>
        <row r="9">
          <cell r="CU9">
            <v>0</v>
          </cell>
        </row>
        <row r="10">
          <cell r="CU10">
            <v>16</v>
          </cell>
        </row>
        <row r="11">
          <cell r="CU11">
            <v>72</v>
          </cell>
        </row>
        <row r="12">
          <cell r="CU12">
            <v>92</v>
          </cell>
        </row>
        <row r="13">
          <cell r="CU13">
            <v>60</v>
          </cell>
        </row>
        <row r="14">
          <cell r="CU14">
            <v>135</v>
          </cell>
        </row>
        <row r="16">
          <cell r="CU16">
            <v>24</v>
          </cell>
        </row>
        <row r="17">
          <cell r="CU17">
            <v>72</v>
          </cell>
        </row>
        <row r="18">
          <cell r="CU18">
            <v>96</v>
          </cell>
        </row>
        <row r="19">
          <cell r="CU19">
            <v>0</v>
          </cell>
        </row>
        <row r="20">
          <cell r="CU20">
            <v>0</v>
          </cell>
        </row>
        <row r="21">
          <cell r="CU21">
            <v>36</v>
          </cell>
        </row>
        <row r="22">
          <cell r="CU22">
            <v>36</v>
          </cell>
        </row>
        <row r="23">
          <cell r="CU23">
            <v>96</v>
          </cell>
        </row>
        <row r="24">
          <cell r="CU24">
            <v>0</v>
          </cell>
        </row>
        <row r="25">
          <cell r="CU25">
            <v>0</v>
          </cell>
        </row>
        <row r="26">
          <cell r="CU26">
            <v>24</v>
          </cell>
        </row>
        <row r="27">
          <cell r="CU27">
            <v>168</v>
          </cell>
        </row>
        <row r="28">
          <cell r="CU28">
            <v>48</v>
          </cell>
        </row>
        <row r="29">
          <cell r="CU29">
            <v>69</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pageSetUpPr fitToPage="1"/>
  </sheetPr>
  <dimension ref="B1:DT118"/>
  <sheetViews>
    <sheetView showGridLines="0" zoomScale="80" zoomScaleNormal="80" workbookViewId="0">
      <pane ySplit="6" topLeftCell="A94" activePane="bottomLeft" state="frozen"/>
      <selection pane="bottomLeft" activeCell="B2" sqref="B2"/>
    </sheetView>
  </sheetViews>
  <sheetFormatPr defaultRowHeight="15" outlineLevelCol="1" x14ac:dyDescent="0.25"/>
  <cols>
    <col min="1" max="1" width="4" customWidth="1"/>
    <col min="2" max="2" width="7.28515625" customWidth="1"/>
    <col min="3" max="3" width="15.140625" customWidth="1"/>
    <col min="4" max="4" width="7.28515625" customWidth="1"/>
    <col min="5" max="5" width="11.85546875" customWidth="1"/>
    <col min="6" max="16" width="7.28515625" customWidth="1"/>
    <col min="17" max="17" width="16.7109375" customWidth="1"/>
    <col min="18" max="18" width="7.28515625" customWidth="1"/>
    <col min="19" max="19" width="14.5703125" customWidth="1"/>
    <col min="20" max="20" width="7.28515625" customWidth="1"/>
    <col min="21" max="21" width="17.7109375" customWidth="1"/>
    <col min="22" max="22" width="7.28515625" customWidth="1"/>
    <col min="23" max="23" width="13.28515625" customWidth="1"/>
    <col min="24" max="24" width="7.28515625" customWidth="1"/>
    <col min="25" max="25" width="12.28515625" customWidth="1"/>
    <col min="26" max="26" width="5.85546875" customWidth="1"/>
    <col min="27" max="27" width="10.140625" customWidth="1"/>
    <col min="28" max="28" width="22" hidden="1" customWidth="1" outlineLevel="1"/>
    <col min="29" max="29" width="11" hidden="1" customWidth="1" outlineLevel="1"/>
    <col min="30" max="30" width="9" hidden="1" customWidth="1" outlineLevel="1"/>
    <col min="31" max="31" width="38" hidden="1" customWidth="1" outlineLevel="1"/>
    <col min="32" max="32" width="12" hidden="1" customWidth="1" outlineLevel="1"/>
    <col min="33" max="33" width="9" hidden="1" customWidth="1" outlineLevel="1"/>
    <col min="34" max="34" width="11" hidden="1" customWidth="1" outlineLevel="1"/>
    <col min="35" max="35" width="9" hidden="1" customWidth="1" outlineLevel="1"/>
    <col min="36" max="36" width="11" hidden="1" customWidth="1" outlineLevel="1"/>
    <col min="37" max="37" width="9" hidden="1" customWidth="1" outlineLevel="1"/>
    <col min="38" max="38" width="3" hidden="1" customWidth="1" outlineLevel="1"/>
    <col min="39" max="39" width="8" hidden="1" customWidth="1" outlineLevel="1"/>
    <col min="40" max="40" width="9" hidden="1" customWidth="1" outlineLevel="1"/>
    <col min="41" max="41" width="3" hidden="1" customWidth="1" outlineLevel="1"/>
    <col min="42" max="42" width="38" hidden="1" customWidth="1" outlineLevel="1"/>
    <col min="43" max="43" width="9" hidden="1" customWidth="1" outlineLevel="1"/>
    <col min="44" max="44" width="7" hidden="1" customWidth="1" outlineLevel="1"/>
    <col min="45" max="45" width="3" hidden="1" customWidth="1" outlineLevel="1"/>
    <col min="46" max="46" width="38" hidden="1" customWidth="1" outlineLevel="1"/>
    <col min="47" max="47" width="11" hidden="1" customWidth="1" outlineLevel="1"/>
    <col min="48" max="48" width="7" hidden="1" customWidth="1" outlineLevel="1"/>
    <col min="49" max="49" width="9" hidden="1" customWidth="1" outlineLevel="1"/>
    <col min="50" max="50" width="10" hidden="1" customWidth="1" outlineLevel="1"/>
    <col min="51" max="51" width="8" hidden="1" customWidth="1" outlineLevel="1"/>
    <col min="52" max="52" width="3" hidden="1" customWidth="1" outlineLevel="1"/>
    <col min="53" max="53" width="7" hidden="1" customWidth="1" outlineLevel="1"/>
    <col min="54" max="54" width="24" hidden="1" customWidth="1" outlineLevel="1"/>
    <col min="55" max="55" width="11" hidden="1" customWidth="1" outlineLevel="1"/>
    <col min="56" max="56" width="10" hidden="1" customWidth="1" outlineLevel="1"/>
    <col min="57" max="57" width="3" hidden="1" customWidth="1" outlineLevel="1"/>
    <col min="58" max="59" width="8" hidden="1" customWidth="1" outlineLevel="1"/>
    <col min="60" max="60" width="9" hidden="1" customWidth="1" outlineLevel="1"/>
    <col min="61" max="61" width="3" hidden="1" customWidth="1" outlineLevel="1"/>
    <col min="62" max="62" width="38" hidden="1" customWidth="1" outlineLevel="1"/>
    <col min="63" max="63" width="11" hidden="1" customWidth="1" outlineLevel="1"/>
    <col min="64" max="98" width="9" hidden="1" customWidth="1" outlineLevel="1"/>
    <col min="99" max="99" width="7.85546875" hidden="1" customWidth="1" outlineLevel="1"/>
    <col min="100" max="100" width="7.28515625" customWidth="1" collapsed="1"/>
    <col min="101" max="101" width="7.28515625" customWidth="1"/>
    <col min="102" max="102" width="11.5703125" customWidth="1"/>
    <col min="103" max="104" width="7.28515625" customWidth="1"/>
    <col min="105" max="105" width="11" customWidth="1"/>
    <col min="106" max="107" width="7.28515625" customWidth="1"/>
    <col min="108" max="108" width="12.28515625" customWidth="1"/>
    <col min="109" max="110" width="7.28515625" customWidth="1"/>
    <col min="111" max="111" width="15" customWidth="1"/>
    <col min="112" max="113" width="7.28515625" customWidth="1"/>
    <col min="114" max="114" width="12.28515625" customWidth="1"/>
    <col min="115" max="115" width="10" customWidth="1"/>
    <col min="116" max="122" width="7.28515625" customWidth="1"/>
    <col min="123" max="123" width="16.5703125" customWidth="1"/>
    <col min="124" max="124" width="9.5703125" customWidth="1"/>
  </cols>
  <sheetData>
    <row r="1" spans="2:123" ht="33.950000000000003" customHeight="1" x14ac:dyDescent="0.45">
      <c r="B1" s="121" t="s">
        <v>484</v>
      </c>
    </row>
    <row r="2" spans="2:123" x14ac:dyDescent="0.25">
      <c r="B2" s="122" t="str">
        <f ca="1">"Stock position as of "&amp;TEXT('Item Purchases'!H1,"dd mmm yyyy")&amp;"   |   purchase horizon to "&amp;TEXT('Item Purchases'!J1,"dd mmm yyyy")&amp;"   |   data checks: "&amp;'Accuracy Check'!$B$15&amp;"   |   forecasts to review: "&amp;(COUNTIF('Accuracy Check'!$S$28:$S$54,"DRIFTING")+COUNTIF('Accuracy Check'!$S$28:$S$54,"POOR"))</f>
        <v>Stock position as of 30 Sep 2026   |   purchase horizon to 31 Oct 2026   |   data checks: 9 of 9 checks passed   |   forecasts to review: 14</v>
      </c>
    </row>
    <row r="3" spans="2:123" ht="21.95" customHeight="1" x14ac:dyDescent="0.25">
      <c r="B3" s="123" t="s">
        <v>0</v>
      </c>
      <c r="C3" s="123"/>
      <c r="D3" s="123"/>
      <c r="E3" s="123"/>
      <c r="F3" s="123"/>
      <c r="G3" s="123"/>
      <c r="H3" s="123"/>
      <c r="I3" s="123"/>
      <c r="J3" s="123"/>
      <c r="K3" s="123"/>
      <c r="L3" s="123"/>
      <c r="M3" s="123"/>
      <c r="N3" s="123"/>
      <c r="O3" s="123"/>
      <c r="P3" s="123"/>
      <c r="Q3" s="123"/>
      <c r="R3" s="123"/>
      <c r="S3" s="123"/>
      <c r="T3" s="123"/>
      <c r="U3" s="123"/>
      <c r="V3" s="123"/>
      <c r="W3" s="123"/>
      <c r="X3" s="123"/>
      <c r="Y3" s="123"/>
    </row>
    <row r="4" spans="2:123" ht="18" customHeight="1" x14ac:dyDescent="0.25">
      <c r="B4" s="339" t="s">
        <v>1</v>
      </c>
      <c r="C4" s="339"/>
      <c r="D4" s="339"/>
      <c r="E4" s="339" t="s">
        <v>2</v>
      </c>
      <c r="F4" s="339"/>
      <c r="G4" s="339"/>
      <c r="H4" s="339" t="s">
        <v>313</v>
      </c>
      <c r="I4" s="339"/>
      <c r="J4" s="339"/>
      <c r="K4" s="339" t="s">
        <v>3</v>
      </c>
      <c r="L4" s="339"/>
      <c r="M4" s="339"/>
      <c r="N4" s="339" t="s">
        <v>4</v>
      </c>
      <c r="O4" s="339"/>
      <c r="P4" s="339"/>
      <c r="Q4" s="339" t="s">
        <v>5</v>
      </c>
      <c r="R4" s="339"/>
      <c r="S4" s="339"/>
      <c r="T4" s="339"/>
      <c r="U4" s="339" t="s">
        <v>6</v>
      </c>
      <c r="V4" s="339"/>
      <c r="W4" s="339"/>
      <c r="X4" s="339"/>
      <c r="Y4" s="339"/>
    </row>
    <row r="5" spans="2:123" ht="30" customHeight="1" x14ac:dyDescent="0.25">
      <c r="B5" s="374" t="s">
        <v>7</v>
      </c>
      <c r="C5" s="375"/>
      <c r="D5" s="376"/>
      <c r="E5" s="374" t="s">
        <v>7</v>
      </c>
      <c r="F5" s="375"/>
      <c r="G5" s="376"/>
      <c r="H5" s="374" t="s">
        <v>7</v>
      </c>
      <c r="I5" s="375"/>
      <c r="J5" s="376"/>
      <c r="K5" s="381" t="s">
        <v>7</v>
      </c>
      <c r="L5" s="375"/>
      <c r="M5" s="376"/>
      <c r="N5" s="374" t="s">
        <v>7</v>
      </c>
      <c r="O5" s="375"/>
      <c r="P5" s="376"/>
      <c r="Q5" s="374" t="s">
        <v>7</v>
      </c>
      <c r="R5" s="375"/>
      <c r="S5" s="375"/>
      <c r="T5" s="376"/>
      <c r="U5" s="374" t="s">
        <v>7</v>
      </c>
      <c r="V5" s="375"/>
      <c r="W5" s="375"/>
      <c r="X5" s="375"/>
      <c r="Y5" s="376"/>
    </row>
    <row r="6" spans="2:123" ht="15.95" customHeight="1" x14ac:dyDescent="0.25">
      <c r="B6" s="164" t="s">
        <v>8</v>
      </c>
    </row>
    <row r="7" spans="2:123" ht="21.95" customHeight="1" x14ac:dyDescent="0.25">
      <c r="B7" s="386" t="s">
        <v>314</v>
      </c>
      <c r="C7" s="386"/>
      <c r="D7" s="386"/>
      <c r="E7" s="386"/>
      <c r="F7" s="386"/>
      <c r="G7" s="386"/>
      <c r="H7" s="386"/>
      <c r="I7" s="386"/>
      <c r="J7" s="386"/>
      <c r="K7" s="386"/>
      <c r="L7" s="386"/>
      <c r="M7" s="386"/>
      <c r="N7" s="386"/>
      <c r="O7" s="386"/>
      <c r="P7" s="386"/>
      <c r="Q7" s="386"/>
      <c r="R7" s="386"/>
      <c r="S7" s="386"/>
      <c r="T7" s="386"/>
      <c r="U7" s="386"/>
      <c r="V7" s="386"/>
      <c r="W7" s="386"/>
      <c r="X7" s="386"/>
      <c r="Y7" s="386"/>
      <c r="AA7" s="333"/>
      <c r="CV7" s="385" t="s">
        <v>315</v>
      </c>
      <c r="CW7" s="385"/>
      <c r="CX7" s="385"/>
      <c r="CY7" s="385"/>
      <c r="CZ7" s="385"/>
      <c r="DA7" s="385"/>
      <c r="DB7" s="385"/>
      <c r="DC7" s="385"/>
      <c r="DD7" s="385"/>
      <c r="DE7" s="385"/>
      <c r="DF7" s="385"/>
      <c r="DG7" s="385"/>
      <c r="DH7" s="385"/>
      <c r="DI7" s="385"/>
      <c r="DJ7" s="385"/>
      <c r="DK7" s="385"/>
      <c r="DL7" s="385"/>
      <c r="DM7" s="385"/>
      <c r="DN7" s="385"/>
      <c r="DO7" s="385"/>
      <c r="DP7" s="385"/>
      <c r="DQ7" s="385"/>
      <c r="DR7" s="385"/>
      <c r="DS7" s="385"/>
    </row>
    <row r="8" spans="2:123" ht="20.100000000000001" customHeight="1" x14ac:dyDescent="0.25">
      <c r="B8" s="339" t="s">
        <v>9</v>
      </c>
      <c r="C8" s="339"/>
      <c r="D8" s="377" t="s">
        <v>10</v>
      </c>
      <c r="E8" s="377"/>
      <c r="F8" s="373" t="s">
        <v>11</v>
      </c>
      <c r="G8" s="373"/>
      <c r="H8" s="378" t="s">
        <v>12</v>
      </c>
      <c r="I8" s="378"/>
      <c r="J8" s="379" t="s">
        <v>13</v>
      </c>
      <c r="K8" s="379"/>
      <c r="L8" s="371" t="s">
        <v>14</v>
      </c>
      <c r="M8" s="371"/>
      <c r="N8" s="372" t="s">
        <v>15</v>
      </c>
      <c r="O8" s="372"/>
      <c r="P8" s="339" t="s">
        <v>16</v>
      </c>
      <c r="Q8" s="339"/>
      <c r="R8" s="339" t="s">
        <v>17</v>
      </c>
      <c r="S8" s="339"/>
      <c r="T8" s="339" t="s">
        <v>18</v>
      </c>
      <c r="U8" s="339"/>
      <c r="V8" s="339" t="s">
        <v>19</v>
      </c>
      <c r="W8" s="339"/>
      <c r="X8" s="339" t="s">
        <v>20</v>
      </c>
      <c r="Y8" s="339"/>
      <c r="AA8" s="333"/>
      <c r="CV8" s="339" t="s">
        <v>316</v>
      </c>
      <c r="CW8" s="339"/>
      <c r="CX8" s="339"/>
      <c r="CY8" s="339" t="s">
        <v>317</v>
      </c>
      <c r="CZ8" s="339"/>
      <c r="DA8" s="339"/>
      <c r="DB8" s="339" t="s">
        <v>318</v>
      </c>
      <c r="DC8" s="339"/>
      <c r="DD8" s="339"/>
      <c r="DE8" s="339" t="s">
        <v>319</v>
      </c>
      <c r="DF8" s="339"/>
      <c r="DG8" s="339"/>
      <c r="DH8" s="339" t="s">
        <v>320</v>
      </c>
      <c r="DI8" s="339"/>
      <c r="DJ8" s="339"/>
      <c r="DK8" s="339" t="s">
        <v>321</v>
      </c>
      <c r="DL8" s="339"/>
      <c r="DM8" s="339"/>
      <c r="DN8" s="339" t="s">
        <v>322</v>
      </c>
      <c r="DO8" s="339"/>
      <c r="DP8" s="339"/>
      <c r="DQ8" s="339" t="s">
        <v>323</v>
      </c>
      <c r="DR8" s="339"/>
      <c r="DS8" s="339"/>
    </row>
    <row r="9" spans="2:123" ht="42" customHeight="1" x14ac:dyDescent="0.25">
      <c r="B9" s="353">
        <f>COUNTIFS('Item Purchases'!$W$4:$W$30,1)</f>
        <v>26</v>
      </c>
      <c r="C9" s="353"/>
      <c r="D9" s="380">
        <f>COUNTIFS('Item Purchases'!$M$4:$M$30,"OUT OF STOCK",'Item Purchases'!$W$4:$W$30,1)</f>
        <v>2</v>
      </c>
      <c r="E9" s="380"/>
      <c r="F9" s="366">
        <f>COUNTIFS('Item Purchases'!$M$4:$M$30,"CRITICAL",'Item Purchases'!$W$4:$W$30,1)</f>
        <v>4</v>
      </c>
      <c r="G9" s="366"/>
      <c r="H9" s="367">
        <f>COUNTIFS('Item Purchases'!$M$4:$M$30,"LOW",'Item Purchases'!$W$4:$W$30,1)</f>
        <v>7</v>
      </c>
      <c r="I9" s="367"/>
      <c r="J9" s="368">
        <f>COUNTIFS('Item Purchases'!$M$4:$M$30,"WATCH",'Item Purchases'!$W$4:$W$30,1)</f>
        <v>6</v>
      </c>
      <c r="K9" s="368"/>
      <c r="L9" s="356">
        <f>COUNTIFS('Item Purchases'!$M$4:$M$30,"HEALTHY",'Item Purchases'!$W$4:$W$30,1)</f>
        <v>4</v>
      </c>
      <c r="M9" s="356"/>
      <c r="N9" s="357">
        <f>COUNTIFS('Item Purchases'!$M$4:$M$30,"NO USAGE",'Item Purchases'!$W$4:$W$30,1)</f>
        <v>3</v>
      </c>
      <c r="O9" s="357"/>
      <c r="P9" s="353">
        <f ca="1">COUNTIFS('Item Purchases'!$O$4:$O$30,"&gt;0",'Item Purchases'!$W$4:$W$30,1)</f>
        <v>22</v>
      </c>
      <c r="Q9" s="353"/>
      <c r="R9" s="340">
        <f ca="1">SUMIFS('Item Purchases'!$O$4:$O$30,'Item Purchases'!$W$4:$W$30,1)</f>
        <v>354</v>
      </c>
      <c r="S9" s="340"/>
      <c r="T9" s="340">
        <f ca="1">SUMIFS('Item Purchases'!$R$4:$R$30,'Item Purchases'!$W$4:$W$30,1)</f>
        <v>9575.518</v>
      </c>
      <c r="U9" s="340"/>
      <c r="V9" s="365">
        <f>IF(SUMPRODUCT(ISNUMBER('Storehouse Replenishment Schedu'!$CS$4:$CS$30)*('Item Purchases'!$W$4:$W$30=1))=0,"n/a",SUMPRODUCT(('Storehouse Replenishment Schedu'!$CU$4:$CU$30="TALLY")*('Item Purchases'!$W$4:$W$30=1))/SUMPRODUCT(ISNUMBER('Storehouse Replenishment Schedu'!$CS$4:$CS$30)*('Item Purchases'!$W$4:$W$30=1)))</f>
        <v>1</v>
      </c>
      <c r="W9" s="365"/>
      <c r="X9" s="353">
        <f>SUMPRODUCT(('Storehouse Replenishment Schedu'!$CU$4:$CU$30="MISMATCH")*('Item Purchases'!$W$4:$W$30=1))</f>
        <v>0</v>
      </c>
      <c r="Y9" s="353"/>
      <c r="AA9" s="333"/>
      <c r="CV9" s="340">
        <f>SUMPRODUCT('Storehouse Replenishment Schedu'!$CR$4:$CR$30*('Item Purchases'!$W$4:$W$30=1))</f>
        <v>1589</v>
      </c>
      <c r="CW9" s="340"/>
      <c r="CX9" s="340"/>
      <c r="CY9" s="340">
        <f>SUMPRODUCT('Storehouse Replenishment Schedu'!$CP$4:$CP$30*('Item Purchases'!$W$4:$W$30=1))</f>
        <v>5569</v>
      </c>
      <c r="CZ9" s="340"/>
      <c r="DA9" s="340"/>
      <c r="DB9" s="353">
        <f>SUMPRODUCT('Storehouse Replenishment Schedu'!$CX$4:$CX$30*('Item Purchases'!$W$4:$W$30=1))</f>
        <v>2</v>
      </c>
      <c r="DC9" s="353"/>
      <c r="DD9" s="353"/>
      <c r="DE9" s="340">
        <f>CY9-DB9</f>
        <v>5567</v>
      </c>
      <c r="DF9" s="340"/>
      <c r="DG9" s="340"/>
      <c r="DH9" s="340">
        <f>SUMPRODUCT('Storehouse Replenishment Schedu'!$CQ$4:$CQ$30*('Item Purchases'!$W$4:$W$30=1))</f>
        <v>6046</v>
      </c>
      <c r="DI9" s="340"/>
      <c r="DJ9" s="340"/>
      <c r="DK9" s="353">
        <f>SUMPRODUCT(($BN$17:$BN$43=1)*($BO$17:$BO$43&lt;=0))</f>
        <v>10</v>
      </c>
      <c r="DL9" s="353"/>
      <c r="DM9" s="353"/>
      <c r="DN9" s="351">
        <f>IF(SUMPRODUCT(($BN$17:$BN$43=1)*$BQ$17:$BQ$43)=0,"n/a",SUMPRODUCT(($BN$17:$BN$43=1)*$BO$17:$BO$43)/SUMPRODUCT(($BN$17:$BN$43=1)*$BQ$17:$BQ$43))</f>
        <v>4.9203527200189932</v>
      </c>
      <c r="DO9" s="351"/>
      <c r="DP9" s="351"/>
      <c r="DQ9" s="353">
        <f>SUMPRODUCT(ABS($BW$17:$BW$43)*('Item Purchases'!$W$4:$W$30=1))</f>
        <v>0</v>
      </c>
      <c r="DR9" s="353"/>
      <c r="DS9" s="353"/>
    </row>
    <row r="10" spans="2:123" ht="6" customHeight="1" x14ac:dyDescent="0.25">
      <c r="AA10" s="333"/>
    </row>
    <row r="11" spans="2:123" ht="21.95" customHeight="1" x14ac:dyDescent="0.25">
      <c r="B11" s="123" t="s">
        <v>21</v>
      </c>
      <c r="C11" s="123"/>
      <c r="D11" s="123"/>
      <c r="E11" s="123"/>
      <c r="F11" s="123"/>
      <c r="G11" s="123"/>
      <c r="H11" s="123"/>
      <c r="I11" s="123"/>
      <c r="J11" s="123"/>
      <c r="K11" s="123"/>
      <c r="L11" s="123"/>
      <c r="M11" s="123"/>
      <c r="N11" s="123"/>
      <c r="O11" s="123"/>
      <c r="P11" s="123"/>
      <c r="Q11" s="123"/>
      <c r="R11" s="123" t="s">
        <v>22</v>
      </c>
      <c r="S11" s="123"/>
      <c r="T11" s="123"/>
      <c r="U11" s="123"/>
      <c r="V11" s="123"/>
      <c r="W11" s="123"/>
      <c r="X11" s="123"/>
      <c r="Y11" s="123"/>
      <c r="AA11" s="333"/>
      <c r="CV11" s="385" t="s">
        <v>324</v>
      </c>
      <c r="CW11" s="385"/>
      <c r="CX11" s="385"/>
      <c r="CY11" s="385"/>
      <c r="CZ11" s="385"/>
      <c r="DA11" s="385"/>
      <c r="DB11" s="385"/>
      <c r="DC11" s="385"/>
      <c r="DD11" s="385"/>
      <c r="DE11" s="385"/>
      <c r="DF11" s="385"/>
      <c r="DG11" s="385"/>
      <c r="DH11" s="385"/>
      <c r="DI11" s="385"/>
      <c r="DJ11" s="385"/>
      <c r="DK11" s="385"/>
      <c r="DL11" s="385"/>
      <c r="DM11" s="385"/>
      <c r="DN11" s="385"/>
      <c r="DO11" s="385"/>
      <c r="DP11" s="385"/>
      <c r="DQ11" s="385"/>
      <c r="DR11" s="385"/>
      <c r="DS11" s="385"/>
    </row>
    <row r="12" spans="2:123" ht="15" customHeight="1" x14ac:dyDescent="0.25">
      <c r="AA12" s="333"/>
      <c r="AB12" s="124" t="s">
        <v>23</v>
      </c>
    </row>
    <row r="13" spans="2:123" ht="15" customHeight="1" x14ac:dyDescent="0.25">
      <c r="AA13" s="333"/>
      <c r="AB13" s="125" t="s">
        <v>24</v>
      </c>
      <c r="AC13" s="126">
        <v>2</v>
      </c>
      <c r="AD13" s="127" t="s">
        <v>25</v>
      </c>
    </row>
    <row r="14" spans="2:123" ht="15" customHeight="1" x14ac:dyDescent="0.25">
      <c r="AA14" s="333"/>
      <c r="AH14" s="124" t="s">
        <v>26</v>
      </c>
    </row>
    <row r="15" spans="2:123" ht="15" customHeight="1" x14ac:dyDescent="0.25">
      <c r="AA15" s="333"/>
      <c r="AB15" s="128" t="s">
        <v>27</v>
      </c>
      <c r="BM15" s="165" t="s">
        <v>325</v>
      </c>
      <c r="CT15" s="165" t="s">
        <v>326</v>
      </c>
    </row>
    <row r="16" spans="2:123" ht="15" customHeight="1" x14ac:dyDescent="0.25">
      <c r="AA16" s="333"/>
      <c r="AB16" s="129" t="s">
        <v>28</v>
      </c>
      <c r="AC16" s="129" t="s">
        <v>29</v>
      </c>
      <c r="AD16" s="129" t="s">
        <v>30</v>
      </c>
      <c r="AE16" s="129" t="s">
        <v>31</v>
      </c>
      <c r="AF16" s="129" t="s">
        <v>32</v>
      </c>
      <c r="AH16" s="129" t="s">
        <v>33</v>
      </c>
      <c r="AI16" s="129" t="s">
        <v>29</v>
      </c>
      <c r="AJ16" s="129" t="s">
        <v>34</v>
      </c>
      <c r="AK16" s="129" t="s">
        <v>35</v>
      </c>
      <c r="AM16" s="129" t="s">
        <v>36</v>
      </c>
      <c r="AN16" s="129" t="s">
        <v>29</v>
      </c>
      <c r="AP16" s="129" t="s">
        <v>37</v>
      </c>
      <c r="AQ16" s="129" t="s">
        <v>29</v>
      </c>
      <c r="AR16" s="129" t="s">
        <v>38</v>
      </c>
      <c r="AT16" s="129" t="s">
        <v>37</v>
      </c>
      <c r="AU16" s="129" t="s">
        <v>39</v>
      </c>
      <c r="AV16" s="129" t="s">
        <v>38</v>
      </c>
      <c r="AW16" s="129" t="s">
        <v>40</v>
      </c>
      <c r="AX16" s="129" t="s">
        <v>41</v>
      </c>
      <c r="AY16" s="129" t="s">
        <v>42</v>
      </c>
      <c r="BA16" s="129" t="s">
        <v>38</v>
      </c>
      <c r="BB16" s="129" t="s">
        <v>43</v>
      </c>
      <c r="BC16" s="129" t="s">
        <v>39</v>
      </c>
      <c r="BD16" s="129" t="s">
        <v>44</v>
      </c>
      <c r="BF16" s="129" t="s">
        <v>42</v>
      </c>
      <c r="BG16" s="129" t="s">
        <v>45</v>
      </c>
      <c r="BH16" s="129" t="s">
        <v>46</v>
      </c>
      <c r="BJ16" s="129" t="s">
        <v>47</v>
      </c>
      <c r="BK16" s="129" t="s">
        <v>39</v>
      </c>
      <c r="BM16" s="165" t="s">
        <v>37</v>
      </c>
      <c r="BN16" s="165" t="s">
        <v>327</v>
      </c>
      <c r="BO16" s="165" t="s">
        <v>328</v>
      </c>
      <c r="BP16" s="165" t="s">
        <v>329</v>
      </c>
      <c r="BQ16" s="165" t="s">
        <v>330</v>
      </c>
      <c r="BR16" s="165" t="s">
        <v>331</v>
      </c>
      <c r="BS16" s="165" t="s">
        <v>332</v>
      </c>
      <c r="BT16" s="165" t="s">
        <v>333</v>
      </c>
      <c r="BU16" s="165" t="s">
        <v>334</v>
      </c>
      <c r="BV16" s="165" t="s">
        <v>335</v>
      </c>
      <c r="BW16" s="165" t="s">
        <v>336</v>
      </c>
      <c r="BX16" s="165" t="s">
        <v>337</v>
      </c>
      <c r="BY16" s="165" t="s">
        <v>338</v>
      </c>
      <c r="BZ16" s="165" t="s">
        <v>339</v>
      </c>
      <c r="CA16" s="165" t="s">
        <v>340</v>
      </c>
      <c r="CB16" s="165" t="s">
        <v>341</v>
      </c>
      <c r="CC16" s="165" t="s">
        <v>342</v>
      </c>
      <c r="CD16" s="165" t="s">
        <v>343</v>
      </c>
      <c r="CG16" s="165" t="s">
        <v>34</v>
      </c>
      <c r="CH16" s="165" t="s">
        <v>344</v>
      </c>
      <c r="CI16" s="165" t="s">
        <v>345</v>
      </c>
      <c r="CJ16" s="165" t="s">
        <v>346</v>
      </c>
      <c r="CK16" s="165" t="s">
        <v>347</v>
      </c>
      <c r="CL16" s="165" t="s">
        <v>348</v>
      </c>
      <c r="CM16" s="165" t="s">
        <v>349</v>
      </c>
      <c r="CP16" s="165" t="s">
        <v>350</v>
      </c>
      <c r="CQ16" s="165" t="s">
        <v>351</v>
      </c>
      <c r="CR16" s="165" t="s">
        <v>352</v>
      </c>
      <c r="CT16" s="165" t="s">
        <v>353</v>
      </c>
      <c r="CU16" s="165" t="s">
        <v>354</v>
      </c>
    </row>
    <row r="17" spans="2:123" ht="15" customHeight="1" x14ac:dyDescent="0.25">
      <c r="AA17" s="333"/>
      <c r="AB17" s="130" t="s">
        <v>48</v>
      </c>
      <c r="AC17" s="131">
        <f>SUMIFS('Daily Data'!$I$2:$I$1000,'Daily Data'!$F$2:$F$1000,$AB17,'Daily Data'!$N$2:$N$1000,1)</f>
        <v>807</v>
      </c>
      <c r="AD17" s="132">
        <f>IF($AC$21=0,100/2,AC17/$AC$21*100)</f>
        <v>47.526501766784449</v>
      </c>
      <c r="AE17" s="130" t="str">
        <f>AB17</f>
        <v>Sweet</v>
      </c>
      <c r="AF17" s="130">
        <f>$AC$24-$AC$13/2</f>
        <v>72.763250883392217</v>
      </c>
      <c r="AH17" s="165" t="str">
        <f t="shared" ref="AH17:AH41" si="0">IF(AJ17="","",TEXT(AJ17,"dd mmm"))</f>
        <v>01 Sep</v>
      </c>
      <c r="AI17" s="166">
        <f>IF(AJ17="","",SUMIFS('Daily Data'!$I$2:$I$1000,'Daily Data'!$A$2:$A$1000,AJ17,'Daily Data'!$M$2:$M$1000,1))</f>
        <v>283</v>
      </c>
      <c r="AJ17" s="167">
        <f>'Daily Data'!$R$3</f>
        <v>46266</v>
      </c>
      <c r="AK17" s="168">
        <f>IF(AJ17="","",COUNTIFS('Daily Data'!$A$2:$A$1000,AJ17,'Daily Data'!$M$2:$M$1000,1,'Daily Data'!$L$2:$L$1000,1))</f>
        <v>25</v>
      </c>
      <c r="AM17" s="165" t="s">
        <v>49</v>
      </c>
      <c r="AN17" s="166">
        <f>SUMIFS('Daily Data'!$I$2:$I$1000,'Daily Data'!$B$2:$B$1000,AM17,'Daily Data'!$M$2:$M$1000,1)</f>
        <v>1180</v>
      </c>
      <c r="AP17" s="165" t="str">
        <f>IF('Item Purchases'!$B$4="","",'Item Purchases'!$B$4)</f>
        <v>Julie's Peanut Butter Sandwich 360g (12pkts x 30g)</v>
      </c>
      <c r="AQ17" s="166">
        <f>IF(AP17="","",SUMIFS('Daily Data'!$I$2:$I$1000,'Daily Data'!$E$2:$E$1000,AP17,'Daily Data'!$M$2:$M$1000,1))</f>
        <v>197</v>
      </c>
      <c r="AR17" s="168">
        <f>IF(AP17="","",SUMPRODUCT(ISNUMBER($AQ$17:$AQ$43)*($AQ$17:$AQ$43&gt;AQ17))+SUMPRODUCT(ISNUMBER($AQ$17:AQ17)*($AQ$17:AQ17=AQ17)))</f>
        <v>13</v>
      </c>
      <c r="AT17" s="165" t="str">
        <f t="shared" ref="AT17:AT43" si="1">AP17</f>
        <v>Julie's Peanut Butter Sandwich 360g (12pkts x 30g)</v>
      </c>
      <c r="AU17" s="169">
        <f>IF(AT17="","",SUMIFS('Daily Data'!$K$2:$K$1000,'Daily Data'!$E$2:$E$1000,AT17,'Daily Data'!$M$2:$M$1000,1))</f>
        <v>213.351</v>
      </c>
      <c r="AV17" s="168">
        <f>IF(OR(AT17="",N(AU17)&lt;=0),"",SUMPRODUCT(ISNUMBER($AU$17:$AU$43)*($AU$17:$AU$43&gt;AU17))+SUMPRODUCT(ISNUMBER($AU$17:AU17)*($AU$17:AU17=AU17)))</f>
        <v>14</v>
      </c>
      <c r="AW17" s="170">
        <f t="shared" ref="AW17:AW43" si="2">IF(AV17="","",AU17/$AU$45)</f>
        <v>2.0733446483226493E-2</v>
      </c>
      <c r="AX17" s="170">
        <f t="shared" ref="AX17:AX43" si="3">IF(AV17="","",SUMIFS($AU$17:$AU$43,$AV$17:$AV$43,"&lt;"&amp;AV17)/$AU$45)</f>
        <v>0.86752356736054792</v>
      </c>
      <c r="AY17" s="165" t="str">
        <f>IF(AT17="","",IF(AV17="","-",IF(AX17&lt;'Item Purchases'!$E$49,"A",IF(AX17&lt;'Item Purchases'!$E$50,"B","C"))))</f>
        <v>B</v>
      </c>
      <c r="BA17" s="165">
        <v>1</v>
      </c>
      <c r="BB17" s="165" t="str">
        <f>IFERROR(LEFT(INDEX($AT$17:$AT$43,MATCH(1,$AV$17:$AV$43,0)),20),"")</f>
        <v>Lays Double Crunch -</v>
      </c>
      <c r="BC17" s="169">
        <f>IFERROR(INDEX($AU$17:$AU$43,MATCH(1,$AV$17:$AV$43,0)),0)</f>
        <v>1260</v>
      </c>
      <c r="BD17" s="170">
        <f>IF($AU$45=0,0,IFERROR(INDEX($AX$17:$AX$43,MATCH(1,$AV$17:$AV$43,0))+INDEX($AW$17:$AW$43,MATCH(1,$AV$17:$AV$43,0)),1))</f>
        <v>0.12244677816773945</v>
      </c>
      <c r="BF17" s="165" t="s">
        <v>50</v>
      </c>
      <c r="BG17" s="168">
        <f>COUNTIF($AY$17:$AY$43,BF17)</f>
        <v>11</v>
      </c>
      <c r="BH17" s="170">
        <f>IF($AU$45=0,0,SUMIFS($AU$17:$AU$43,$AY$17:$AY$43,BF17)/$AU$45)</f>
        <v>0.80748285866580649</v>
      </c>
      <c r="BJ17" s="165" t="str">
        <f>IF(1&gt;$BG$17,"",INDEX($AT$17:$AT$43,MATCH(1,$AV$17:$AV$43,0)))</f>
        <v xml:space="preserve">Lays Double Crunch - Seaweed Flav (50g) </v>
      </c>
      <c r="BK17" s="169">
        <f>IF(1&gt;$BG$17,"",INDEX($AU$17:$AU$43,MATCH(1,$AV$17:$AV$43,0)))</f>
        <v>1260</v>
      </c>
      <c r="BM17" s="165" t="str">
        <f>IF('Item Purchases'!$B4="","",'Item Purchases'!$B4)</f>
        <v>Julie's Peanut Butter Sandwich 360g (12pkts x 30g)</v>
      </c>
      <c r="BN17" s="165">
        <f>IF(AND(BM17&lt;&gt;"",'Item Purchases'!$W4=1,'Item Purchases'!$AN4&lt;&gt;"Discontinued",N('Item Purchases'!$C4)&gt;0),1,0)</f>
        <v>1</v>
      </c>
      <c r="BO17" s="165">
        <f>N('Storehouse Replenishment Schedu'!$CR4)</f>
        <v>48</v>
      </c>
      <c r="BP17" s="165">
        <f>N('Item Purchases'!$E4)</f>
        <v>36</v>
      </c>
      <c r="BQ17" s="165">
        <f>N('Item Purchases'!$C4)</f>
        <v>8.954545454545455</v>
      </c>
      <c r="BR17" s="165">
        <f t="shared" ref="BR17:BR43" si="4">IF(BN17=1,BO17/BQ17,"")</f>
        <v>5.3604060913705585</v>
      </c>
      <c r="BS17" s="165">
        <f t="shared" ref="BS17:BS43" si="5">IF(BN17=1,(BO17+BP17)/BQ17,"")</f>
        <v>9.380710659898476</v>
      </c>
      <c r="BT17" s="165">
        <f t="shared" ref="BT17:BT43" si="6">IF(BN17=1,BP17/BQ17,"")</f>
        <v>4.0203045685279184</v>
      </c>
      <c r="BU17" s="165">
        <f>N('Storehouse Replenishment Schedu'!$CP4)</f>
        <v>192</v>
      </c>
      <c r="BV17" s="165">
        <f>IF(BM17="",0,SUMIFS('Daily Data'!$G$2:$G$1000,'Daily Data'!$E$2:$E$1000,BM17))</f>
        <v>192</v>
      </c>
      <c r="BW17" s="165">
        <f t="shared" ref="BW17:BW43" si="7">CC17-BV17</f>
        <v>0</v>
      </c>
      <c r="BX17" s="165" t="str">
        <f>IF(BN17&lt;&gt;1,"",IF(BO17&lt;=0,IF(BT17&lt;='Item Purchases'!$E$38,"EMPTY - ORDER NOW","EMPTY - PLAN ORDER"),IF(BR17&lt;='Item Purchases'!$E$51,"ORDER NOW",IF(BT17&lt;='Item Purchases'!$E$38,"TRANSFER TO PANTRY",IF(BR17&lt;='Item Purchases'!$E$39,"WATCH","OK")))))</f>
        <v>TRANSFER TO PANTRY</v>
      </c>
      <c r="BY17" s="165">
        <f>IF(BN17=1,SUMPRODUCT(($BN$17:$BN$43=1)*(($BR$17:$BR$43&lt;BR17)+($BR$17:$BR$43=BR17)*($BT$17:$BT$43&lt;BT17)))+SUMPRODUCT(($BN$17:$BN17=1)*($BR$17:$BR17=BR17)*($BT$17:$BT17=BT17)),"")</f>
        <v>15</v>
      </c>
      <c r="BZ17" s="165" t="str">
        <f>IF(CA17&gt;0,COUNTIF($CA$17:$CA$43,"&gt;"&amp;CA17)+COUNTIF($CA$17:CA17,CA17),"")</f>
        <v/>
      </c>
      <c r="CA17" s="165">
        <f>IF(AND(BM17&lt;&gt;"",'Item Purchases'!$W4=1),ABS(BW17)*1000+CB17,0)</f>
        <v>0</v>
      </c>
      <c r="CB17" s="165">
        <f>N('Storehouse Replenishment Schedu'!$CX4)</f>
        <v>0</v>
      </c>
      <c r="CC17" s="165">
        <f t="shared" ref="CC17:CC43" si="8">BU17-CB17</f>
        <v>192</v>
      </c>
      <c r="CD17" s="165" t="str">
        <f>IF('Storehouse Replenishment Schedu'!$CY4="","",'Storehouse Replenishment Schedu'!$CY4)</f>
        <v/>
      </c>
      <c r="CG17" s="166">
        <f>INDEX('Storehouse Replenishment Schedu'!$D$2:$CO$2,1,1)</f>
        <v>46266</v>
      </c>
      <c r="CH17" s="165" t="str">
        <f t="shared" ref="CH17:CH46" si="9">IF(CG17="","",TEXT(CG17,"dd mmm"))</f>
        <v>01 Sep</v>
      </c>
      <c r="CI17" s="165">
        <f>SUMPRODUCT(INDEX('Storehouse Replenishment Schedu'!$D$4:$CO$30,0,1)*('Item Purchases'!$W$4:$W$30=1))</f>
        <v>267</v>
      </c>
      <c r="CJ17" s="165">
        <f>SUMPRODUCT(INDEX('Storehouse Replenishment Schedu'!$D$4:$CO$30,0,2)*('Item Purchases'!$W$4:$W$30=1))</f>
        <v>89</v>
      </c>
      <c r="CK17" s="165">
        <f>IF(CG17="",0,SUMIFS('Daily Data'!$G$2:$G$1000,'Daily Data'!$A$2:$A$1000,CG17))</f>
        <v>267</v>
      </c>
      <c r="CL17" s="165">
        <f>SUMPRODUCT(INDEX('Storehouse Replenishment Schedu'!$D$4:$CO$30,0,1))-CK17</f>
        <v>0</v>
      </c>
      <c r="CM17" s="165">
        <f t="shared" ref="CM17:CM46" si="10">ABS(CL17)</f>
        <v>0</v>
      </c>
      <c r="CP17" s="165" t="s">
        <v>48</v>
      </c>
      <c r="CQ17" s="165">
        <f>SUMPRODUCT(('Item Purchases'!$S$4:$S$30=CP17)*('Item Purchases'!$W$4:$W$30=1)*'Storehouse Replenishment Schedu'!$CR$4:$CR$30)</f>
        <v>88</v>
      </c>
      <c r="CR17" s="165">
        <f>SUMPRODUCT(('Item Purchases'!$S$4:$S$30=CP17)*('Item Purchases'!$W$4:$W$30=1)*'Item Purchases'!$E$4:$E$30)</f>
        <v>138</v>
      </c>
      <c r="CT17" s="165">
        <f>IF(AND(BM17&lt;&gt;"",'Item Purchases'!$W4=1,ISNUMBER('Item Purchases'!$AQ4),'Item Purchases'!$AS4&lt;&gt;"DISCONTINUED",'Item Purchases'!$AS4&lt;&gt;"NEED MORE DATA"),1,0)</f>
        <v>1</v>
      </c>
      <c r="CU17" s="165">
        <f>IF(CT17=1,SUMPRODUCT(($CT$17:$CT$43=1)*('Item Purchases'!$AQ$4:$AQ$30&lt;'Item Purchases'!$AQ4))+SUMPRODUCT(($CT$17:$CT17=1)*('Item Purchases'!$AQ$4:$AQ4='Item Purchases'!$AQ4)),"")</f>
        <v>13</v>
      </c>
    </row>
    <row r="18" spans="2:123" ht="15" customHeight="1" x14ac:dyDescent="0.25">
      <c r="AA18" s="333"/>
      <c r="AB18" s="130" t="s">
        <v>51</v>
      </c>
      <c r="AC18" s="131">
        <f>SUMIFS('Daily Data'!$I$2:$I$1000,'Daily Data'!$F$2:$F$1000,$AB18,'Daily Data'!$N$2:$N$1000,1)</f>
        <v>891</v>
      </c>
      <c r="AD18" s="132">
        <f>IF($AC$21=0,100/2,AC18/$AC$21*100)</f>
        <v>52.473498233215544</v>
      </c>
      <c r="AE18" s="130" t="str">
        <f>AB18</f>
        <v>Savoury</v>
      </c>
      <c r="AF18" s="130">
        <f>$AC$13</f>
        <v>2</v>
      </c>
      <c r="AH18" s="165" t="str">
        <f t="shared" si="0"/>
        <v>02 Sep</v>
      </c>
      <c r="AI18" s="166">
        <f>IF(AJ18="","",SUMIFS('Daily Data'!$I$2:$I$1000,'Daily Data'!$A$2:$A$1000,AJ18,'Daily Data'!$M$2:$M$1000,1))</f>
        <v>273</v>
      </c>
      <c r="AJ18" s="167">
        <f>'Daily Data'!$R$4</f>
        <v>46267</v>
      </c>
      <c r="AK18" s="168">
        <f>IF(AJ18="","",COUNTIFS('Daily Data'!$A$2:$A$1000,AJ18,'Daily Data'!$M$2:$M$1000,1,'Daily Data'!$L$2:$L$1000,1))</f>
        <v>25</v>
      </c>
      <c r="AM18" s="165" t="s">
        <v>52</v>
      </c>
      <c r="AN18" s="166">
        <f>SUMIFS('Daily Data'!$I$2:$I$1000,'Daily Data'!$B$2:$B$1000,AM18,'Daily Data'!$M$2:$M$1000,1)</f>
        <v>1146</v>
      </c>
      <c r="AP18" s="165" t="str">
        <f>IF('Item Purchases'!$B$5="","",'Item Purchases'!$B$5)</f>
        <v>Julies Butter Waffles</v>
      </c>
      <c r="AQ18" s="166">
        <f>IF(AP18="","",SUMIFS('Daily Data'!$I$2:$I$1000,'Daily Data'!$E$2:$E$1000,AP18,'Daily Data'!$M$2:$M$1000,1))</f>
        <v>32</v>
      </c>
      <c r="AR18" s="168">
        <f>IF(AP18="","",SUMPRODUCT(ISNUMBER($AQ$17:$AQ$43)*($AQ$17:$AQ$43&gt;AQ18))+SUMPRODUCT(ISNUMBER($AQ$17:AQ18)*($AQ$17:AQ18=AQ18)))</f>
        <v>22</v>
      </c>
      <c r="AT18" s="165" t="str">
        <f t="shared" si="1"/>
        <v>Julies Butter Waffles</v>
      </c>
      <c r="AU18" s="169">
        <f>IF(AT18="","",SUMIFS('Daily Data'!$K$2:$K$1000,'Daily Data'!$E$2:$E$1000,AT18,'Daily Data'!$M$2:$M$1000,1))</f>
        <v>164.80000000000004</v>
      </c>
      <c r="AV18" s="168">
        <f>IF(OR(AT18="",N(AU18)&lt;=0),"",SUMPRODUCT(ISNUMBER($AU$17:$AU$43)*($AU$17:$AU$43&gt;AU18))+SUMPRODUCT(ISNUMBER($AU$17:AU18)*($AU$17:AU18=AU18)))</f>
        <v>16</v>
      </c>
      <c r="AW18" s="170">
        <f t="shared" si="2"/>
        <v>1.6015261144478942E-2</v>
      </c>
      <c r="AX18" s="170">
        <f t="shared" si="3"/>
        <v>0.90847530923885234</v>
      </c>
      <c r="AY18" s="165" t="str">
        <f>IF(AT18="","",IF(AV18="","-",IF(AX18&lt;'Item Purchases'!$E$49,"A",IF(AX18&lt;'Item Purchases'!$E$50,"B","C"))))</f>
        <v>B</v>
      </c>
      <c r="BA18" s="165">
        <v>2</v>
      </c>
      <c r="BB18" s="165" t="str">
        <f>IFERROR(LEFT(INDEX($AT$17:$AT$43,MATCH(2,$AV$17:$AV$43,0)),20),"")</f>
        <v>COWA Coconut Water 3</v>
      </c>
      <c r="BC18" s="169">
        <f>IFERROR(INDEX($AU$17:$AU$43,MATCH(2,$AV$17:$AV$43,0)),0)</f>
        <v>1248</v>
      </c>
      <c r="BD18" s="170">
        <f>IF($AU$45=0,0,IFERROR(INDEX($AX$17:$AX$43,MATCH(2,$AV$17:$AV$43,0))+INDEX($AW$17:$AW$43,MATCH(2,$AV$17:$AV$43,0)),1))</f>
        <v>0.24372739654340519</v>
      </c>
      <c r="BF18" s="165" t="s">
        <v>53</v>
      </c>
      <c r="BG18" s="168">
        <f>COUNTIF($AY$17:$AY$43,BF18)</f>
        <v>7</v>
      </c>
      <c r="BH18" s="170">
        <f>IF($AU$45=0,0,SUMIFS($AU$17:$AU$43,$AY$17:$AY$43,BF18)/$AU$45)</f>
        <v>0.14419016762089315</v>
      </c>
      <c r="BJ18" s="165" t="str">
        <f>IF(2&gt;$BG$17,"",INDEX($AT$17:$AT$43,MATCH(2,$AV$17:$AV$43,0)))</f>
        <v>COWA Coconut Water 330 ml</v>
      </c>
      <c r="BK18" s="169">
        <f>IF(2&gt;$BG$17,"",INDEX($AU$17:$AU$43,MATCH(2,$AV$17:$AV$43,0)))</f>
        <v>1248</v>
      </c>
      <c r="BM18" s="165" t="str">
        <f>IF('Item Purchases'!$B5="","",'Item Purchases'!$B5)</f>
        <v>Julies Butter Waffles</v>
      </c>
      <c r="BN18" s="165">
        <f>IF(AND(BM18&lt;&gt;"",'Item Purchases'!$W5=1,'Item Purchases'!$AN5&lt;&gt;"Discontinued",N('Item Purchases'!$C5)&gt;0),1,0)</f>
        <v>1</v>
      </c>
      <c r="BO18" s="165">
        <f>N('Storehouse Replenishment Schedu'!$CR5)</f>
        <v>0</v>
      </c>
      <c r="BP18" s="165">
        <f>N('Item Purchases'!$E5)</f>
        <v>0</v>
      </c>
      <c r="BQ18" s="165">
        <f>N('Item Purchases'!$C5)</f>
        <v>1.6842105263157894</v>
      </c>
      <c r="BR18" s="165">
        <f t="shared" si="4"/>
        <v>0</v>
      </c>
      <c r="BS18" s="165">
        <f t="shared" si="5"/>
        <v>0</v>
      </c>
      <c r="BT18" s="165">
        <f t="shared" si="6"/>
        <v>0</v>
      </c>
      <c r="BU18" s="165">
        <f>N('Storehouse Replenishment Schedu'!$CP5)</f>
        <v>20</v>
      </c>
      <c r="BV18" s="165">
        <f>IF(BM18="",0,SUMIFS('Daily Data'!$G$2:$G$1000,'Daily Data'!$E$2:$E$1000,BM18))</f>
        <v>20</v>
      </c>
      <c r="BW18" s="165">
        <f t="shared" si="7"/>
        <v>0</v>
      </c>
      <c r="BX18" s="165" t="str">
        <f>IF(BN18&lt;&gt;1,"",IF(BO18&lt;=0,IF(BT18&lt;='Item Purchases'!$E$38,"EMPTY - ORDER NOW","EMPTY - PLAN ORDER"),IF(BR18&lt;='Item Purchases'!$E$51,"ORDER NOW",IF(BT18&lt;='Item Purchases'!$E$38,"TRANSFER TO PANTRY",IF(BR18&lt;='Item Purchases'!$E$39,"WATCH","OK")))))</f>
        <v>EMPTY - ORDER NOW</v>
      </c>
      <c r="BY18" s="165">
        <f>IF(BN18=1,SUMPRODUCT(($BN$17:$BN$43=1)*(($BR$17:$BR$43&lt;BR18)+($BR$17:$BR$43=BR18)*($BT$17:$BT$43&lt;BT18)))+SUMPRODUCT(($BN$17:$BN18=1)*($BR$17:$BR18=BR18)*($BT$17:$BT18=BT18)),"")</f>
        <v>1</v>
      </c>
      <c r="BZ18" s="165" t="str">
        <f>IF(CA18&gt;0,COUNTIF($CA$17:$CA$43,"&gt;"&amp;CA18)+COUNTIF($CA$17:CA18,CA18),"")</f>
        <v/>
      </c>
      <c r="CA18" s="165">
        <f>IF(AND(BM18&lt;&gt;"",'Item Purchases'!$W5=1),ABS(BW18)*1000+CB18,0)</f>
        <v>0</v>
      </c>
      <c r="CB18" s="165">
        <f>N('Storehouse Replenishment Schedu'!$CX5)</f>
        <v>0</v>
      </c>
      <c r="CC18" s="165">
        <f t="shared" si="8"/>
        <v>20</v>
      </c>
      <c r="CD18" s="165" t="str">
        <f>IF('Storehouse Replenishment Schedu'!$CY5="","",'Storehouse Replenishment Schedu'!$CY5)</f>
        <v/>
      </c>
      <c r="CG18" s="166">
        <f>INDEX('Storehouse Replenishment Schedu'!$D$2:$CO$2,1,4)</f>
        <v>46267</v>
      </c>
      <c r="CH18" s="165" t="str">
        <f t="shared" si="9"/>
        <v>02 Sep</v>
      </c>
      <c r="CI18" s="165">
        <f>SUMPRODUCT(INDEX('Storehouse Replenishment Schedu'!$D$4:$CO$30,0,4)*('Item Purchases'!$W$4:$W$30=1))</f>
        <v>120</v>
      </c>
      <c r="CJ18" s="165">
        <f>SUMPRODUCT(INDEX('Storehouse Replenishment Schedu'!$D$4:$CO$30,0,5)*('Item Purchases'!$W$4:$W$30=1))</f>
        <v>0</v>
      </c>
      <c r="CK18" s="165">
        <f>IF(CG18="",0,SUMIFS('Daily Data'!$G$2:$G$1000,'Daily Data'!$A$2:$A$1000,CG18))</f>
        <v>120</v>
      </c>
      <c r="CL18" s="165">
        <f>SUMPRODUCT(INDEX('Storehouse Replenishment Schedu'!$D$4:$CO$30,0,4))-CK18</f>
        <v>0</v>
      </c>
      <c r="CM18" s="165">
        <f t="shared" si="10"/>
        <v>0</v>
      </c>
      <c r="CP18" s="165" t="s">
        <v>51</v>
      </c>
      <c r="CQ18" s="165">
        <f>SUMPRODUCT(('Item Purchases'!$S$4:$S$30=CP18)*('Item Purchases'!$W$4:$W$30=1)*'Storehouse Replenishment Schedu'!$CR$4:$CR$30)</f>
        <v>601</v>
      </c>
      <c r="CR18" s="165">
        <f>SUMPRODUCT(('Item Purchases'!$S$4:$S$30=CP18)*('Item Purchases'!$W$4:$W$30=1)*'Item Purchases'!$E$4:$E$30)</f>
        <v>171</v>
      </c>
      <c r="CT18" s="165">
        <f>IF(AND(BM18&lt;&gt;"",'Item Purchases'!$W5=1,ISNUMBER('Item Purchases'!$AQ5),'Item Purchases'!$AS5&lt;&gt;"DISCONTINUED",'Item Purchases'!$AS5&lt;&gt;"NEED MORE DATA"),1,0)</f>
        <v>1</v>
      </c>
      <c r="CU18" s="165">
        <f>IF(CT18=1,SUMPRODUCT(($CT$17:$CT$43=1)*('Item Purchases'!$AQ$4:$AQ$30&lt;'Item Purchases'!$AQ5))+SUMPRODUCT(($CT$17:$CT18=1)*('Item Purchases'!$AQ$4:$AQ5='Item Purchases'!$AQ5)),"")</f>
        <v>5</v>
      </c>
    </row>
    <row r="19" spans="2:123" ht="15" customHeight="1" x14ac:dyDescent="0.25">
      <c r="AA19" s="333"/>
      <c r="AB19" s="130" t="s">
        <v>54</v>
      </c>
      <c r="AC19" s="130"/>
      <c r="AD19" s="130">
        <v>100</v>
      </c>
      <c r="AE19" s="130" t="str">
        <f>IF($AC$21=0,"No consumption data yet",UPPER($AC$22)&amp;" leads · "&amp;TEXT(MAX($AD$17:$AD$18)/100,"0%")&amp;" of "&amp;TEXT($AC$21,"#,##0")&amp;" units")</f>
        <v>SAVOURY leads · 52% of 1,698 units</v>
      </c>
      <c r="AF19" s="130">
        <f>100-$AC$24-$AC$13/2</f>
        <v>25.236749116607783</v>
      </c>
      <c r="AH19" s="165" t="str">
        <f t="shared" si="0"/>
        <v>03 Sep</v>
      </c>
      <c r="AI19" s="166">
        <f>IF(AJ19="","",SUMIFS('Daily Data'!$I$2:$I$1000,'Daily Data'!$A$2:$A$1000,AJ19,'Daily Data'!$M$2:$M$1000,1))</f>
        <v>196</v>
      </c>
      <c r="AJ19" s="167">
        <f>'Daily Data'!$R$5</f>
        <v>46268</v>
      </c>
      <c r="AK19" s="168">
        <f>IF(AJ19="","",COUNTIFS('Daily Data'!$A$2:$A$1000,AJ19,'Daily Data'!$M$2:$M$1000,1,'Daily Data'!$L$2:$L$1000,1))</f>
        <v>25</v>
      </c>
      <c r="AM19" s="165" t="s">
        <v>55</v>
      </c>
      <c r="AN19" s="166">
        <f>SUMIFS('Daily Data'!$I$2:$I$1000,'Daily Data'!$B$2:$B$1000,AM19,'Daily Data'!$M$2:$M$1000,1)</f>
        <v>1083</v>
      </c>
      <c r="AP19" s="165" t="str">
        <f>IF('Item Purchases'!$B$6="","",'Item Purchases'!$B$6)</f>
        <v>Julies Choco More Sandwich (44G)</v>
      </c>
      <c r="AQ19" s="166">
        <f>IF(AP19="","",SUMIFS('Daily Data'!$I$2:$I$1000,'Daily Data'!$E$2:$E$1000,AP19,'Daily Data'!$M$2:$M$1000,1))</f>
        <v>100</v>
      </c>
      <c r="AR19" s="168">
        <f>IF(AP19="","",SUMPRODUCT(ISNUMBER($AQ$17:$AQ$43)*($AQ$17:$AQ$43&gt;AQ19))+SUMPRODUCT(ISNUMBER($AQ$17:AQ19)*($AQ$17:AQ19=AQ19)))</f>
        <v>18</v>
      </c>
      <c r="AT19" s="165" t="str">
        <f t="shared" si="1"/>
        <v>Julies Choco More Sandwich (44G)</v>
      </c>
      <c r="AU19" s="169">
        <f>IF(AT19="","",SUMIFS('Daily Data'!$K$2:$K$1000,'Daily Data'!$E$2:$E$1000,AT19,'Daily Data'!$M$2:$M$1000,1))</f>
        <v>120</v>
      </c>
      <c r="AV19" s="168">
        <f>IF(OR(AT19="",N(AU19)&lt;=0),"",SUMPRODUCT(ISNUMBER($AU$17:$AU$43)*($AU$17:$AU$43&gt;AU19))+SUMPRODUCT(ISNUMBER($AU$17:AU19)*($AU$17:AU19=AU19)))</f>
        <v>21</v>
      </c>
      <c r="AW19" s="170">
        <f t="shared" si="2"/>
        <v>1.1661597920737092E-2</v>
      </c>
      <c r="AX19" s="170">
        <f t="shared" si="3"/>
        <v>0.97665080851316088</v>
      </c>
      <c r="AY19" s="165" t="str">
        <f>IF(AT19="","",IF(AV19="","-",IF(AX19&lt;'Item Purchases'!$E$49,"A",IF(AX19&lt;'Item Purchases'!$E$50,"B","C"))))</f>
        <v>C</v>
      </c>
      <c r="BA19" s="165">
        <v>3</v>
      </c>
      <c r="BB19" s="165" t="str">
        <f>IFERROR(LEFT(INDEX($AT$17:$AT$43,MATCH(3,$AV$17:$AV$43,0)),20),"")</f>
        <v>Oat Side Chocolate 2</v>
      </c>
      <c r="BC19" s="169">
        <f>IFERROR(INDEX($AU$17:$AU$43,MATCH(3,$AV$17:$AV$43,0)),0)</f>
        <v>1149</v>
      </c>
      <c r="BD19" s="170">
        <f>IF($AU$45=0,0,IFERROR(INDEX($AX$17:$AX$43,MATCH(3,$AV$17:$AV$43,0))+INDEX($AW$17:$AW$43,MATCH(3,$AV$17:$AV$43,0)),1))</f>
        <v>0.35538719663446283</v>
      </c>
      <c r="BF19" s="165" t="s">
        <v>56</v>
      </c>
      <c r="BG19" s="168">
        <f>COUNTIF($AY$17:$AY$43,BF19)</f>
        <v>5</v>
      </c>
      <c r="BH19" s="170">
        <f>IF($AU$45=0,0,SUMIFS($AU$17:$AU$43,$AY$17:$AY$43,BF19)/$AU$45)</f>
        <v>4.8326973713300587E-2</v>
      </c>
      <c r="BJ19" s="165" t="str">
        <f>IF(3&gt;$BG$17,"",INDEX($AT$17:$AT$43,MATCH(3,$AV$17:$AV$43,0)))</f>
        <v>Oat Side Chocolate 200ml</v>
      </c>
      <c r="BK19" s="169">
        <f>IF(3&gt;$BG$17,"",INDEX($AU$17:$AU$43,MATCH(3,$AV$17:$AV$43,0)))</f>
        <v>1149</v>
      </c>
      <c r="BM19" s="165" t="str">
        <f>IF('Item Purchases'!$B6="","",'Item Purchases'!$B6)</f>
        <v>Julies Choco More Sandwich (44G)</v>
      </c>
      <c r="BN19" s="165">
        <f>IF(AND(BM19&lt;&gt;"",'Item Purchases'!$W6=1,'Item Purchases'!$AN6&lt;&gt;"Discontinued",N('Item Purchases'!$C6)&gt;0),1,0)</f>
        <v>1</v>
      </c>
      <c r="BO19" s="165">
        <f>N('Storehouse Replenishment Schedu'!$CR6)</f>
        <v>40</v>
      </c>
      <c r="BP19" s="165">
        <f>N('Item Purchases'!$E6)</f>
        <v>20</v>
      </c>
      <c r="BQ19" s="165">
        <f>N('Item Purchases'!$C6)</f>
        <v>10</v>
      </c>
      <c r="BR19" s="165">
        <f t="shared" si="4"/>
        <v>4</v>
      </c>
      <c r="BS19" s="165">
        <f t="shared" si="5"/>
        <v>6</v>
      </c>
      <c r="BT19" s="165">
        <f t="shared" si="6"/>
        <v>2</v>
      </c>
      <c r="BU19" s="165">
        <f>N('Storehouse Replenishment Schedu'!$CP6)</f>
        <v>120</v>
      </c>
      <c r="BV19" s="165">
        <f>IF(BM19="",0,SUMIFS('Daily Data'!$G$2:$G$1000,'Daily Data'!$E$2:$E$1000,BM19))</f>
        <v>120</v>
      </c>
      <c r="BW19" s="165">
        <f t="shared" si="7"/>
        <v>0</v>
      </c>
      <c r="BX19" s="165" t="str">
        <f>IF(BN19&lt;&gt;1,"",IF(BO19&lt;=0,IF(BT19&lt;='Item Purchases'!$E$38,"EMPTY - ORDER NOW","EMPTY - PLAN ORDER"),IF(BR19&lt;='Item Purchases'!$E$51,"ORDER NOW",IF(BT19&lt;='Item Purchases'!$E$38,"TRANSFER TO PANTRY",IF(BR19&lt;='Item Purchases'!$E$39,"WATCH","OK")))))</f>
        <v>ORDER NOW</v>
      </c>
      <c r="BY19" s="165">
        <f>IF(BN19=1,SUMPRODUCT(($BN$17:$BN$43=1)*(($BR$17:$BR$43&lt;BR19)+($BR$17:$BR$43=BR19)*($BT$17:$BT$43&lt;BT19)))+SUMPRODUCT(($BN$17:$BN19=1)*($BR$17:$BR19=BR19)*($BT$17:$BT19=BT19)),"")</f>
        <v>14</v>
      </c>
      <c r="BZ19" s="165" t="str">
        <f>IF(CA19&gt;0,COUNTIF($CA$17:$CA$43,"&gt;"&amp;CA19)+COUNTIF($CA$17:CA19,CA19),"")</f>
        <v/>
      </c>
      <c r="CA19" s="165">
        <f>IF(AND(BM19&lt;&gt;"",'Item Purchases'!$W6=1),ABS(BW19)*1000+CB19,0)</f>
        <v>0</v>
      </c>
      <c r="CB19" s="165">
        <f>N('Storehouse Replenishment Schedu'!$CX6)</f>
        <v>0</v>
      </c>
      <c r="CC19" s="165">
        <f t="shared" si="8"/>
        <v>120</v>
      </c>
      <c r="CD19" s="165" t="str">
        <f>IF('Storehouse Replenishment Schedu'!$CY6="","",'Storehouse Replenishment Schedu'!$CY6)</f>
        <v/>
      </c>
      <c r="CG19" s="166">
        <f>INDEX('Storehouse Replenishment Schedu'!$D$2:$CO$2,1,7)</f>
        <v>46268</v>
      </c>
      <c r="CH19" s="165" t="str">
        <f t="shared" si="9"/>
        <v>03 Sep</v>
      </c>
      <c r="CI19" s="165">
        <f>SUMPRODUCT(INDEX('Storehouse Replenishment Schedu'!$D$4:$CO$30,0,7)*('Item Purchases'!$W$4:$W$30=1))</f>
        <v>261</v>
      </c>
      <c r="CJ19" s="165">
        <f>SUMPRODUCT(INDEX('Storehouse Replenishment Schedu'!$D$4:$CO$30,0,8)*('Item Purchases'!$W$4:$W$30=1))</f>
        <v>0</v>
      </c>
      <c r="CK19" s="165">
        <f>IF(CG19="",0,SUMIFS('Daily Data'!$G$2:$G$1000,'Daily Data'!$A$2:$A$1000,CG19))</f>
        <v>261</v>
      </c>
      <c r="CL19" s="165">
        <f>SUMPRODUCT(INDEX('Storehouse Replenishment Schedu'!$D$4:$CO$30,0,7))-CK19</f>
        <v>0</v>
      </c>
      <c r="CM19" s="165">
        <f t="shared" si="10"/>
        <v>0</v>
      </c>
      <c r="CP19" s="165" t="s">
        <v>67</v>
      </c>
      <c r="CQ19" s="165">
        <f>SUMPRODUCT(('Item Purchases'!$S$4:$S$30=CP19)*('Item Purchases'!$W$4:$W$30=1)*'Storehouse Replenishment Schedu'!$CR$4:$CR$30)</f>
        <v>48</v>
      </c>
      <c r="CR19" s="165">
        <f>SUMPRODUCT(('Item Purchases'!$S$4:$S$30=CP19)*('Item Purchases'!$W$4:$W$30=1)*'Item Purchases'!$E$4:$E$30)</f>
        <v>77</v>
      </c>
      <c r="CT19" s="165">
        <f>IF(AND(BM19&lt;&gt;"",'Item Purchases'!$W6=1,ISNUMBER('Item Purchases'!$AQ6),'Item Purchases'!$AS6&lt;&gt;"DISCONTINUED",'Item Purchases'!$AS6&lt;&gt;"NEED MORE DATA"),1,0)</f>
        <v>1</v>
      </c>
      <c r="CU19" s="165">
        <f>IF(CT19=1,SUMPRODUCT(($CT$17:$CT$43=1)*('Item Purchases'!$AQ$4:$AQ$30&lt;'Item Purchases'!$AQ6))+SUMPRODUCT(($CT$17:$CT19=1)*('Item Purchases'!$AQ$4:$AQ6='Item Purchases'!$AQ6)),"")</f>
        <v>14</v>
      </c>
    </row>
    <row r="20" spans="2:123" ht="15" customHeight="1" x14ac:dyDescent="0.25">
      <c r="AA20" s="333"/>
      <c r="AB20" s="130"/>
      <c r="AC20" s="130"/>
      <c r="AD20" s="130"/>
      <c r="AE20" s="130"/>
      <c r="AF20" s="130">
        <v>100</v>
      </c>
      <c r="AH20" s="165" t="str">
        <f t="shared" si="0"/>
        <v>04 Sep</v>
      </c>
      <c r="AI20" s="166">
        <f>IF(AJ20="","",SUMIFS('Daily Data'!$I$2:$I$1000,'Daily Data'!$A$2:$A$1000,AJ20,'Daily Data'!$M$2:$M$1000,1))</f>
        <v>206</v>
      </c>
      <c r="AJ20" s="167">
        <f>'Daily Data'!$R$6</f>
        <v>46269</v>
      </c>
      <c r="AK20" s="168">
        <f>IF(AJ20="","",COUNTIFS('Daily Data'!$A$2:$A$1000,AJ20,'Daily Data'!$M$2:$M$1000,1,'Daily Data'!$L$2:$L$1000,1))</f>
        <v>25</v>
      </c>
      <c r="AM20" s="165" t="s">
        <v>57</v>
      </c>
      <c r="AN20" s="166">
        <f>SUMIFS('Daily Data'!$I$2:$I$1000,'Daily Data'!$B$2:$B$1000,AM20,'Daily Data'!$M$2:$M$1000,1)</f>
        <v>960</v>
      </c>
      <c r="AP20" s="165" t="str">
        <f>IF('Item Purchases'!$B$7="","",'Item Purchases'!$B$7)</f>
        <v>Julies Cheese Sandwich (28G)</v>
      </c>
      <c r="AQ20" s="166">
        <f>IF(AP20="","",SUMIFS('Daily Data'!$I$2:$I$1000,'Daily Data'!$E$2:$E$1000,AP20,'Daily Data'!$M$2:$M$1000,1))</f>
        <v>129</v>
      </c>
      <c r="AR20" s="168">
        <f>IF(AP20="","",SUMPRODUCT(ISNUMBER($AQ$17:$AQ$43)*($AQ$17:$AQ$43&gt;AQ20))+SUMPRODUCT(ISNUMBER($AQ$17:AQ20)*($AQ$17:AQ20=AQ20)))</f>
        <v>16</v>
      </c>
      <c r="AT20" s="165" t="str">
        <f t="shared" si="1"/>
        <v>Julies Cheese Sandwich (28G)</v>
      </c>
      <c r="AU20" s="169">
        <f>IF(AT20="","",SUMIFS('Daily Data'!$K$2:$K$1000,'Daily Data'!$E$2:$E$1000,AT20,'Daily Data'!$M$2:$M$1000,1))</f>
        <v>141.90000000000003</v>
      </c>
      <c r="AV20" s="168">
        <f>IF(OR(AT20="",N(AU20)&lt;=0),"",SUMPRODUCT(ISNUMBER($AU$17:$AU$43)*($AU$17:$AU$43&gt;AU20))+SUMPRODUCT(ISNUMBER($AU$17:AU20)*($AU$17:AU20=AU20)))</f>
        <v>17</v>
      </c>
      <c r="AW20" s="170">
        <f t="shared" si="2"/>
        <v>1.3789839541271614E-2</v>
      </c>
      <c r="AX20" s="170">
        <f t="shared" si="3"/>
        <v>0.92449057038333138</v>
      </c>
      <c r="AY20" s="165" t="str">
        <f>IF(AT20="","",IF(AV20="","-",IF(AX20&lt;'Item Purchases'!$E$49,"A",IF(AX20&lt;'Item Purchases'!$E$50,"B","C"))))</f>
        <v>B</v>
      </c>
      <c r="BA20" s="165">
        <v>4</v>
      </c>
      <c r="BB20" s="165" t="str">
        <f>IFERROR(LEFT(INDEX($AT$17:$AT$43,MATCH(4,$AV$17:$AV$43,0)),20),"")</f>
        <v>Oat Side Original 20</v>
      </c>
      <c r="BC20" s="169">
        <f>IFERROR(INDEX($AU$17:$AU$43,MATCH(4,$AV$17:$AV$43,0)),0)</f>
        <v>891</v>
      </c>
      <c r="BD20" s="170">
        <f>IF($AU$45=0,0,IFERROR(INDEX($AX$17:$AX$43,MATCH(4,$AV$17:$AV$43,0))+INDEX($AW$17:$AW$43,MATCH(4,$AV$17:$AV$43,0)),1))</f>
        <v>0.44197456119593576</v>
      </c>
      <c r="BJ20" s="165" t="str">
        <f>IF(4&gt;$BG$17,"",INDEX($AT$17:$AT$43,MATCH(4,$AV$17:$AV$43,0)))</f>
        <v>Oat Side Original 200ml</v>
      </c>
      <c r="BK20" s="169">
        <f>IF(4&gt;$BG$17,"",INDEX($AU$17:$AU$43,MATCH(4,$AV$17:$AV$43,0)))</f>
        <v>891</v>
      </c>
      <c r="BM20" s="165" t="str">
        <f>IF('Item Purchases'!$B7="","",'Item Purchases'!$B7)</f>
        <v>Julies Cheese Sandwich (28G)</v>
      </c>
      <c r="BN20" s="165">
        <f>IF(AND(BM20&lt;&gt;"",'Item Purchases'!$W7=1,'Item Purchases'!$AN7&lt;&gt;"Discontinued",N('Item Purchases'!$C7)&gt;0),1,0)</f>
        <v>1</v>
      </c>
      <c r="BO20" s="165">
        <f>N('Storehouse Replenishment Schedu'!$CR7)</f>
        <v>36</v>
      </c>
      <c r="BP20" s="165">
        <f>N('Item Purchases'!$E7)</f>
        <v>18</v>
      </c>
      <c r="BQ20" s="165">
        <f>N('Item Purchases'!$C7)</f>
        <v>6.45</v>
      </c>
      <c r="BR20" s="165">
        <f t="shared" si="4"/>
        <v>5.5813953488372094</v>
      </c>
      <c r="BS20" s="165">
        <f t="shared" si="5"/>
        <v>8.3720930232558128</v>
      </c>
      <c r="BT20" s="165">
        <f t="shared" si="6"/>
        <v>2.7906976744186047</v>
      </c>
      <c r="BU20" s="165">
        <f>N('Storehouse Replenishment Schedu'!$CP7)</f>
        <v>96</v>
      </c>
      <c r="BV20" s="165">
        <f>IF(BM20="",0,SUMIFS('Daily Data'!$G$2:$G$1000,'Daily Data'!$E$2:$E$1000,BM20))</f>
        <v>96</v>
      </c>
      <c r="BW20" s="165">
        <f t="shared" si="7"/>
        <v>0</v>
      </c>
      <c r="BX20" s="165" t="str">
        <f>IF(BN20&lt;&gt;1,"",IF(BO20&lt;=0,IF(BT20&lt;='Item Purchases'!$E$38,"EMPTY - ORDER NOW","EMPTY - PLAN ORDER"),IF(BR20&lt;='Item Purchases'!$E$51,"ORDER NOW",IF(BT20&lt;='Item Purchases'!$E$38,"TRANSFER TO PANTRY",IF(BR20&lt;='Item Purchases'!$E$39,"WATCH","OK")))))</f>
        <v>TRANSFER TO PANTRY</v>
      </c>
      <c r="BY20" s="165">
        <f>IF(BN20=1,SUMPRODUCT(($BN$17:$BN$43=1)*(($BR$17:$BR$43&lt;BR20)+($BR$17:$BR$43=BR20)*($BT$17:$BT$43&lt;BT20)))+SUMPRODUCT(($BN$17:$BN20=1)*($BR$17:$BR20=BR20)*($BT$17:$BT20=BT20)),"")</f>
        <v>16</v>
      </c>
      <c r="BZ20" s="165" t="str">
        <f>IF(CA20&gt;0,COUNTIF($CA$17:$CA$43,"&gt;"&amp;CA20)+COUNTIF($CA$17:CA20,CA20),"")</f>
        <v/>
      </c>
      <c r="CA20" s="165">
        <f>IF(AND(BM20&lt;&gt;"",'Item Purchases'!$W7=1),ABS(BW20)*1000+CB20,0)</f>
        <v>0</v>
      </c>
      <c r="CB20" s="165">
        <f>N('Storehouse Replenishment Schedu'!$CX7)</f>
        <v>0</v>
      </c>
      <c r="CC20" s="165">
        <f t="shared" si="8"/>
        <v>96</v>
      </c>
      <c r="CD20" s="165" t="str">
        <f>IF('Storehouse Replenishment Schedu'!$CY7="","",'Storehouse Replenishment Schedu'!$CY7)</f>
        <v/>
      </c>
      <c r="CG20" s="166">
        <f>INDEX('Storehouse Replenishment Schedu'!$D$2:$CO$2,1,10)</f>
        <v>46269</v>
      </c>
      <c r="CH20" s="165" t="str">
        <f t="shared" si="9"/>
        <v>04 Sep</v>
      </c>
      <c r="CI20" s="165">
        <f>SUMPRODUCT(INDEX('Storehouse Replenishment Schedu'!$D$4:$CO$30,0,10)*('Item Purchases'!$W$4:$W$30=1))</f>
        <v>0</v>
      </c>
      <c r="CJ20" s="165">
        <f>SUMPRODUCT(INDEX('Storehouse Replenishment Schedu'!$D$4:$CO$30,0,11)*('Item Purchases'!$W$4:$W$30=1))</f>
        <v>540</v>
      </c>
      <c r="CK20" s="165">
        <f>IF(CG20="",0,SUMIFS('Daily Data'!$G$2:$G$1000,'Daily Data'!$A$2:$A$1000,CG20))</f>
        <v>0</v>
      </c>
      <c r="CL20" s="165">
        <f>SUMPRODUCT(INDEX('Storehouse Replenishment Schedu'!$D$4:$CO$30,0,10))-CK20</f>
        <v>0</v>
      </c>
      <c r="CM20" s="165">
        <f t="shared" si="10"/>
        <v>0</v>
      </c>
      <c r="CP20" s="165" t="s">
        <v>68</v>
      </c>
      <c r="CQ20" s="165">
        <f>SUMPRODUCT(('Item Purchases'!$S$4:$S$30=CP20)*('Item Purchases'!$W$4:$W$30=1)*'Storehouse Replenishment Schedu'!$CR$4:$CR$30)</f>
        <v>132</v>
      </c>
      <c r="CR20" s="165">
        <f>SUMPRODUCT(('Item Purchases'!$S$4:$S$30=CP20)*('Item Purchases'!$W$4:$W$30=1)*'Item Purchases'!$E$4:$E$30)</f>
        <v>90</v>
      </c>
      <c r="CT20" s="165">
        <f>IF(AND(BM20&lt;&gt;"",'Item Purchases'!$W7=1,ISNUMBER('Item Purchases'!$AQ7),'Item Purchases'!$AS7&lt;&gt;"DISCONTINUED",'Item Purchases'!$AS7&lt;&gt;"NEED MORE DATA"),1,0)</f>
        <v>1</v>
      </c>
      <c r="CU20" s="165">
        <f>IF(CT20=1,SUMPRODUCT(($CT$17:$CT$43=1)*('Item Purchases'!$AQ$4:$AQ$30&lt;'Item Purchases'!$AQ7))+SUMPRODUCT(($CT$17:$CT20=1)*('Item Purchases'!$AQ$4:$AQ7='Item Purchases'!$AQ7)),"")</f>
        <v>9</v>
      </c>
    </row>
    <row r="21" spans="2:123" ht="15" customHeight="1" x14ac:dyDescent="0.25">
      <c r="AA21" s="333"/>
      <c r="AB21" s="130" t="s">
        <v>58</v>
      </c>
      <c r="AC21" s="131">
        <f>SUM($AC$17:$AC$18)</f>
        <v>1698</v>
      </c>
      <c r="AD21" s="130"/>
      <c r="AE21" s="130"/>
      <c r="AF21" s="130"/>
      <c r="AH21" s="165" t="str">
        <f t="shared" si="0"/>
        <v>07 Sep</v>
      </c>
      <c r="AI21" s="166">
        <f>IF(AJ21="","",SUMIFS('Daily Data'!$I$2:$I$1000,'Daily Data'!$A$2:$A$1000,AJ21,'Daily Data'!$M$2:$M$1000,1))</f>
        <v>183</v>
      </c>
      <c r="AJ21" s="167">
        <f>'Daily Data'!$R$7</f>
        <v>46272</v>
      </c>
      <c r="AK21" s="168">
        <f>IF(AJ21="","",COUNTIFS('Daily Data'!$A$2:$A$1000,AJ21,'Daily Data'!$M$2:$M$1000,1,'Daily Data'!$L$2:$L$1000,1))</f>
        <v>25</v>
      </c>
      <c r="AM21" s="165" t="s">
        <v>59</v>
      </c>
      <c r="AN21" s="166">
        <f>SUMIFS('Daily Data'!$I$2:$I$1000,'Daily Data'!$B$2:$B$1000,AM21,'Daily Data'!$M$2:$M$1000,1)</f>
        <v>0</v>
      </c>
      <c r="AP21" s="165" t="str">
        <f>IF('Item Purchases'!$B$8="","",'Item Purchases'!$B$8)</f>
        <v>NV OATS &amp; DARK CHOC 42GX5</v>
      </c>
      <c r="AQ21" s="166">
        <f>IF(AP21="","",SUMIFS('Daily Data'!$I$2:$I$1000,'Daily Data'!$E$2:$E$1000,AP21,'Daily Data'!$M$2:$M$1000,1))</f>
        <v>11</v>
      </c>
      <c r="AR21" s="168">
        <f>IF(AP21="","",SUMPRODUCT(ISNUMBER($AQ$17:$AQ$43)*($AQ$17:$AQ$43&gt;AQ21))+SUMPRODUCT(ISNUMBER($AQ$17:AQ21)*($AQ$17:AQ21=AQ21)))</f>
        <v>23</v>
      </c>
      <c r="AT21" s="165" t="str">
        <f t="shared" si="1"/>
        <v>NV OATS &amp; DARK CHOC 42GX5</v>
      </c>
      <c r="AU21" s="169">
        <f>IF(AT21="","",SUMIFS('Daily Data'!$K$2:$K$1000,'Daily Data'!$E$2:$E$1000,AT21,'Daily Data'!$M$2:$M$1000,1))</f>
        <v>30.58</v>
      </c>
      <c r="AV21" s="168">
        <f>IF(OR(AT21="",N(AU21)&lt;=0),"",SUMPRODUCT(ISNUMBER($AU$17:$AU$43)*($AU$17:$AU$43&gt;AU21))+SUMPRODUCT(ISNUMBER($AU$17:AU21)*($AU$17:AU21=AU21)))</f>
        <v>23</v>
      </c>
      <c r="AW21" s="170">
        <f t="shared" si="2"/>
        <v>2.9717638701345019E-3</v>
      </c>
      <c r="AX21" s="170">
        <f t="shared" si="3"/>
        <v>0.99702823612986546</v>
      </c>
      <c r="AY21" s="165" t="str">
        <f>IF(AT21="","",IF(AV21="","-",IF(AX21&lt;'Item Purchases'!$E$49,"A",IF(AX21&lt;'Item Purchases'!$E$50,"B","C"))))</f>
        <v>C</v>
      </c>
      <c r="BA21" s="165">
        <v>5</v>
      </c>
      <c r="BB21" s="165" t="str">
        <f>IFERROR(LEFT(INDEX($AT$17:$AT$43,MATCH(5,$AV$17:$AV$43,0)),20),"")</f>
        <v>Spritzer sparkling w</v>
      </c>
      <c r="BC21" s="169">
        <f>IFERROR(INDEX($AU$17:$AU$43,MATCH(5,$AV$17:$AV$43,0)),0)</f>
        <v>853.59999999999991</v>
      </c>
      <c r="BD21" s="170">
        <f>IF($AU$45=0,0,IFERROR(INDEX($AX$17:$AX$43,MATCH(5,$AV$17:$AV$43,0))+INDEX($AW$17:$AW$43,MATCH(5,$AV$17:$AV$43,0)),1))</f>
        <v>0.52492739440544556</v>
      </c>
      <c r="BJ21" s="165" t="str">
        <f>IF(5&gt;$BG$17,"",INDEX($AT$17:$AT$43,MATCH(5,$AV$17:$AV$43,0)))</f>
        <v>Spritzer sparkling water (original) 400ml</v>
      </c>
      <c r="BK21" s="169">
        <f>IF(5&gt;$BG$17,"",INDEX($AU$17:$AU$43,MATCH(5,$AV$17:$AV$43,0)))</f>
        <v>853.59999999999991</v>
      </c>
      <c r="BM21" s="165" t="str">
        <f>IF('Item Purchases'!$B8="","",'Item Purchases'!$B8)</f>
        <v>NV OATS &amp; DARK CHOC 42GX5</v>
      </c>
      <c r="BN21" s="165">
        <f>IF(AND(BM21&lt;&gt;"",'Item Purchases'!$W8=1,'Item Purchases'!$AN8&lt;&gt;"Discontinued",N('Item Purchases'!$C8)&gt;0),1,0)</f>
        <v>1</v>
      </c>
      <c r="BO21" s="165">
        <f>N('Storehouse Replenishment Schedu'!$CR8)</f>
        <v>0</v>
      </c>
      <c r="BP21" s="165">
        <f>N('Item Purchases'!$E8)</f>
        <v>0</v>
      </c>
      <c r="BQ21" s="165">
        <f>N('Item Purchases'!$C8)</f>
        <v>5.5</v>
      </c>
      <c r="BR21" s="165">
        <f t="shared" si="4"/>
        <v>0</v>
      </c>
      <c r="BS21" s="165">
        <f t="shared" si="5"/>
        <v>0</v>
      </c>
      <c r="BT21" s="165">
        <f t="shared" si="6"/>
        <v>0</v>
      </c>
      <c r="BU21" s="165">
        <f>N('Storehouse Replenishment Schedu'!$CP8)</f>
        <v>0</v>
      </c>
      <c r="BV21" s="165">
        <f>IF(BM21="",0,SUMIFS('Daily Data'!$G$2:$G$1000,'Daily Data'!$E$2:$E$1000,BM21))</f>
        <v>0</v>
      </c>
      <c r="BW21" s="165">
        <f t="shared" si="7"/>
        <v>0</v>
      </c>
      <c r="BX21" s="165" t="str">
        <f>IF(BN21&lt;&gt;1,"",IF(BO21&lt;=0,IF(BT21&lt;='Item Purchases'!$E$38,"EMPTY - ORDER NOW","EMPTY - PLAN ORDER"),IF(BR21&lt;='Item Purchases'!$E$51,"ORDER NOW",IF(BT21&lt;='Item Purchases'!$E$38,"TRANSFER TO PANTRY",IF(BR21&lt;='Item Purchases'!$E$39,"WATCH","OK")))))</f>
        <v>EMPTY - ORDER NOW</v>
      </c>
      <c r="BY21" s="165">
        <f>IF(BN21=1,SUMPRODUCT(($BN$17:$BN$43=1)*(($BR$17:$BR$43&lt;BR21)+($BR$17:$BR$43=BR21)*($BT$17:$BT$43&lt;BT21)))+SUMPRODUCT(($BN$17:$BN21=1)*($BR$17:$BR21=BR21)*($BT$17:$BT21=BT21)),"")</f>
        <v>2</v>
      </c>
      <c r="BZ21" s="165" t="str">
        <f>IF(CA21&gt;0,COUNTIF($CA$17:$CA$43,"&gt;"&amp;CA21)+COUNTIF($CA$17:CA21,CA21),"")</f>
        <v/>
      </c>
      <c r="CA21" s="165">
        <f>IF(AND(BM21&lt;&gt;"",'Item Purchases'!$W8=1),ABS(BW21)*1000+CB21,0)</f>
        <v>0</v>
      </c>
      <c r="CB21" s="165">
        <f>N('Storehouse Replenishment Schedu'!$CX8)</f>
        <v>0</v>
      </c>
      <c r="CC21" s="165">
        <f t="shared" si="8"/>
        <v>0</v>
      </c>
      <c r="CD21" s="165" t="str">
        <f>IF('Storehouse Replenishment Schedu'!$CY8="","",'Storehouse Replenishment Schedu'!$CY8)</f>
        <v/>
      </c>
      <c r="CG21" s="166">
        <f>INDEX('Storehouse Replenishment Schedu'!$D$2:$CO$2,1,13)</f>
        <v>46270</v>
      </c>
      <c r="CH21" s="165" t="str">
        <f t="shared" si="9"/>
        <v>05 Sep</v>
      </c>
      <c r="CI21" s="165">
        <f>SUMPRODUCT(INDEX('Storehouse Replenishment Schedu'!$D$4:$CO$30,0,13)*('Item Purchases'!$W$4:$W$30=1))</f>
        <v>0</v>
      </c>
      <c r="CJ21" s="165">
        <f>SUMPRODUCT(INDEX('Storehouse Replenishment Schedu'!$D$4:$CO$30,0,14)*('Item Purchases'!$W$4:$W$30=1))</f>
        <v>0</v>
      </c>
      <c r="CK21" s="165">
        <f>IF(CG21="",0,SUMIFS('Daily Data'!$G$2:$G$1000,'Daily Data'!$A$2:$A$1000,CG21))</f>
        <v>0</v>
      </c>
      <c r="CL21" s="165">
        <f>SUMPRODUCT(INDEX('Storehouse Replenishment Schedu'!$D$4:$CO$30,0,13))-CK21</f>
        <v>0</v>
      </c>
      <c r="CM21" s="165">
        <f t="shared" si="10"/>
        <v>0</v>
      </c>
      <c r="CP21" s="165" t="s">
        <v>69</v>
      </c>
      <c r="CQ21" s="165">
        <f>SUMPRODUCT(('Item Purchases'!$S$4:$S$30=CP21)*('Item Purchases'!$W$4:$W$30=1)*'Storehouse Replenishment Schedu'!$CR$4:$CR$30)</f>
        <v>720</v>
      </c>
      <c r="CR21" s="165">
        <f>SUMPRODUCT(('Item Purchases'!$S$4:$S$30=CP21)*('Item Purchases'!$W$4:$W$30=1)*'Item Purchases'!$E$4:$E$30)</f>
        <v>542</v>
      </c>
      <c r="CT21" s="165">
        <f>IF(AND(BM21&lt;&gt;"",'Item Purchases'!$W8=1,ISNUMBER('Item Purchases'!$AQ8),'Item Purchases'!$AS8&lt;&gt;"DISCONTINUED",'Item Purchases'!$AS8&lt;&gt;"NEED MORE DATA"),1,0)</f>
        <v>0</v>
      </c>
      <c r="CU21" s="165" t="str">
        <f>IF(CT21=1,SUMPRODUCT(($CT$17:$CT$43=1)*('Item Purchases'!$AQ$4:$AQ$30&lt;'Item Purchases'!$AQ8))+SUMPRODUCT(($CT$17:$CT21=1)*('Item Purchases'!$AQ$4:$AQ8='Item Purchases'!$AQ8)),"")</f>
        <v/>
      </c>
    </row>
    <row r="22" spans="2:123" ht="15" customHeight="1" x14ac:dyDescent="0.25">
      <c r="AA22" s="333"/>
      <c r="AB22" s="130" t="s">
        <v>60</v>
      </c>
      <c r="AC22" s="130" t="str">
        <f>INDEX($AB$17:$AB$18,$AC$23)</f>
        <v>Savoury</v>
      </c>
      <c r="AD22" s="130"/>
      <c r="AE22" s="130"/>
      <c r="AF22" s="130"/>
      <c r="AH22" s="165" t="str">
        <f t="shared" si="0"/>
        <v>08 Sep</v>
      </c>
      <c r="AI22" s="166">
        <f>IF(AJ22="","",SUMIFS('Daily Data'!$I$2:$I$1000,'Daily Data'!$A$2:$A$1000,AJ22,'Daily Data'!$M$2:$M$1000,1))</f>
        <v>143</v>
      </c>
      <c r="AJ22" s="167">
        <f>'Daily Data'!$R$8</f>
        <v>46273</v>
      </c>
      <c r="AK22" s="168">
        <f>IF(AJ22="","",COUNTIFS('Daily Data'!$A$2:$A$1000,AJ22,'Daily Data'!$M$2:$M$1000,1,'Daily Data'!$L$2:$L$1000,1))</f>
        <v>25</v>
      </c>
      <c r="AM22" s="165" t="s">
        <v>61</v>
      </c>
      <c r="AN22" s="166">
        <f>SUMIFS('Daily Data'!$I$2:$I$1000,'Daily Data'!$B$2:$B$1000,AM22,'Daily Data'!$M$2:$M$1000,1)</f>
        <v>0</v>
      </c>
      <c r="AP22" s="165" t="str">
        <f>IF('Item Purchases'!$B$9="","",'Item Purchases'!$B$9)</f>
        <v xml:space="preserve">NV PROTEIN - SALTED CARAMEL 40G </v>
      </c>
      <c r="AQ22" s="166">
        <f>IF(AP22="","",SUMIFS('Daily Data'!$I$2:$I$1000,'Daily Data'!$E$2:$E$1000,AP22,'Daily Data'!$M$2:$M$1000,1))</f>
        <v>0</v>
      </c>
      <c r="AR22" s="168">
        <f>IF(AP22="","",SUMPRODUCT(ISNUMBER($AQ$17:$AQ$43)*($AQ$17:$AQ$43&gt;AQ22))+SUMPRODUCT(ISNUMBER($AQ$17:AQ22)*($AQ$17:AQ22=AQ22)))</f>
        <v>24</v>
      </c>
      <c r="AT22" s="165" t="str">
        <f t="shared" si="1"/>
        <v xml:space="preserve">NV PROTEIN - SALTED CARAMEL 40G </v>
      </c>
      <c r="AU22" s="169">
        <f>IF(AT22="","",SUMIFS('Daily Data'!$K$2:$K$1000,'Daily Data'!$E$2:$E$1000,AT22,'Daily Data'!$M$2:$M$1000,1))</f>
        <v>0</v>
      </c>
      <c r="AV22" s="168" t="str">
        <f>IF(OR(AT22="",N(AU22)&lt;=0),"",SUMPRODUCT(ISNUMBER($AU$17:$AU$43)*($AU$17:$AU$43&gt;AU22))+SUMPRODUCT(ISNUMBER($AU$17:AU22)*($AU$17:AU22=AU22)))</f>
        <v/>
      </c>
      <c r="AW22" s="170" t="str">
        <f t="shared" si="2"/>
        <v/>
      </c>
      <c r="AX22" s="170" t="str">
        <f t="shared" si="3"/>
        <v/>
      </c>
      <c r="AY22" s="165" t="str">
        <f>IF(AT22="","",IF(AV22="","-",IF(AX22&lt;'Item Purchases'!$E$49,"A",IF(AX22&lt;'Item Purchases'!$E$50,"B","C"))))</f>
        <v>-</v>
      </c>
      <c r="BA22" s="165">
        <v>6</v>
      </c>
      <c r="BB22" s="165" t="str">
        <f>IFERROR(LEFT(INDEX($AT$17:$AT$43,MATCH(6,$AV$17:$AV$43,0)),20),"")</f>
        <v>Ayataka Tea 300ml</v>
      </c>
      <c r="BC22" s="169">
        <f>IFERROR(INDEX($AU$17:$AU$43,MATCH(6,$AV$17:$AV$43,0)),0)</f>
        <v>712.25</v>
      </c>
      <c r="BD22" s="170">
        <f>IF($AU$45=0,0,IFERROR(INDEX($AX$17:$AX$43,MATCH(6,$AV$17:$AV$43,0))+INDEX($AW$17:$AW$43,MATCH(6,$AV$17:$AV$43,0)),1))</f>
        <v>0.59414383706415397</v>
      </c>
      <c r="BJ22" s="165" t="str">
        <f>IF(6&gt;$BG$17,"",INDEX($AT$17:$AT$43,MATCH(6,$AV$17:$AV$43,0)))</f>
        <v>Ayataka Tea 300ml</v>
      </c>
      <c r="BK22" s="169">
        <f>IF(6&gt;$BG$17,"",INDEX($AU$17:$AU$43,MATCH(6,$AV$17:$AV$43,0)))</f>
        <v>712.25</v>
      </c>
      <c r="BM22" s="165" t="str">
        <f>IF('Item Purchases'!$B9="","",'Item Purchases'!$B9)</f>
        <v xml:space="preserve">NV PROTEIN - SALTED CARAMEL 40G </v>
      </c>
      <c r="BN22" s="165">
        <f>IF(AND(BM22&lt;&gt;"",'Item Purchases'!$W9=1,'Item Purchases'!$AN9&lt;&gt;"Discontinued",N('Item Purchases'!$C9)&gt;0),1,0)</f>
        <v>0</v>
      </c>
      <c r="BO22" s="165">
        <f>N('Storehouse Replenishment Schedu'!$CR9)</f>
        <v>0</v>
      </c>
      <c r="BP22" s="165">
        <f>N('Item Purchases'!$E9)</f>
        <v>0</v>
      </c>
      <c r="BQ22" s="165">
        <f>N('Item Purchases'!$C9)</f>
        <v>0</v>
      </c>
      <c r="BR22" s="165" t="str">
        <f t="shared" si="4"/>
        <v/>
      </c>
      <c r="BS22" s="165" t="str">
        <f t="shared" si="5"/>
        <v/>
      </c>
      <c r="BT22" s="165" t="str">
        <f t="shared" si="6"/>
        <v/>
      </c>
      <c r="BU22" s="165">
        <f>N('Storehouse Replenishment Schedu'!$CP9)</f>
        <v>0</v>
      </c>
      <c r="BV22" s="165">
        <f>IF(BM22="",0,SUMIFS('Daily Data'!$G$2:$G$1000,'Daily Data'!$E$2:$E$1000,BM22))</f>
        <v>0</v>
      </c>
      <c r="BW22" s="165">
        <f t="shared" si="7"/>
        <v>0</v>
      </c>
      <c r="BX22" s="165" t="str">
        <f>IF(BN22&lt;&gt;1,"",IF(BO22&lt;=0,IF(BT22&lt;='Item Purchases'!$E$38,"EMPTY - ORDER NOW","EMPTY - PLAN ORDER"),IF(BR22&lt;='Item Purchases'!$E$51,"ORDER NOW",IF(BT22&lt;='Item Purchases'!$E$38,"TRANSFER TO PANTRY",IF(BR22&lt;='Item Purchases'!$E$39,"WATCH","OK")))))</f>
        <v/>
      </c>
      <c r="BY22" s="165" t="str">
        <f>IF(BN22=1,SUMPRODUCT(($BN$17:$BN$43=1)*(($BR$17:$BR$43&lt;BR22)+($BR$17:$BR$43=BR22)*($BT$17:$BT$43&lt;BT22)))+SUMPRODUCT(($BN$17:$BN22=1)*($BR$17:$BR22=BR22)*($BT$17:$BT22=BT22)),"")</f>
        <v/>
      </c>
      <c r="BZ22" s="165" t="str">
        <f>IF(CA22&gt;0,COUNTIF($CA$17:$CA$43,"&gt;"&amp;CA22)+COUNTIF($CA$17:CA22,CA22),"")</f>
        <v/>
      </c>
      <c r="CA22" s="165">
        <f>IF(AND(BM22&lt;&gt;"",'Item Purchases'!$W9=1),ABS(BW22)*1000+CB22,0)</f>
        <v>0</v>
      </c>
      <c r="CB22" s="165">
        <f>N('Storehouse Replenishment Schedu'!$CX9)</f>
        <v>0</v>
      </c>
      <c r="CC22" s="165">
        <f t="shared" si="8"/>
        <v>0</v>
      </c>
      <c r="CD22" s="165" t="str">
        <f>IF('Storehouse Replenishment Schedu'!$CY9="","",'Storehouse Replenishment Schedu'!$CY9)</f>
        <v/>
      </c>
      <c r="CG22" s="166">
        <f>INDEX('Storehouse Replenishment Schedu'!$D$2:$CO$2,1,16)</f>
        <v>46271</v>
      </c>
      <c r="CH22" s="165" t="str">
        <f t="shared" si="9"/>
        <v>06 Sep</v>
      </c>
      <c r="CI22" s="165">
        <f>SUMPRODUCT(INDEX('Storehouse Replenishment Schedu'!$D$4:$CO$30,0,16)*('Item Purchases'!$W$4:$W$30=1))</f>
        <v>0</v>
      </c>
      <c r="CJ22" s="165">
        <f>SUMPRODUCT(INDEX('Storehouse Replenishment Schedu'!$D$4:$CO$30,0,17)*('Item Purchases'!$W$4:$W$30=1))</f>
        <v>124</v>
      </c>
      <c r="CK22" s="165">
        <f>IF(CG22="",0,SUMIFS('Daily Data'!$G$2:$G$1000,'Daily Data'!$A$2:$A$1000,CG22))</f>
        <v>0</v>
      </c>
      <c r="CL22" s="165">
        <f>SUMPRODUCT(INDEX('Storehouse Replenishment Schedu'!$D$4:$CO$30,0,16))-CK22</f>
        <v>0</v>
      </c>
      <c r="CM22" s="165">
        <f t="shared" si="10"/>
        <v>0</v>
      </c>
      <c r="CT22" s="165">
        <f>IF(AND(BM22&lt;&gt;"",'Item Purchases'!$W9=1,ISNUMBER('Item Purchases'!$AQ9),'Item Purchases'!$AS9&lt;&gt;"DISCONTINUED",'Item Purchases'!$AS9&lt;&gt;"NEED MORE DATA"),1,0)</f>
        <v>1</v>
      </c>
      <c r="CU22" s="165">
        <f>IF(CT22=1,SUMPRODUCT(($CT$17:$CT$43=1)*('Item Purchases'!$AQ$4:$AQ$30&lt;'Item Purchases'!$AQ9))+SUMPRODUCT(($CT$17:$CT22=1)*('Item Purchases'!$AQ$4:$AQ9='Item Purchases'!$AQ9)),"")</f>
        <v>1</v>
      </c>
    </row>
    <row r="23" spans="2:123" ht="15" customHeight="1" x14ac:dyDescent="0.25">
      <c r="AA23" s="333"/>
      <c r="AB23" s="130" t="s">
        <v>62</v>
      </c>
      <c r="AC23" s="130">
        <f>MATCH(MAX($AD$17:$AD$18),$AD$17:$AD$18,0)</f>
        <v>2</v>
      </c>
      <c r="AD23" s="130"/>
      <c r="AE23" s="130"/>
      <c r="AF23" s="130"/>
      <c r="AH23" s="165" t="str">
        <f t="shared" si="0"/>
        <v>09 Sep</v>
      </c>
      <c r="AI23" s="166">
        <f>IF(AJ23="","",SUMIFS('Daily Data'!$I$2:$I$1000,'Daily Data'!$A$2:$A$1000,AJ23,'Daily Data'!$M$2:$M$1000,1))</f>
        <v>327</v>
      </c>
      <c r="AJ23" s="167">
        <f>'Daily Data'!$R$9</f>
        <v>46274</v>
      </c>
      <c r="AK23" s="168">
        <f>IF(AJ23="","",COUNTIFS('Daily Data'!$A$2:$A$1000,AJ23,'Daily Data'!$M$2:$M$1000,1,'Daily Data'!$L$2:$L$1000,1))</f>
        <v>25</v>
      </c>
      <c r="AM23" s="165" t="s">
        <v>63</v>
      </c>
      <c r="AN23" s="166">
        <f>SUMIFS('Daily Data'!$I$2:$I$1000,'Daily Data'!$B$2:$B$1000,AM23,'Daily Data'!$M$2:$M$1000,1)</f>
        <v>803</v>
      </c>
      <c r="AP23" s="165" t="str">
        <f>IF('Item Purchases'!$B$10="","",'Item Purchases'!$B$10)</f>
        <v>BBMG 90G</v>
      </c>
      <c r="AQ23" s="166">
        <f>IF(AP23="","",SUMIFS('Daily Data'!$I$2:$I$1000,'Daily Data'!$E$2:$E$1000,AP23,'Daily Data'!$M$2:$M$1000,1))</f>
        <v>362</v>
      </c>
      <c r="AR23" s="168">
        <f>IF(AP23="","",SUMPRODUCT(ISNUMBER($AQ$17:$AQ$43)*($AQ$17:$AQ$43&gt;AQ23))+SUMPRODUCT(ISNUMBER($AQ$17:AQ23)*($AQ$17:AQ23=AQ23)))</f>
        <v>5</v>
      </c>
      <c r="AT23" s="165" t="str">
        <f t="shared" si="1"/>
        <v>BBMG 90G</v>
      </c>
      <c r="AU23" s="169">
        <f>IF(AT23="","",SUMIFS('Daily Data'!$K$2:$K$1000,'Daily Data'!$E$2:$E$1000,AT23,'Daily Data'!$M$2:$M$1000,1))</f>
        <v>124.16600000000001</v>
      </c>
      <c r="AV23" s="168">
        <f>IF(OR(AT23="",N(AU23)&lt;=0),"",SUMPRODUCT(ISNUMBER($AU$17:$AU$43)*($AU$17:$AU$43&gt;AU23))+SUMPRODUCT(ISNUMBER($AU$17:AU23)*($AU$17:AU23=AU23)))</f>
        <v>20</v>
      </c>
      <c r="AW23" s="170">
        <f t="shared" si="2"/>
        <v>1.2066449728552016E-2</v>
      </c>
      <c r="AX23" s="170">
        <f t="shared" si="3"/>
        <v>0.96458435878460891</v>
      </c>
      <c r="AY23" s="165" t="str">
        <f>IF(AT23="","",IF(AV23="","-",IF(AX23&lt;'Item Purchases'!$E$49,"A",IF(AX23&lt;'Item Purchases'!$E$50,"B","C"))))</f>
        <v>C</v>
      </c>
      <c r="BA23" s="165">
        <v>7</v>
      </c>
      <c r="BB23" s="165" t="str">
        <f>IFERROR(LEFT(INDEX($AT$17:$AT$43,MATCH(7,$AV$17:$AV$43,0)),20),"")</f>
        <v>Oolong Tea 300ml</v>
      </c>
      <c r="BC23" s="169">
        <f>IFERROR(INDEX($AU$17:$AU$43,MATCH(7,$AV$17:$AV$43,0)),0)</f>
        <v>579.25</v>
      </c>
      <c r="BD23" s="170">
        <f>IF($AU$45=0,0,IFERROR(INDEX($AX$17:$AX$43,MATCH(7,$AV$17:$AV$43,0))+INDEX($AW$17:$AW$43,MATCH(7,$AV$17:$AV$43,0)),1))</f>
        <v>0.65043534202737863</v>
      </c>
      <c r="BJ23" s="165" t="str">
        <f>IF(7&gt;$BG$17,"",INDEX($AT$17:$AT$43,MATCH(7,$AV$17:$AV$43,0)))</f>
        <v>Oolong Tea 300ml</v>
      </c>
      <c r="BK23" s="169">
        <f>IF(7&gt;$BG$17,"",INDEX($AU$17:$AU$43,MATCH(7,$AV$17:$AV$43,0)))</f>
        <v>579.25</v>
      </c>
      <c r="BM23" s="165" t="str">
        <f>IF('Item Purchases'!$B10="","",'Item Purchases'!$B10)</f>
        <v>BBMG 90G</v>
      </c>
      <c r="BN23" s="165">
        <f>IF(AND(BM23&lt;&gt;"",'Item Purchases'!$W10=1,'Item Purchases'!$AN10&lt;&gt;"Discontinued",N('Item Purchases'!$C10)&gt;0),1,0)</f>
        <v>1</v>
      </c>
      <c r="BO23" s="165">
        <f>N('Storehouse Replenishment Schedu'!$CR10)</f>
        <v>472</v>
      </c>
      <c r="BP23" s="165">
        <f>N('Item Purchases'!$E10)</f>
        <v>94</v>
      </c>
      <c r="BQ23" s="165">
        <f>N('Item Purchases'!$C10)</f>
        <v>36.200000000000003</v>
      </c>
      <c r="BR23" s="165">
        <f t="shared" si="4"/>
        <v>13.038674033149171</v>
      </c>
      <c r="BS23" s="165">
        <f t="shared" si="5"/>
        <v>15.635359116022098</v>
      </c>
      <c r="BT23" s="165">
        <f t="shared" si="6"/>
        <v>2.596685082872928</v>
      </c>
      <c r="BU23" s="165">
        <f>N('Storehouse Replenishment Schedu'!$CP10)</f>
        <v>456</v>
      </c>
      <c r="BV23" s="165">
        <f>IF(BM23="",0,SUMIFS('Daily Data'!$G$2:$G$1000,'Daily Data'!$E$2:$E$1000,BM23))</f>
        <v>456</v>
      </c>
      <c r="BW23" s="165">
        <f t="shared" si="7"/>
        <v>0</v>
      </c>
      <c r="BX23" s="165" t="str">
        <f>IF(BN23&lt;&gt;1,"",IF(BO23&lt;=0,IF(BT23&lt;='Item Purchases'!$E$38,"EMPTY - ORDER NOW","EMPTY - PLAN ORDER"),IF(BR23&lt;='Item Purchases'!$E$51,"ORDER NOW",IF(BT23&lt;='Item Purchases'!$E$38,"TRANSFER TO PANTRY",IF(BR23&lt;='Item Purchases'!$E$39,"WATCH","OK")))))</f>
        <v>TRANSFER TO PANTRY</v>
      </c>
      <c r="BY23" s="165">
        <f>IF(BN23=1,SUMPRODUCT(($BN$17:$BN$43=1)*(($BR$17:$BR$43&lt;BR23)+($BR$17:$BR$43=BR23)*($BT$17:$BT$43&lt;BT23)))+SUMPRODUCT(($BN$17:$BN23=1)*($BR$17:$BR23=BR23)*($BT$17:$BT23=BT23)),"")</f>
        <v>23</v>
      </c>
      <c r="BZ23" s="165" t="str">
        <f>IF(CA23&gt;0,COUNTIF($CA$17:$CA$43,"&gt;"&amp;CA23)+COUNTIF($CA$17:CA23,CA23),"")</f>
        <v/>
      </c>
      <c r="CA23" s="165">
        <f>IF(AND(BM23&lt;&gt;"",'Item Purchases'!$W10=1),ABS(BW23)*1000+CB23,0)</f>
        <v>0</v>
      </c>
      <c r="CB23" s="165">
        <f>N('Storehouse Replenishment Schedu'!$CX10)</f>
        <v>0</v>
      </c>
      <c r="CC23" s="165">
        <f t="shared" si="8"/>
        <v>456</v>
      </c>
      <c r="CD23" s="165" t="str">
        <f>IF('Storehouse Replenishment Schedu'!$CY10="","",'Storehouse Replenishment Schedu'!$CY10)</f>
        <v/>
      </c>
      <c r="CG23" s="166">
        <f>INDEX('Storehouse Replenishment Schedu'!$D$2:$CO$2,1,19)</f>
        <v>46272</v>
      </c>
      <c r="CH23" s="165" t="str">
        <f t="shared" si="9"/>
        <v>07 Sep</v>
      </c>
      <c r="CI23" s="165">
        <f>SUMPRODUCT(INDEX('Storehouse Replenishment Schedu'!$D$4:$CO$30,0,19)*('Item Purchases'!$W$4:$W$30=1))</f>
        <v>336</v>
      </c>
      <c r="CJ23" s="165">
        <f>SUMPRODUCT(INDEX('Storehouse Replenishment Schedu'!$D$4:$CO$30,0,20)*('Item Purchases'!$W$4:$W$30=1))</f>
        <v>144</v>
      </c>
      <c r="CK23" s="165">
        <f>IF(CG23="",0,SUMIFS('Daily Data'!$G$2:$G$1000,'Daily Data'!$A$2:$A$1000,CG23))</f>
        <v>336</v>
      </c>
      <c r="CL23" s="165">
        <f>SUMPRODUCT(INDEX('Storehouse Replenishment Schedu'!$D$4:$CO$30,0,19))-CK23</f>
        <v>0</v>
      </c>
      <c r="CM23" s="165">
        <f t="shared" si="10"/>
        <v>0</v>
      </c>
      <c r="CT23" s="165">
        <f>IF(AND(BM23&lt;&gt;"",'Item Purchases'!$W10=1,ISNUMBER('Item Purchases'!$AQ10),'Item Purchases'!$AS10&lt;&gt;"DISCONTINUED",'Item Purchases'!$AS10&lt;&gt;"NEED MORE DATA"),1,0)</f>
        <v>1</v>
      </c>
      <c r="CU23" s="165">
        <f>IF(CT23=1,SUMPRODUCT(($CT$17:$CT$43=1)*('Item Purchases'!$AQ$4:$AQ$30&lt;'Item Purchases'!$AQ10))+SUMPRODUCT(($CT$17:$CT23=1)*('Item Purchases'!$AQ$4:$AQ10='Item Purchases'!$AQ10)),"")</f>
        <v>25</v>
      </c>
    </row>
    <row r="24" spans="2:123" ht="15" customHeight="1" x14ac:dyDescent="0.25">
      <c r="AA24" s="333"/>
      <c r="AB24" s="130" t="s">
        <v>64</v>
      </c>
      <c r="AC24" s="132">
        <f>MIN(MAX(SUMPRODUCT((ROW($AD$17:$AD$18)-ROW($AD$17)+1&lt;$AC$23)*$AD$17:$AD$18)+INDEX($AD$17:$AD$18,$AC$23)/2,$AC$13/2),100-$AC$13/2)</f>
        <v>73.763250883392217</v>
      </c>
      <c r="AD24" s="130"/>
      <c r="AE24" s="130"/>
      <c r="AF24" s="130"/>
      <c r="AH24" s="165" t="str">
        <f t="shared" si="0"/>
        <v>10 Sep</v>
      </c>
      <c r="AI24" s="166">
        <f>IF(AJ24="","",SUMIFS('Daily Data'!$I$2:$I$1000,'Daily Data'!$A$2:$A$1000,AJ24,'Daily Data'!$M$2:$M$1000,1))</f>
        <v>291</v>
      </c>
      <c r="AJ24" s="167">
        <f>'Daily Data'!$R$10</f>
        <v>46275</v>
      </c>
      <c r="AK24" s="168">
        <f>IF(AJ24="","",COUNTIFS('Daily Data'!$A$2:$A$1000,AJ24,'Daily Data'!$M$2:$M$1000,1,'Daily Data'!$L$2:$L$1000,1))</f>
        <v>25</v>
      </c>
      <c r="AP24" s="165" t="str">
        <f>IF('Item Purchases'!$B$11="","",'Item Purchases'!$B$11)</f>
        <v>Lays Potato Chips (Original) 50g</v>
      </c>
      <c r="AQ24" s="166">
        <f>IF(AP24="","",SUMIFS('Daily Data'!$I$2:$I$1000,'Daily Data'!$E$2:$E$1000,AP24,'Daily Data'!$M$2:$M$1000,1))</f>
        <v>85</v>
      </c>
      <c r="AR24" s="168">
        <f>IF(AP24="","",SUMPRODUCT(ISNUMBER($AQ$17:$AQ$43)*($AQ$17:$AQ$43&gt;AQ24))+SUMPRODUCT(ISNUMBER($AQ$17:AQ24)*($AQ$17:AQ24=AQ24)))</f>
        <v>19</v>
      </c>
      <c r="AT24" s="165" t="str">
        <f t="shared" si="1"/>
        <v>Lays Potato Chips (Original) 50g</v>
      </c>
      <c r="AU24" s="169">
        <f>IF(AT24="","",SUMIFS('Daily Data'!$K$2:$K$1000,'Daily Data'!$E$2:$E$1000,AT24,'Daily Data'!$M$2:$M$1000,1))</f>
        <v>293.93</v>
      </c>
      <c r="AV24" s="168">
        <f>IF(OR(AT24="",N(AU24)&lt;=0),"",SUMPRODUCT(ISNUMBER($AU$17:$AU$43)*($AU$17:$AU$43&gt;AU24))+SUMPRODUCT(ISNUMBER($AU$17:AU24)*($AU$17:AU24=AU24)))</f>
        <v>13</v>
      </c>
      <c r="AW24" s="170">
        <f t="shared" si="2"/>
        <v>2.8564112307018778E-2</v>
      </c>
      <c r="AX24" s="170">
        <f t="shared" si="3"/>
        <v>0.83895945505352931</v>
      </c>
      <c r="AY24" s="165" t="str">
        <f>IF(AT24="","",IF(AV24="","-",IF(AX24&lt;'Item Purchases'!$E$49,"A",IF(AX24&lt;'Item Purchases'!$E$50,"B","C"))))</f>
        <v>B</v>
      </c>
      <c r="BA24" s="165">
        <v>8</v>
      </c>
      <c r="BB24" s="165" t="str">
        <f>IFERROR(LEFT(INDEX($AT$17:$AT$43,MATCH(8,$AV$17:$AV$43,0)),20),"")</f>
        <v>Milo 200ml</v>
      </c>
      <c r="BC24" s="169">
        <f>IFERROR(INDEX($AU$17:$AU$43,MATCH(8,$AV$17:$AV$43,0)),0)</f>
        <v>530.88</v>
      </c>
      <c r="BD24" s="170">
        <f>IF($AU$45=0,0,IFERROR(INDEX($AX$17:$AX$43,MATCH(8,$AV$17:$AV$43,0))+INDEX($AW$17:$AW$43,MATCH(8,$AV$17:$AV$43,0)),1))</f>
        <v>0.70202625122871953</v>
      </c>
      <c r="BJ24" s="165" t="str">
        <f>IF(8&gt;$BG$17,"",INDEX($AT$17:$AT$43,MATCH(8,$AV$17:$AV$43,0)))</f>
        <v>Milo 200ml</v>
      </c>
      <c r="BK24" s="169">
        <f>IF(8&gt;$BG$17,"",INDEX($AU$17:$AU$43,MATCH(8,$AV$17:$AV$43,0)))</f>
        <v>530.88</v>
      </c>
      <c r="BM24" s="165" t="str">
        <f>IF('Item Purchases'!$B11="","",'Item Purchases'!$B11)</f>
        <v>Lays Potato Chips (Original) 50g</v>
      </c>
      <c r="BN24" s="165">
        <f>IF(AND(BM24&lt;&gt;"",'Item Purchases'!$W11=1,'Item Purchases'!$AN11&lt;&gt;"Discontinued",N('Item Purchases'!$C11)&gt;0),1,0)</f>
        <v>1</v>
      </c>
      <c r="BO24" s="165">
        <f>N('Storehouse Replenishment Schedu'!$CR11)</f>
        <v>0</v>
      </c>
      <c r="BP24" s="165">
        <f>N('Item Purchases'!$E11)</f>
        <v>20</v>
      </c>
      <c r="BQ24" s="165">
        <f>N('Item Purchases'!$C11)</f>
        <v>3.8636363636363638</v>
      </c>
      <c r="BR24" s="165">
        <f t="shared" si="4"/>
        <v>0</v>
      </c>
      <c r="BS24" s="165">
        <f t="shared" si="5"/>
        <v>5.1764705882352944</v>
      </c>
      <c r="BT24" s="165">
        <f t="shared" si="6"/>
        <v>5.1764705882352944</v>
      </c>
      <c r="BU24" s="165">
        <f>N('Storehouse Replenishment Schedu'!$CP11)</f>
        <v>72</v>
      </c>
      <c r="BV24" s="165">
        <f>IF(BM24="",0,SUMIFS('Daily Data'!$G$2:$G$1000,'Daily Data'!$E$2:$E$1000,BM24))</f>
        <v>72</v>
      </c>
      <c r="BW24" s="165">
        <f t="shared" si="7"/>
        <v>0</v>
      </c>
      <c r="BX24" s="165" t="str">
        <f>IF(BN24&lt;&gt;1,"",IF(BO24&lt;=0,IF(BT24&lt;='Item Purchases'!$E$38,"EMPTY - ORDER NOW","EMPTY - PLAN ORDER"),IF(BR24&lt;='Item Purchases'!$E$51,"ORDER NOW",IF(BT24&lt;='Item Purchases'!$E$38,"TRANSFER TO PANTRY",IF(BR24&lt;='Item Purchases'!$E$39,"WATCH","OK")))))</f>
        <v>EMPTY - ORDER NOW</v>
      </c>
      <c r="BY24" s="165">
        <f>IF(BN24=1,SUMPRODUCT(($BN$17:$BN$43=1)*(($BR$17:$BR$43&lt;BR24)+($BR$17:$BR$43=BR24)*($BT$17:$BT$43&lt;BT24)))+SUMPRODUCT(($BN$17:$BN24=1)*($BR$17:$BR24=BR24)*($BT$17:$BT24=BT24)),"")</f>
        <v>9</v>
      </c>
      <c r="BZ24" s="165" t="str">
        <f>IF(CA24&gt;0,COUNTIF($CA$17:$CA$43,"&gt;"&amp;CA24)+COUNTIF($CA$17:CA24,CA24),"")</f>
        <v/>
      </c>
      <c r="CA24" s="165">
        <f>IF(AND(BM24&lt;&gt;"",'Item Purchases'!$W11=1),ABS(BW24)*1000+CB24,0)</f>
        <v>0</v>
      </c>
      <c r="CB24" s="165">
        <f>N('Storehouse Replenishment Schedu'!$CX11)</f>
        <v>0</v>
      </c>
      <c r="CC24" s="165">
        <f t="shared" si="8"/>
        <v>72</v>
      </c>
      <c r="CD24" s="165" t="str">
        <f>IF('Storehouse Replenishment Schedu'!$CY11="","",'Storehouse Replenishment Schedu'!$CY11)</f>
        <v/>
      </c>
      <c r="CG24" s="166">
        <f>INDEX('Storehouse Replenishment Schedu'!$D$2:$CO$2,1,22)</f>
        <v>46273</v>
      </c>
      <c r="CH24" s="165" t="str">
        <f t="shared" si="9"/>
        <v>08 Sep</v>
      </c>
      <c r="CI24" s="165">
        <f>SUMPRODUCT(INDEX('Storehouse Replenishment Schedu'!$D$4:$CO$30,0,22)*('Item Purchases'!$W$4:$W$30=1))</f>
        <v>555</v>
      </c>
      <c r="CJ24" s="165">
        <f>SUMPRODUCT(INDEX('Storehouse Replenishment Schedu'!$D$4:$CO$30,0,23)*('Item Purchases'!$W$4:$W$30=1))</f>
        <v>914</v>
      </c>
      <c r="CK24" s="165">
        <f>IF(CG24="",0,SUMIFS('Daily Data'!$G$2:$G$1000,'Daily Data'!$A$2:$A$1000,CG24))</f>
        <v>555</v>
      </c>
      <c r="CL24" s="165">
        <f>SUMPRODUCT(INDEX('Storehouse Replenishment Schedu'!$D$4:$CO$30,0,22))-CK24</f>
        <v>0</v>
      </c>
      <c r="CM24" s="165">
        <f t="shared" si="10"/>
        <v>0</v>
      </c>
      <c r="CT24" s="165">
        <f>IF(AND(BM24&lt;&gt;"",'Item Purchases'!$W11=1,ISNUMBER('Item Purchases'!$AQ11),'Item Purchases'!$AS11&lt;&gt;"DISCONTINUED",'Item Purchases'!$AS11&lt;&gt;"NEED MORE DATA"),1,0)</f>
        <v>1</v>
      </c>
      <c r="CU24" s="165">
        <f>IF(CT24=1,SUMPRODUCT(($CT$17:$CT$43=1)*('Item Purchases'!$AQ$4:$AQ$30&lt;'Item Purchases'!$AQ11))+SUMPRODUCT(($CT$17:$CT24=1)*('Item Purchases'!$AQ$4:$AQ11='Item Purchases'!$AQ11)),"")</f>
        <v>7</v>
      </c>
    </row>
    <row r="25" spans="2:123" ht="15" customHeight="1" x14ac:dyDescent="0.25">
      <c r="AA25" s="333"/>
      <c r="AH25" s="165" t="str">
        <f t="shared" si="0"/>
        <v>11 Sep</v>
      </c>
      <c r="AI25" s="166">
        <f>IF(AJ25="","",SUMIFS('Daily Data'!$I$2:$I$1000,'Daily Data'!$A$2:$A$1000,AJ25,'Daily Data'!$M$2:$M$1000,1))</f>
        <v>294</v>
      </c>
      <c r="AJ25" s="167">
        <f>'Daily Data'!$R$11</f>
        <v>46276</v>
      </c>
      <c r="AK25" s="168">
        <f>IF(AJ25="","",COUNTIFS('Daily Data'!$A$2:$A$1000,AJ25,'Daily Data'!$M$2:$M$1000,1,'Daily Data'!$L$2:$L$1000,1))</f>
        <v>25</v>
      </c>
      <c r="AP25" s="165" t="str">
        <f>IF('Item Purchases'!$B$12="","",'Item Purchases'!$B$12)</f>
        <v xml:space="preserve">Lays Double Crunch - Seaweed Flav (50g) </v>
      </c>
      <c r="AQ25" s="166">
        <f>IF(AP25="","",SUMIFS('Daily Data'!$I$2:$I$1000,'Daily Data'!$E$2:$E$1000,AP25,'Daily Data'!$M$2:$M$1000,1))</f>
        <v>315</v>
      </c>
      <c r="AR25" s="168">
        <f>IF(AP25="","",SUMPRODUCT(ISNUMBER($AQ$17:$AQ$43)*($AQ$17:$AQ$43&gt;AQ25))+SUMPRODUCT(ISNUMBER($AQ$17:AQ25)*($AQ$17:AQ25=AQ25)))</f>
        <v>7</v>
      </c>
      <c r="AT25" s="165" t="str">
        <f t="shared" si="1"/>
        <v xml:space="preserve">Lays Double Crunch - Seaweed Flav (50g) </v>
      </c>
      <c r="AU25" s="169">
        <f>IF(AT25="","",SUMIFS('Daily Data'!$K$2:$K$1000,'Daily Data'!$E$2:$E$1000,AT25,'Daily Data'!$M$2:$M$1000,1))</f>
        <v>1260</v>
      </c>
      <c r="AV25" s="168">
        <f>IF(OR(AT25="",N(AU25)&lt;=0),"",SUMPRODUCT(ISNUMBER($AU$17:$AU$43)*($AU$17:$AU$43&gt;AU25))+SUMPRODUCT(ISNUMBER($AU$17:AU25)*($AU$17:AU25=AU25)))</f>
        <v>1</v>
      </c>
      <c r="AW25" s="170">
        <f t="shared" si="2"/>
        <v>0.12244677816773945</v>
      </c>
      <c r="AX25" s="170">
        <f t="shared" si="3"/>
        <v>0</v>
      </c>
      <c r="AY25" s="165" t="str">
        <f>IF(AT25="","",IF(AV25="","-",IF(AX25&lt;'Item Purchases'!$E$49,"A",IF(AX25&lt;'Item Purchases'!$E$50,"B","C"))))</f>
        <v>A</v>
      </c>
      <c r="BA25" s="165">
        <v>9</v>
      </c>
      <c r="BB25" s="165" t="str">
        <f>IFERROR(LEFT(INDEX($AT$17:$AT$43,MATCH(9,$AV$17:$AV$43,0)),20),"")</f>
        <v xml:space="preserve">BingRae Banana Milk </v>
      </c>
      <c r="BC25" s="169">
        <f>IFERROR(INDEX($AU$17:$AU$43,MATCH(9,$AV$17:$AV$43,0)),0)</f>
        <v>407.86799999999999</v>
      </c>
      <c r="BD25" s="170">
        <f>IF($AU$45=0,0,IFERROR(INDEX($AX$17:$AX$43,MATCH(9,$AV$17:$AV$43,0))+INDEX($AW$17:$AW$43,MATCH(9,$AV$17:$AV$43,0)),1))</f>
        <v>0.74166285640151275</v>
      </c>
      <c r="BJ25" s="165" t="str">
        <f>IF(9&gt;$BG$17,"",INDEX($AT$17:$AT$43,MATCH(9,$AV$17:$AV$43,0)))</f>
        <v>BingRae Banana Milk 200ml</v>
      </c>
      <c r="BK25" s="169">
        <f>IF(9&gt;$BG$17,"",INDEX($AU$17:$AU$43,MATCH(9,$AV$17:$AV$43,0)))</f>
        <v>407.86799999999999</v>
      </c>
      <c r="BM25" s="165" t="str">
        <f>IF('Item Purchases'!$B12="","",'Item Purchases'!$B12)</f>
        <v xml:space="preserve">Lays Double Crunch - Seaweed Flav (50g) </v>
      </c>
      <c r="BN25" s="165">
        <f>IF(AND(BM25&lt;&gt;"",'Item Purchases'!$W12=1,'Item Purchases'!$AN12&lt;&gt;"Discontinued",N('Item Purchases'!$C12)&gt;0),1,0)</f>
        <v>1</v>
      </c>
      <c r="BO25" s="165">
        <f>N('Storehouse Replenishment Schedu'!$CR12)</f>
        <v>93</v>
      </c>
      <c r="BP25" s="165">
        <f>N('Item Purchases'!$E12)</f>
        <v>39</v>
      </c>
      <c r="BQ25" s="165">
        <f>N('Item Purchases'!$C12)</f>
        <v>15.75</v>
      </c>
      <c r="BR25" s="165">
        <f t="shared" si="4"/>
        <v>5.9047619047619051</v>
      </c>
      <c r="BS25" s="165">
        <f t="shared" si="5"/>
        <v>8.3809523809523814</v>
      </c>
      <c r="BT25" s="165">
        <f t="shared" si="6"/>
        <v>2.4761904761904763</v>
      </c>
      <c r="BU25" s="165">
        <f>N('Storehouse Replenishment Schedu'!$CP12)</f>
        <v>332</v>
      </c>
      <c r="BV25" s="165">
        <f>IF(BM25="",0,SUMIFS('Daily Data'!$G$2:$G$1000,'Daily Data'!$E$2:$E$1000,BM25))</f>
        <v>330</v>
      </c>
      <c r="BW25" s="165">
        <f t="shared" si="7"/>
        <v>0</v>
      </c>
      <c r="BX25" s="165" t="str">
        <f>IF(BN25&lt;&gt;1,"",IF(BO25&lt;=0,IF(BT25&lt;='Item Purchases'!$E$38,"EMPTY - ORDER NOW","EMPTY - PLAN ORDER"),IF(BR25&lt;='Item Purchases'!$E$51,"ORDER NOW",IF(BT25&lt;='Item Purchases'!$E$38,"TRANSFER TO PANTRY",IF(BR25&lt;='Item Purchases'!$E$39,"WATCH","OK")))))</f>
        <v>TRANSFER TO PANTRY</v>
      </c>
      <c r="BY25" s="165">
        <f>IF(BN25=1,SUMPRODUCT(($BN$17:$BN$43=1)*(($BR$17:$BR$43&lt;BR25)+($BR$17:$BR$43=BR25)*($BT$17:$BT$43&lt;BT25)))+SUMPRODUCT(($BN$17:$BN25=1)*($BR$17:$BR25=BR25)*($BT$17:$BT25=BT25)),"")</f>
        <v>17</v>
      </c>
      <c r="BZ25" s="165">
        <f>IF(CA25&gt;0,COUNTIF($CA$17:$CA$43,"&gt;"&amp;CA25)+COUNTIF($CA$17:CA25,CA25),"")</f>
        <v>1</v>
      </c>
      <c r="CA25" s="165">
        <f>IF(AND(BM25&lt;&gt;"",'Item Purchases'!$W12=1),ABS(BW25)*1000+CB25,0)</f>
        <v>2</v>
      </c>
      <c r="CB25" s="165">
        <f>N('Storehouse Replenishment Schedu'!$CX12)</f>
        <v>2</v>
      </c>
      <c r="CC25" s="165">
        <f t="shared" si="8"/>
        <v>330</v>
      </c>
      <c r="CD25" s="165" t="str">
        <f>IF('Storehouse Replenishment Schedu'!$CY12="","",'Storehouse Replenishment Schedu'!$CY12)</f>
        <v/>
      </c>
      <c r="CG25" s="166">
        <f>INDEX('Storehouse Replenishment Schedu'!$D$2:$CO$2,1,25)</f>
        <v>46274</v>
      </c>
      <c r="CH25" s="165" t="str">
        <f t="shared" si="9"/>
        <v>09 Sep</v>
      </c>
      <c r="CI25" s="165">
        <f>SUMPRODUCT(INDEX('Storehouse Replenishment Schedu'!$D$4:$CO$30,0,25)*('Item Purchases'!$W$4:$W$30=1))</f>
        <v>274</v>
      </c>
      <c r="CJ25" s="165">
        <f>SUMPRODUCT(INDEX('Storehouse Replenishment Schedu'!$D$4:$CO$30,0,26)*('Item Purchases'!$W$4:$W$30=1))</f>
        <v>168</v>
      </c>
      <c r="CK25" s="165">
        <f>IF(CG25="",0,SUMIFS('Daily Data'!$G$2:$G$1000,'Daily Data'!$A$2:$A$1000,CG25))</f>
        <v>274</v>
      </c>
      <c r="CL25" s="165">
        <f>SUMPRODUCT(INDEX('Storehouse Replenishment Schedu'!$D$4:$CO$30,0,25))-CK25</f>
        <v>0</v>
      </c>
      <c r="CM25" s="165">
        <f t="shared" si="10"/>
        <v>0</v>
      </c>
      <c r="CT25" s="165">
        <f>IF(AND(BM25&lt;&gt;"",'Item Purchases'!$W12=1,ISNUMBER('Item Purchases'!$AQ12),'Item Purchases'!$AS12&lt;&gt;"DISCONTINUED",'Item Purchases'!$AS12&lt;&gt;"NEED MORE DATA"),1,0)</f>
        <v>1</v>
      </c>
      <c r="CU25" s="165">
        <f>IF(CT25=1,SUMPRODUCT(($CT$17:$CT$43=1)*('Item Purchases'!$AQ$4:$AQ$30&lt;'Item Purchases'!$AQ12))+SUMPRODUCT(($CT$17:$CT25=1)*('Item Purchases'!$AQ$4:$AQ12='Item Purchases'!$AQ12)),"")</f>
        <v>18</v>
      </c>
    </row>
    <row r="26" spans="2:123" ht="15" customHeight="1" x14ac:dyDescent="0.25">
      <c r="AA26" s="333"/>
      <c r="AB26" s="128" t="s">
        <v>65</v>
      </c>
      <c r="AH26" s="165" t="str">
        <f t="shared" si="0"/>
        <v>14 Sep</v>
      </c>
      <c r="AI26" s="166">
        <f>IF(AJ26="","",SUMIFS('Daily Data'!$I$2:$I$1000,'Daily Data'!$A$2:$A$1000,AJ26,'Daily Data'!$M$2:$M$1000,1))</f>
        <v>190</v>
      </c>
      <c r="AJ26" s="167">
        <f>'Daily Data'!$R$12</f>
        <v>46279</v>
      </c>
      <c r="AK26" s="168">
        <f>IF(AJ26="","",COUNTIFS('Daily Data'!$A$2:$A$1000,AJ26,'Daily Data'!$M$2:$M$1000,1,'Daily Data'!$L$2:$L$1000,1))</f>
        <v>25</v>
      </c>
      <c r="AM26" s="129" t="s">
        <v>66</v>
      </c>
      <c r="AN26" s="129" t="s">
        <v>29</v>
      </c>
      <c r="AP26" s="165" t="str">
        <f>IF('Item Purchases'!$B$13="","",'Item Purchases'!$B$13)</f>
        <v>Munchy Oat Krunch - Dark Choco</v>
      </c>
      <c r="AQ26" s="166">
        <f>IF(AP26="","",SUMIFS('Daily Data'!$I$2:$I$1000,'Daily Data'!$E$2:$E$1000,AP26,'Daily Data'!$M$2:$M$1000,1))</f>
        <v>285</v>
      </c>
      <c r="AR26" s="168">
        <f>IF(AP26="","",SUMPRODUCT(ISNUMBER($AQ$17:$AQ$43)*($AQ$17:$AQ$43&gt;AQ26))+SUMPRODUCT(ISNUMBER($AQ$17:AQ26)*($AQ$17:AQ26=AQ26)))</f>
        <v>9</v>
      </c>
      <c r="AT26" s="165" t="str">
        <f t="shared" si="1"/>
        <v>Munchy Oat Krunch - Dark Choco</v>
      </c>
      <c r="AU26" s="169">
        <f>IF(AT26="","",SUMIFS('Daily Data'!$K$2:$K$1000,'Daily Data'!$E$2:$E$1000,AT26,'Daily Data'!$M$2:$M$1000,1))</f>
        <v>208.04999999999995</v>
      </c>
      <c r="AV26" s="168">
        <f>IF(OR(AT26="",N(AU26)&lt;=0),"",SUMPRODUCT(ISNUMBER($AU$17:$AU$43)*($AU$17:$AU$43&gt;AU26))+SUMPRODUCT(ISNUMBER($AU$17:AU26)*($AU$17:AU26=AU26)))</f>
        <v>15</v>
      </c>
      <c r="AW26" s="170">
        <f t="shared" si="2"/>
        <v>2.0218295395077926E-2</v>
      </c>
      <c r="AX26" s="170">
        <f t="shared" si="3"/>
        <v>0.88825701384377442</v>
      </c>
      <c r="AY26" s="165" t="str">
        <f>IF(AT26="","",IF(AV26="","-",IF(AX26&lt;'Item Purchases'!$E$49,"A",IF(AX26&lt;'Item Purchases'!$E$50,"B","C"))))</f>
        <v>B</v>
      </c>
      <c r="BA26" s="165">
        <v>10</v>
      </c>
      <c r="BB26" s="165" t="str">
        <f>IFERROR(LEFT(INDEX($AT$17:$AT$43,MATCH(10,$AV$17:$AV$43,0)),20),"")</f>
        <v>Vsoy Soya Bean  250m</v>
      </c>
      <c r="BC26" s="169">
        <f>IFERROR(INDEX($AU$17:$AU$43,MATCH(10,$AV$17:$AV$43,0)),0)</f>
        <v>338.75</v>
      </c>
      <c r="BD26" s="170">
        <f>IF($AU$45=0,0,IFERROR(INDEX($AX$17:$AX$43,MATCH(10,$AV$17:$AV$43,0))+INDEX($AW$17:$AW$43,MATCH(10,$AV$17:$AV$43,0)),1))</f>
        <v>0.77458257553192689</v>
      </c>
      <c r="BM26" s="165" t="str">
        <f>IF('Item Purchases'!$B13="","",'Item Purchases'!$B13)</f>
        <v>Munchy Oat Krunch - Dark Choco</v>
      </c>
      <c r="BN26" s="165">
        <f>IF(AND(BM26&lt;&gt;"",'Item Purchases'!$W13=1,'Item Purchases'!$AN13&lt;&gt;"Discontinued",N('Item Purchases'!$C13)&gt;0),1,0)</f>
        <v>1</v>
      </c>
      <c r="BO26" s="165">
        <f>N('Storehouse Replenishment Schedu'!$CR13)</f>
        <v>0</v>
      </c>
      <c r="BP26" s="165">
        <f>N('Item Purchases'!$E13)</f>
        <v>45</v>
      </c>
      <c r="BQ26" s="165">
        <f>N('Item Purchases'!$C13)</f>
        <v>15.833333333333334</v>
      </c>
      <c r="BR26" s="165">
        <f t="shared" si="4"/>
        <v>0</v>
      </c>
      <c r="BS26" s="165">
        <f t="shared" si="5"/>
        <v>2.8421052631578947</v>
      </c>
      <c r="BT26" s="165">
        <f t="shared" si="6"/>
        <v>2.8421052631578947</v>
      </c>
      <c r="BU26" s="165">
        <f>N('Storehouse Replenishment Schedu'!$CP13)</f>
        <v>285</v>
      </c>
      <c r="BV26" s="165">
        <f>IF(BM26="",0,SUMIFS('Daily Data'!$G$2:$G$1000,'Daily Data'!$E$2:$E$1000,BM26))</f>
        <v>285</v>
      </c>
      <c r="BW26" s="165">
        <f t="shared" si="7"/>
        <v>0</v>
      </c>
      <c r="BX26" s="165" t="str">
        <f>IF(BN26&lt;&gt;1,"",IF(BO26&lt;=0,IF(BT26&lt;='Item Purchases'!$E$38,"EMPTY - ORDER NOW","EMPTY - PLAN ORDER"),IF(BR26&lt;='Item Purchases'!$E$51,"ORDER NOW",IF(BT26&lt;='Item Purchases'!$E$38,"TRANSFER TO PANTRY",IF(BR26&lt;='Item Purchases'!$E$39,"WATCH","OK")))))</f>
        <v>EMPTY - ORDER NOW</v>
      </c>
      <c r="BY26" s="165">
        <f>IF(BN26=1,SUMPRODUCT(($BN$17:$BN$43=1)*(($BR$17:$BR$43&lt;BR26)+($BR$17:$BR$43=BR26)*($BT$17:$BT$43&lt;BT26)))+SUMPRODUCT(($BN$17:$BN26=1)*($BR$17:$BR26=BR26)*($BT$17:$BT26=BT26)),"")</f>
        <v>5</v>
      </c>
      <c r="BZ26" s="165" t="str">
        <f>IF(CA26&gt;0,COUNTIF($CA$17:$CA$43,"&gt;"&amp;CA26)+COUNTIF($CA$17:CA26,CA26),"")</f>
        <v/>
      </c>
      <c r="CA26" s="165">
        <f>IF(AND(BM26&lt;&gt;"",'Item Purchases'!$W13=1),ABS(BW26)*1000+CB26,0)</f>
        <v>0</v>
      </c>
      <c r="CB26" s="165">
        <f>N('Storehouse Replenishment Schedu'!$CX13)</f>
        <v>0</v>
      </c>
      <c r="CC26" s="165">
        <f t="shared" si="8"/>
        <v>285</v>
      </c>
      <c r="CD26" s="165" t="str">
        <f>IF('Storehouse Replenishment Schedu'!$CY13="","",'Storehouse Replenishment Schedu'!$CY13)</f>
        <v/>
      </c>
      <c r="CG26" s="166">
        <f>INDEX('Storehouse Replenishment Schedu'!$D$2:$CO$2,1,28)</f>
        <v>46275</v>
      </c>
      <c r="CH26" s="165" t="str">
        <f t="shared" si="9"/>
        <v>10 Sep</v>
      </c>
      <c r="CI26" s="165">
        <f>SUMPRODUCT(INDEX('Storehouse Replenishment Schedu'!$D$4:$CO$30,0,28)*('Item Purchases'!$W$4:$W$30=1))</f>
        <v>150</v>
      </c>
      <c r="CJ26" s="165">
        <f>SUMPRODUCT(INDEX('Storehouse Replenishment Schedu'!$D$4:$CO$30,0,29)*('Item Purchases'!$W$4:$W$30=1))</f>
        <v>0</v>
      </c>
      <c r="CK26" s="165">
        <f>IF(CG26="",0,SUMIFS('Daily Data'!$G$2:$G$1000,'Daily Data'!$A$2:$A$1000,CG26))</f>
        <v>150</v>
      </c>
      <c r="CL26" s="165">
        <f>SUMPRODUCT(INDEX('Storehouse Replenishment Schedu'!$D$4:$CO$30,0,28))-CK26</f>
        <v>0</v>
      </c>
      <c r="CM26" s="165">
        <f t="shared" si="10"/>
        <v>0</v>
      </c>
      <c r="CT26" s="165">
        <f>IF(AND(BM26&lt;&gt;"",'Item Purchases'!$W13=1,ISNUMBER('Item Purchases'!$AQ13),'Item Purchases'!$AS13&lt;&gt;"DISCONTINUED",'Item Purchases'!$AS13&lt;&gt;"NEED MORE DATA"),1,0)</f>
        <v>1</v>
      </c>
      <c r="CU26" s="165">
        <f>IF(CT26=1,SUMPRODUCT(($CT$17:$CT$43=1)*('Item Purchases'!$AQ$4:$AQ$30&lt;'Item Purchases'!$AQ13))+SUMPRODUCT(($CT$17:$CT26=1)*('Item Purchases'!$AQ$4:$AQ13='Item Purchases'!$AQ13)),"")</f>
        <v>20</v>
      </c>
    </row>
    <row r="27" spans="2:123" x14ac:dyDescent="0.25">
      <c r="B27" s="338" t="str">
        <f>AB17</f>
        <v>Sweet</v>
      </c>
      <c r="C27" s="338"/>
      <c r="D27" s="338"/>
      <c r="E27" s="338"/>
      <c r="F27" s="343" t="str">
        <f>AB18</f>
        <v>Savoury</v>
      </c>
      <c r="G27" s="343"/>
      <c r="H27" s="343"/>
      <c r="I27" s="343"/>
      <c r="J27" s="341" t="str">
        <f>AB28</f>
        <v>Coffee</v>
      </c>
      <c r="K27" s="341"/>
      <c r="L27" s="370" t="str">
        <f>AB29</f>
        <v>Tea</v>
      </c>
      <c r="M27" s="370"/>
      <c r="N27" s="370"/>
      <c r="O27" s="369" t="str">
        <f>AB30</f>
        <v>Other</v>
      </c>
      <c r="P27" s="369"/>
      <c r="Q27" s="369"/>
      <c r="AA27" s="333"/>
      <c r="AB27" s="129" t="s">
        <v>28</v>
      </c>
      <c r="AC27" s="129" t="s">
        <v>29</v>
      </c>
      <c r="AD27" s="129" t="s">
        <v>30</v>
      </c>
      <c r="AE27" s="129" t="s">
        <v>31</v>
      </c>
      <c r="AF27" s="129" t="s">
        <v>32</v>
      </c>
      <c r="AH27" s="165" t="str">
        <f t="shared" si="0"/>
        <v>15 Sep</v>
      </c>
      <c r="AI27" s="166">
        <f>IF(AJ27="","",SUMIFS('Daily Data'!$I$2:$I$1000,'Daily Data'!$A$2:$A$1000,AJ27,'Daily Data'!$M$2:$M$1000,1))</f>
        <v>189</v>
      </c>
      <c r="AJ27" s="167">
        <f>'Daily Data'!$R$13</f>
        <v>46280</v>
      </c>
      <c r="AK27" s="168">
        <f>IF(AJ27="","",COUNTIFS('Daily Data'!$A$2:$A$1000,AJ27,'Daily Data'!$M$2:$M$1000,1,'Daily Data'!$L$2:$L$1000,1))</f>
        <v>25</v>
      </c>
      <c r="AM27" s="165" t="str">
        <f>'Daily Data'!$P$3</f>
        <v>Sep Week 1</v>
      </c>
      <c r="AN27" s="166">
        <f>SUMIFS('Daily Data'!$I$2:$I$1000,'Daily Data'!$C$2:$C$1000,AM27,'Daily Data'!$M$2:$M$1000,1)</f>
        <v>1141</v>
      </c>
      <c r="AP27" s="165" t="str">
        <f>IF('Item Purchases'!$B$14="","",'Item Purchases'!$B$14)</f>
        <v>Munchy Oat Krunch - Strawberry &amp; Blackcurrant</v>
      </c>
      <c r="AQ27" s="166">
        <f>IF(AP27="","",SUMIFS('Daily Data'!$I$2:$I$1000,'Daily Data'!$E$2:$E$1000,AP27,'Daily Data'!$M$2:$M$1000,1))</f>
        <v>182</v>
      </c>
      <c r="AR27" s="168">
        <f>IF(AP27="","",SUMPRODUCT(ISNUMBER($AQ$17:$AQ$43)*($AQ$17:$AQ$43&gt;AQ27))+SUMPRODUCT(ISNUMBER($AQ$17:AQ27)*($AQ$17:AQ27=AQ27)))</f>
        <v>15</v>
      </c>
      <c r="AT27" s="165" t="str">
        <f t="shared" si="1"/>
        <v>Munchy Oat Krunch - Strawberry &amp; Blackcurrant</v>
      </c>
      <c r="AU27" s="169">
        <f>IF(AT27="","",SUMIFS('Daily Data'!$K$2:$K$1000,'Daily Data'!$E$2:$E$1000,AT27,'Daily Data'!$M$2:$M$1000,1))</f>
        <v>132.86000000000001</v>
      </c>
      <c r="AV27" s="168">
        <f>IF(OR(AT27="",N(AU27)&lt;=0),"",SUMPRODUCT(ISNUMBER($AU$17:$AU$43)*($AU$17:$AU$43&gt;AU27))+SUMPRODUCT(ISNUMBER($AU$17:AU27)*($AU$17:AU27=AU27)))</f>
        <v>19</v>
      </c>
      <c r="AW27" s="170">
        <f t="shared" si="2"/>
        <v>1.2911332497909418E-2</v>
      </c>
      <c r="AX27" s="170">
        <f t="shared" si="3"/>
        <v>0.95167302628669947</v>
      </c>
      <c r="AY27" s="165" t="str">
        <f>IF(AT27="","",IF(AV27="","-",IF(AX27&lt;'Item Purchases'!$E$49,"A",IF(AX27&lt;'Item Purchases'!$E$50,"B","C"))))</f>
        <v>C</v>
      </c>
      <c r="BA27" s="165">
        <v>11</v>
      </c>
      <c r="BB27" s="165" t="str">
        <f>IFERROR(LEFT(INDEX($AT$17:$AT$43,MATCH(11,$AV$17:$AV$43,0)),20),"")</f>
        <v>COKE ZERO  325ML</v>
      </c>
      <c r="BC27" s="169">
        <f>IFERROR(INDEX($AU$17:$AU$43,MATCH(11,$AV$17:$AV$43,0)),0)</f>
        <v>338.54999999999995</v>
      </c>
      <c r="BD27" s="170">
        <f>IF($AU$45=0,0,IFERROR(INDEX($AX$17:$AX$43,MATCH(11,$AV$17:$AV$43,0))+INDEX($AW$17:$AW$43,MATCH(11,$AV$17:$AV$43,0)),1))</f>
        <v>0.80748285866580627</v>
      </c>
      <c r="BM27" s="165" t="str">
        <f>IF('Item Purchases'!$B14="","",'Item Purchases'!$B14)</f>
        <v>Munchy Oat Krunch - Strawberry &amp; Blackcurrant</v>
      </c>
      <c r="BN27" s="165">
        <f>IF(AND(BM27&lt;&gt;"",'Item Purchases'!$W14=1,'Item Purchases'!$AN14&lt;&gt;"Discontinued",N('Item Purchases'!$C14)&gt;0),1,0)</f>
        <v>1</v>
      </c>
      <c r="BO27" s="165">
        <f>N('Storehouse Replenishment Schedu'!$CR14)</f>
        <v>0</v>
      </c>
      <c r="BP27" s="165">
        <f>N('Item Purchases'!$E14)</f>
        <v>37</v>
      </c>
      <c r="BQ27" s="165">
        <f>N('Item Purchases'!$C14)</f>
        <v>8.2727272727272734</v>
      </c>
      <c r="BR27" s="165">
        <f t="shared" si="4"/>
        <v>0</v>
      </c>
      <c r="BS27" s="165">
        <f t="shared" si="5"/>
        <v>4.4725274725274717</v>
      </c>
      <c r="BT27" s="165">
        <f t="shared" si="6"/>
        <v>4.4725274725274717</v>
      </c>
      <c r="BU27" s="165">
        <f>N('Storehouse Replenishment Schedu'!$CP14)</f>
        <v>210</v>
      </c>
      <c r="BV27" s="165">
        <f>IF(BM27="",0,SUMIFS('Daily Data'!$G$2:$G$1000,'Daily Data'!$E$2:$E$1000,BM27))</f>
        <v>210</v>
      </c>
      <c r="BW27" s="165">
        <f t="shared" si="7"/>
        <v>0</v>
      </c>
      <c r="BX27" s="165" t="str">
        <f>IF(BN27&lt;&gt;1,"",IF(BO27&lt;=0,IF(BT27&lt;='Item Purchases'!$E$38,"EMPTY - ORDER NOW","EMPTY - PLAN ORDER"),IF(BR27&lt;='Item Purchases'!$E$51,"ORDER NOW",IF(BT27&lt;='Item Purchases'!$E$38,"TRANSFER TO PANTRY",IF(BR27&lt;='Item Purchases'!$E$39,"WATCH","OK")))))</f>
        <v>EMPTY - ORDER NOW</v>
      </c>
      <c r="BY27" s="165">
        <f>IF(BN27=1,SUMPRODUCT(($BN$17:$BN$43=1)*(($BR$17:$BR$43&lt;BR27)+($BR$17:$BR$43=BR27)*($BT$17:$BT$43&lt;BT27)))+SUMPRODUCT(($BN$17:$BN27=1)*($BR$17:$BR27=BR27)*($BT$17:$BT27=BT27)),"")</f>
        <v>7</v>
      </c>
      <c r="BZ27" s="165" t="str">
        <f>IF(CA27&gt;0,COUNTIF($CA$17:$CA$43,"&gt;"&amp;CA27)+COUNTIF($CA$17:CA27,CA27),"")</f>
        <v/>
      </c>
      <c r="CA27" s="165">
        <f>IF(AND(BM27&lt;&gt;"",'Item Purchases'!$W14=1),ABS(BW27)*1000+CB27,0)</f>
        <v>0</v>
      </c>
      <c r="CB27" s="165">
        <f>N('Storehouse Replenishment Schedu'!$CX14)</f>
        <v>0</v>
      </c>
      <c r="CC27" s="165">
        <f t="shared" si="8"/>
        <v>210</v>
      </c>
      <c r="CD27" s="165" t="str">
        <f>IF('Storehouse Replenishment Schedu'!$CY14="","",'Storehouse Replenishment Schedu'!$CY14)</f>
        <v/>
      </c>
      <c r="CG27" s="166">
        <f>INDEX('Storehouse Replenishment Schedu'!$D$2:$CO$2,1,31)</f>
        <v>46276</v>
      </c>
      <c r="CH27" s="165" t="str">
        <f t="shared" si="9"/>
        <v>11 Sep</v>
      </c>
      <c r="CI27" s="165">
        <f>SUMPRODUCT(INDEX('Storehouse Replenishment Schedu'!$D$4:$CO$30,0,31)*('Item Purchases'!$W$4:$W$30=1))</f>
        <v>264</v>
      </c>
      <c r="CJ27" s="165">
        <f>SUMPRODUCT(INDEX('Storehouse Replenishment Schedu'!$D$4:$CO$30,0,32)*('Item Purchases'!$W$4:$W$30=1))</f>
        <v>144</v>
      </c>
      <c r="CK27" s="165">
        <f>IF(CG27="",0,SUMIFS('Daily Data'!$G$2:$G$1000,'Daily Data'!$A$2:$A$1000,CG27))</f>
        <v>264</v>
      </c>
      <c r="CL27" s="165">
        <f>SUMPRODUCT(INDEX('Storehouse Replenishment Schedu'!$D$4:$CO$30,0,31))-CK27</f>
        <v>0</v>
      </c>
      <c r="CM27" s="165">
        <f t="shared" si="10"/>
        <v>0</v>
      </c>
      <c r="CT27" s="165">
        <f>IF(AND(BM27&lt;&gt;"",'Item Purchases'!$W14=1,ISNUMBER('Item Purchases'!$AQ14),'Item Purchases'!$AS14&lt;&gt;"DISCONTINUED",'Item Purchases'!$AS14&lt;&gt;"NEED MORE DATA"),1,0)</f>
        <v>1</v>
      </c>
      <c r="CU27" s="165">
        <f>IF(CT27=1,SUMPRODUCT(($CT$17:$CT$43=1)*('Item Purchases'!$AQ$4:$AQ$30&lt;'Item Purchases'!$AQ14))+SUMPRODUCT(($CT$17:$CT27=1)*('Item Purchases'!$AQ$4:$AQ14='Item Purchases'!$AQ14)),"")</f>
        <v>12</v>
      </c>
    </row>
    <row r="28" spans="2:123" ht="18" customHeight="1" x14ac:dyDescent="0.25">
      <c r="B28" s="355" t="str">
        <f>TEXT(AD17/100,"0%")&amp;"  ·  "&amp;TEXT(AC17,"#,##0")&amp;" units"</f>
        <v>48%  ·  807 units</v>
      </c>
      <c r="C28" s="355"/>
      <c r="D28" s="355"/>
      <c r="E28" s="355"/>
      <c r="F28" s="355" t="str">
        <f>TEXT(AD18/100,"0%")&amp;"  ·  "&amp;TEXT(AC18,"#,##0")&amp;" units"</f>
        <v>52%  ·  891 units</v>
      </c>
      <c r="G28" s="355"/>
      <c r="H28" s="355"/>
      <c r="I28" s="355"/>
      <c r="J28" s="355" t="str">
        <f>TEXT(AD28/100,"0%")&amp;"  ·  "&amp;TEXT(AC28,"#,##0")&amp;" units"</f>
        <v>3%  ·  104 units</v>
      </c>
      <c r="K28" s="355"/>
      <c r="L28" s="355" t="str">
        <f>TEXT(AD29/100,"0%")&amp;"  ·  "&amp;TEXT(AC29,"#,##0")&amp;" units"</f>
        <v>21%  ·  738 units</v>
      </c>
      <c r="M28" s="355"/>
      <c r="N28" s="355"/>
      <c r="O28" s="355" t="str">
        <f>TEXT(AD30/100,"0%")&amp;"  ·  "&amp;TEXT(AC30,"#,##0")&amp;" units"</f>
        <v>76%  ·  2,632 units</v>
      </c>
      <c r="P28" s="355"/>
      <c r="Q28" s="355"/>
      <c r="AA28" s="333"/>
      <c r="AB28" s="130" t="s">
        <v>67</v>
      </c>
      <c r="AC28" s="131">
        <f>SUMIFS('Daily Data'!$I$2:$I$1000,'Daily Data'!$F$2:$F$1000,$AB28,'Daily Data'!$N$2:$N$1000,1)</f>
        <v>104</v>
      </c>
      <c r="AD28" s="132">
        <f>IF($AC$32=0,100/3,AC28/$AC$32*100)</f>
        <v>2.993667242371906</v>
      </c>
      <c r="AE28" s="130" t="str">
        <f>AB28</f>
        <v>Coffee</v>
      </c>
      <c r="AF28" s="130">
        <f>$AC$35-$AC$13/2</f>
        <v>61.118595279217047</v>
      </c>
      <c r="AH28" s="165" t="str">
        <f t="shared" si="0"/>
        <v>16 Sep</v>
      </c>
      <c r="AI28" s="166">
        <f>IF(AJ28="","",SUMIFS('Daily Data'!$I$2:$I$1000,'Daily Data'!$A$2:$A$1000,AJ28,'Daily Data'!$M$2:$M$1000,1))</f>
        <v>0</v>
      </c>
      <c r="AJ28" s="167">
        <f>'Daily Data'!$R$14</f>
        <v>46281</v>
      </c>
      <c r="AK28" s="168">
        <f>IF(AJ28="","",COUNTIFS('Daily Data'!$A$2:$A$1000,AJ28,'Daily Data'!$M$2:$M$1000,1,'Daily Data'!$L$2:$L$1000,1))</f>
        <v>25</v>
      </c>
      <c r="AM28" s="165" t="str">
        <f>'Daily Data'!$P$4</f>
        <v>Sep Week 2</v>
      </c>
      <c r="AN28" s="166">
        <f>SUMIFS('Daily Data'!$I$2:$I$1000,'Daily Data'!$C$2:$C$1000,AM28,'Daily Data'!$M$2:$M$1000,1)</f>
        <v>1245</v>
      </c>
      <c r="AP28" s="165" t="str">
        <f>IF('Item Purchases'!$B$15="","",'Item Purchases'!$B$15)</f>
        <v/>
      </c>
      <c r="AQ28" s="166" t="str">
        <f>IF(AP28="","",SUMIFS('Daily Data'!$I$2:$I$1000,'Daily Data'!$E$2:$E$1000,AP28,'Daily Data'!$M$2:$M$1000,1))</f>
        <v/>
      </c>
      <c r="AR28" s="168" t="str">
        <f>IF(AP28="","",SUMPRODUCT(ISNUMBER($AQ$17:$AQ$43)*($AQ$17:$AQ$43&gt;AQ28))+SUMPRODUCT(ISNUMBER($AQ$17:AQ28)*($AQ$17:AQ28=AQ28)))</f>
        <v/>
      </c>
      <c r="AT28" s="165" t="str">
        <f t="shared" si="1"/>
        <v/>
      </c>
      <c r="AU28" s="169" t="str">
        <f>IF(AT28="","",SUMIFS('Daily Data'!$K$2:$K$1000,'Daily Data'!$E$2:$E$1000,AT28,'Daily Data'!$M$2:$M$1000,1))</f>
        <v/>
      </c>
      <c r="AV28" s="168" t="str">
        <f>IF(OR(AT28="",N(AU28)&lt;=0),"",SUMPRODUCT(ISNUMBER($AU$17:$AU$43)*($AU$17:$AU$43&gt;AU28))+SUMPRODUCT(ISNUMBER($AU$17:AU28)*($AU$17:AU28=AU28)))</f>
        <v/>
      </c>
      <c r="AW28" s="170" t="str">
        <f t="shared" si="2"/>
        <v/>
      </c>
      <c r="AX28" s="170" t="str">
        <f t="shared" si="3"/>
        <v/>
      </c>
      <c r="AY28" s="165" t="str">
        <f>IF(AT28="","",IF(AV28="","-",IF(AX28&lt;'Item Purchases'!$E$49,"A",IF(AX28&lt;'Item Purchases'!$E$50,"B","C"))))</f>
        <v/>
      </c>
      <c r="BA28" s="165">
        <v>12</v>
      </c>
      <c r="BB28" s="165" t="str">
        <f>IFERROR(LEFT(INDEX($AT$17:$AT$43,MATCH(12,$AV$17:$AV$43,0)),20),"")</f>
        <v>FN 100 plus (origina</v>
      </c>
      <c r="BC28" s="169">
        <f>IFERROR(INDEX($AU$17:$AU$43,MATCH(12,$AV$17:$AV$43,0)),0)</f>
        <v>323.90000000000003</v>
      </c>
      <c r="BD28" s="170">
        <f>IF($AU$45=0,0,IFERROR(INDEX($AX$17:$AX$43,MATCH(12,$AV$17:$AV$43,0))+INDEX($AW$17:$AW$43,MATCH(12,$AV$17:$AV$43,0)),1))</f>
        <v>0.83895945505352931</v>
      </c>
      <c r="BM28" s="165" t="str">
        <f>IF('Item Purchases'!$B15="","",'Item Purchases'!$B15)</f>
        <v/>
      </c>
      <c r="BN28" s="165">
        <f>IF(AND(BM28&lt;&gt;"",'Item Purchases'!$W15=1,'Item Purchases'!$AN15&lt;&gt;"Discontinued",N('Item Purchases'!$C15)&gt;0),1,0)</f>
        <v>0</v>
      </c>
      <c r="BO28" s="165">
        <f>N('Storehouse Replenishment Schedu'!$CR15)</f>
        <v>0</v>
      </c>
      <c r="BP28" s="165">
        <f>N('Item Purchases'!$E15)</f>
        <v>0</v>
      </c>
      <c r="BQ28" s="165">
        <f>N('Item Purchases'!$C15)</f>
        <v>0</v>
      </c>
      <c r="BR28" s="165" t="str">
        <f t="shared" si="4"/>
        <v/>
      </c>
      <c r="BS28" s="165" t="str">
        <f t="shared" si="5"/>
        <v/>
      </c>
      <c r="BT28" s="165" t="str">
        <f t="shared" si="6"/>
        <v/>
      </c>
      <c r="BU28" s="165">
        <f>N('Storehouse Replenishment Schedu'!$CP15)</f>
        <v>0</v>
      </c>
      <c r="BV28" s="165">
        <f>IF(BM28="",0,SUMIFS('Daily Data'!$G$2:$G$1000,'Daily Data'!$E$2:$E$1000,BM28))</f>
        <v>0</v>
      </c>
      <c r="BW28" s="165">
        <f t="shared" si="7"/>
        <v>0</v>
      </c>
      <c r="BX28" s="165" t="str">
        <f>IF(BN28&lt;&gt;1,"",IF(BO28&lt;=0,IF(BT28&lt;='Item Purchases'!$E$38,"EMPTY - ORDER NOW","EMPTY - PLAN ORDER"),IF(BR28&lt;='Item Purchases'!$E$51,"ORDER NOW",IF(BT28&lt;='Item Purchases'!$E$38,"TRANSFER TO PANTRY",IF(BR28&lt;='Item Purchases'!$E$39,"WATCH","OK")))))</f>
        <v/>
      </c>
      <c r="BY28" s="165" t="str">
        <f>IF(BN28=1,SUMPRODUCT(($BN$17:$BN$43=1)*(($BR$17:$BR$43&lt;BR28)+($BR$17:$BR$43=BR28)*($BT$17:$BT$43&lt;BT28)))+SUMPRODUCT(($BN$17:$BN28=1)*($BR$17:$BR28=BR28)*($BT$17:$BT28=BT28)),"")</f>
        <v/>
      </c>
      <c r="BZ28" s="165" t="str">
        <f>IF(CA28&gt;0,COUNTIF($CA$17:$CA$43,"&gt;"&amp;CA28)+COUNTIF($CA$17:CA28,CA28),"")</f>
        <v/>
      </c>
      <c r="CA28" s="165">
        <f>IF(AND(BM28&lt;&gt;"",'Item Purchases'!$W15=1),ABS(BW28)*1000+CB28,0)</f>
        <v>0</v>
      </c>
      <c r="CB28" s="165">
        <f>N('Storehouse Replenishment Schedu'!$CX15)</f>
        <v>0</v>
      </c>
      <c r="CC28" s="165">
        <f t="shared" si="8"/>
        <v>0</v>
      </c>
      <c r="CD28" s="165" t="str">
        <f>IF('Storehouse Replenishment Schedu'!$CY15="","",'Storehouse Replenishment Schedu'!$CY15)</f>
        <v/>
      </c>
      <c r="CG28" s="166">
        <f>INDEX('Storehouse Replenishment Schedu'!$D$2:$CO$2,1,34)</f>
        <v>46277</v>
      </c>
      <c r="CH28" s="165" t="str">
        <f t="shared" si="9"/>
        <v>12 Sep</v>
      </c>
      <c r="CI28" s="165">
        <f>SUMPRODUCT(INDEX('Storehouse Replenishment Schedu'!$D$4:$CO$30,0,34)*('Item Purchases'!$W$4:$W$30=1))</f>
        <v>0</v>
      </c>
      <c r="CJ28" s="165">
        <f>SUMPRODUCT(INDEX('Storehouse Replenishment Schedu'!$D$4:$CO$30,0,35)*('Item Purchases'!$W$4:$W$30=1))</f>
        <v>0</v>
      </c>
      <c r="CK28" s="165">
        <f>IF(CG28="",0,SUMIFS('Daily Data'!$G$2:$G$1000,'Daily Data'!$A$2:$A$1000,CG28))</f>
        <v>0</v>
      </c>
      <c r="CL28" s="165">
        <f>SUMPRODUCT(INDEX('Storehouse Replenishment Schedu'!$D$4:$CO$30,0,34))-CK28</f>
        <v>0</v>
      </c>
      <c r="CM28" s="165">
        <f t="shared" si="10"/>
        <v>0</v>
      </c>
      <c r="CT28" s="165">
        <f>IF(AND(BM28&lt;&gt;"",'Item Purchases'!$W15=1,ISNUMBER('Item Purchases'!$AQ15),'Item Purchases'!$AS15&lt;&gt;"DISCONTINUED",'Item Purchases'!$AS15&lt;&gt;"NEED MORE DATA"),1,0)</f>
        <v>0</v>
      </c>
      <c r="CU28" s="165" t="str">
        <f>IF(CT28=1,SUMPRODUCT(($CT$17:$CT$43=1)*('Item Purchases'!$AQ$4:$AQ$30&lt;'Item Purchases'!$AQ15))+SUMPRODUCT(($CT$17:$CT28=1)*('Item Purchases'!$AQ$4:$AQ15='Item Purchases'!$AQ15)),"")</f>
        <v/>
      </c>
    </row>
    <row r="29" spans="2:123" ht="21.95" customHeight="1" x14ac:dyDescent="0.25">
      <c r="B29" s="335" t="str">
        <f>AE19</f>
        <v>SAVOURY leads · 52% of 1,698 units</v>
      </c>
      <c r="C29" s="335"/>
      <c r="D29" s="335"/>
      <c r="E29" s="335"/>
      <c r="F29" s="335"/>
      <c r="G29" s="335"/>
      <c r="H29" s="335"/>
      <c r="I29" s="335"/>
      <c r="J29" s="335" t="str">
        <f>AE31</f>
        <v>OTHER leads · 76% of 3,474 units</v>
      </c>
      <c r="K29" s="335"/>
      <c r="L29" s="335"/>
      <c r="M29" s="335"/>
      <c r="N29" s="335"/>
      <c r="O29" s="335"/>
      <c r="P29" s="335"/>
      <c r="Q29" s="335"/>
      <c r="AA29" s="333"/>
      <c r="AB29" s="130" t="s">
        <v>68</v>
      </c>
      <c r="AC29" s="131">
        <f>SUMIFS('Daily Data'!$I$2:$I$1000,'Daily Data'!$F$2:$F$1000,$AB29,'Daily Data'!$N$2:$N$1000,1)</f>
        <v>738</v>
      </c>
      <c r="AD29" s="132">
        <f>IF($AC$32=0,100/3,AC29/$AC$32*100)</f>
        <v>21.243523316062177</v>
      </c>
      <c r="AE29" s="130" t="str">
        <f>AB29</f>
        <v>Tea</v>
      </c>
      <c r="AF29" s="130">
        <f>$AC$13</f>
        <v>2</v>
      </c>
      <c r="AH29" s="165" t="str">
        <f t="shared" si="0"/>
        <v>17 Sep</v>
      </c>
      <c r="AI29" s="166">
        <f>IF(AJ29="","",SUMIFS('Daily Data'!$I$2:$I$1000,'Daily Data'!$A$2:$A$1000,AJ29,'Daily Data'!$M$2:$M$1000,1))</f>
        <v>246</v>
      </c>
      <c r="AJ29" s="167">
        <f>'Daily Data'!$R$15</f>
        <v>46282</v>
      </c>
      <c r="AK29" s="168">
        <f>IF(AJ29="","",COUNTIFS('Daily Data'!$A$2:$A$1000,AJ29,'Daily Data'!$M$2:$M$1000,1,'Daily Data'!$L$2:$L$1000,1))</f>
        <v>25</v>
      </c>
      <c r="AM29" s="165" t="str">
        <f>'Daily Data'!$P$5</f>
        <v>Sep Week 3</v>
      </c>
      <c r="AN29" s="166">
        <f>SUMIFS('Daily Data'!$I$2:$I$1000,'Daily Data'!$C$2:$C$1000,AM29,'Daily Data'!$M$2:$M$1000,1)</f>
        <v>807</v>
      </c>
      <c r="AP29" s="165" t="str">
        <f>IF('Item Purchases'!$B$16="","",'Item Purchases'!$B$16)</f>
        <v>Milo 200ml</v>
      </c>
      <c r="AQ29" s="166">
        <f>IF(AP29="","",SUMIFS('Daily Data'!$I$2:$I$1000,'Daily Data'!$E$2:$E$1000,AP29,'Daily Data'!$M$2:$M$1000,1))</f>
        <v>224</v>
      </c>
      <c r="AR29" s="168">
        <f>IF(AP29="","",SUMPRODUCT(ISNUMBER($AQ$17:$AQ$43)*($AQ$17:$AQ$43&gt;AQ29))+SUMPRODUCT(ISNUMBER($AQ$17:AQ29)*($AQ$17:AQ29=AQ29)))</f>
        <v>11</v>
      </c>
      <c r="AT29" s="165" t="str">
        <f t="shared" si="1"/>
        <v>Milo 200ml</v>
      </c>
      <c r="AU29" s="169">
        <f>IF(AT29="","",SUMIFS('Daily Data'!$K$2:$K$1000,'Daily Data'!$E$2:$E$1000,AT29,'Daily Data'!$M$2:$M$1000,1))</f>
        <v>530.88</v>
      </c>
      <c r="AV29" s="168">
        <f>IF(OR(AT29="",N(AU29)&lt;=0),"",SUMPRODUCT(ISNUMBER($AU$17:$AU$43)*($AU$17:$AU$43&gt;AU29))+SUMPRODUCT(ISNUMBER($AU$17:AU29)*($AU$17:AU29=AU29)))</f>
        <v>8</v>
      </c>
      <c r="AW29" s="170">
        <f t="shared" si="2"/>
        <v>5.1590909201340893E-2</v>
      </c>
      <c r="AX29" s="170">
        <f t="shared" si="3"/>
        <v>0.65043534202737863</v>
      </c>
      <c r="AY29" s="165" t="str">
        <f>IF(AT29="","",IF(AV29="","-",IF(AX29&lt;'Item Purchases'!$E$49,"A",IF(AX29&lt;'Item Purchases'!$E$50,"B","C"))))</f>
        <v>A</v>
      </c>
      <c r="BA29" s="165">
        <v>13</v>
      </c>
      <c r="BB29" s="165" t="str">
        <f>IFERROR(LEFT(INDEX($AT$17:$AT$43,MATCH(13,$AV$17:$AV$43,0)),20),"")</f>
        <v>Lays Potato Chips (O</v>
      </c>
      <c r="BC29" s="169">
        <f>IFERROR(INDEX($AU$17:$AU$43,MATCH(13,$AV$17:$AV$43,0)),0)</f>
        <v>293.93</v>
      </c>
      <c r="BD29" s="170">
        <f>IF($AU$45=0,0,IFERROR(INDEX($AX$17:$AX$43,MATCH(13,$AV$17:$AV$43,0))+INDEX($AW$17:$AW$43,MATCH(13,$AV$17:$AV$43,0)),1))</f>
        <v>0.86752356736054814</v>
      </c>
      <c r="BM29" s="165" t="str">
        <f>IF('Item Purchases'!$B16="","",'Item Purchases'!$B16)</f>
        <v>Milo 200ml</v>
      </c>
      <c r="BN29" s="165">
        <f>IF(AND(BM29&lt;&gt;"",'Item Purchases'!$W16=1,'Item Purchases'!$AN16&lt;&gt;"Discontinued",N('Item Purchases'!$C16)&gt;0),1,0)</f>
        <v>1</v>
      </c>
      <c r="BO29" s="165">
        <f>N('Storehouse Replenishment Schedu'!$CR16)</f>
        <v>0</v>
      </c>
      <c r="BP29" s="165">
        <f>N('Item Purchases'!$E16)</f>
        <v>51</v>
      </c>
      <c r="BQ29" s="165">
        <f>N('Item Purchases'!$C16)</f>
        <v>14</v>
      </c>
      <c r="BR29" s="165">
        <f t="shared" si="4"/>
        <v>0</v>
      </c>
      <c r="BS29" s="165">
        <f t="shared" si="5"/>
        <v>3.6428571428571428</v>
      </c>
      <c r="BT29" s="165">
        <f t="shared" si="6"/>
        <v>3.6428571428571428</v>
      </c>
      <c r="BU29" s="165">
        <f>N('Storehouse Replenishment Schedu'!$CP16)</f>
        <v>240</v>
      </c>
      <c r="BV29" s="165">
        <f>IF(BM29="",0,SUMIFS('Daily Data'!$G$2:$G$1000,'Daily Data'!$E$2:$E$1000,BM29))</f>
        <v>240</v>
      </c>
      <c r="BW29" s="165">
        <f t="shared" si="7"/>
        <v>0</v>
      </c>
      <c r="BX29" s="165" t="str">
        <f>IF(BN29&lt;&gt;1,"",IF(BO29&lt;=0,IF(BT29&lt;='Item Purchases'!$E$38,"EMPTY - ORDER NOW","EMPTY - PLAN ORDER"),IF(BR29&lt;='Item Purchases'!$E$51,"ORDER NOW",IF(BT29&lt;='Item Purchases'!$E$38,"TRANSFER TO PANTRY",IF(BR29&lt;='Item Purchases'!$E$39,"WATCH","OK")))))</f>
        <v>EMPTY - ORDER NOW</v>
      </c>
      <c r="BY29" s="165">
        <f>IF(BN29=1,SUMPRODUCT(($BN$17:$BN$43=1)*(($BR$17:$BR$43&lt;BR29)+($BR$17:$BR$43=BR29)*($BT$17:$BT$43&lt;BT29)))+SUMPRODUCT(($BN$17:$BN29=1)*($BR$17:$BR29=BR29)*($BT$17:$BT29=BT29)),"")</f>
        <v>6</v>
      </c>
      <c r="BZ29" s="165" t="str">
        <f>IF(CA29&gt;0,COUNTIF($CA$17:$CA$43,"&gt;"&amp;CA29)+COUNTIF($CA$17:CA29,CA29),"")</f>
        <v/>
      </c>
      <c r="CA29" s="165">
        <f>IF(AND(BM29&lt;&gt;"",'Item Purchases'!$W16=1),ABS(BW29)*1000+CB29,0)</f>
        <v>0</v>
      </c>
      <c r="CB29" s="165">
        <f>N('Storehouse Replenishment Schedu'!$CX16)</f>
        <v>0</v>
      </c>
      <c r="CC29" s="165">
        <f t="shared" si="8"/>
        <v>240</v>
      </c>
      <c r="CD29" s="165" t="str">
        <f>IF('Storehouse Replenishment Schedu'!$CY16="","",'Storehouse Replenishment Schedu'!$CY16)</f>
        <v/>
      </c>
      <c r="CG29" s="166">
        <f>INDEX('Storehouse Replenishment Schedu'!$D$2:$CO$2,1,37)</f>
        <v>46278</v>
      </c>
      <c r="CH29" s="165" t="str">
        <f t="shared" si="9"/>
        <v>13 Sep</v>
      </c>
      <c r="CI29" s="165">
        <f>SUMPRODUCT(INDEX('Storehouse Replenishment Schedu'!$D$4:$CO$30,0,37)*('Item Purchases'!$W$4:$W$30=1))</f>
        <v>0</v>
      </c>
      <c r="CJ29" s="165">
        <f>SUMPRODUCT(INDEX('Storehouse Replenishment Schedu'!$D$4:$CO$30,0,38)*('Item Purchases'!$W$4:$W$30=1))</f>
        <v>0</v>
      </c>
      <c r="CK29" s="165">
        <f>IF(CG29="",0,SUMIFS('Daily Data'!$G$2:$G$1000,'Daily Data'!$A$2:$A$1000,CG29))</f>
        <v>0</v>
      </c>
      <c r="CL29" s="165">
        <f>SUMPRODUCT(INDEX('Storehouse Replenishment Schedu'!$D$4:$CO$30,0,37))-CK29</f>
        <v>0</v>
      </c>
      <c r="CM29" s="165">
        <f t="shared" si="10"/>
        <v>0</v>
      </c>
      <c r="CT29" s="165">
        <f>IF(AND(BM29&lt;&gt;"",'Item Purchases'!$W16=1,ISNUMBER('Item Purchases'!$AQ16),'Item Purchases'!$AS16&lt;&gt;"DISCONTINUED",'Item Purchases'!$AS16&lt;&gt;"NEED MORE DATA"),1,0)</f>
        <v>1</v>
      </c>
      <c r="CU29" s="165">
        <f>IF(CT29=1,SUMPRODUCT(($CT$17:$CT$43=1)*('Item Purchases'!$AQ$4:$AQ$30&lt;'Item Purchases'!$AQ16))+SUMPRODUCT(($CT$17:$CT29=1)*('Item Purchases'!$AQ$4:$AQ16='Item Purchases'!$AQ16)),"")</f>
        <v>16</v>
      </c>
      <c r="CV29" s="127" t="s">
        <v>355</v>
      </c>
    </row>
    <row r="30" spans="2:123" ht="8.1" customHeight="1" x14ac:dyDescent="0.25">
      <c r="AA30" s="333"/>
      <c r="AB30" s="130" t="s">
        <v>69</v>
      </c>
      <c r="AC30" s="131">
        <f>SUMIFS('Daily Data'!$I$2:$I$1000,'Daily Data'!$F$2:$F$1000,$AB30,'Daily Data'!$N$2:$N$1000,1)</f>
        <v>2632</v>
      </c>
      <c r="AD30" s="132">
        <f>IF($AC$32=0,100/3,AC30/$AC$32*100)</f>
        <v>75.762809441565921</v>
      </c>
      <c r="AE30" s="130" t="str">
        <f>AB30</f>
        <v>Other</v>
      </c>
      <c r="AF30" s="130">
        <f>100-$AC$35-$AC$13/2</f>
        <v>36.881404720782953</v>
      </c>
      <c r="AH30" s="165" t="str">
        <f t="shared" si="0"/>
        <v>18 Sep</v>
      </c>
      <c r="AI30" s="166">
        <f>IF(AJ30="","",SUMIFS('Daily Data'!$I$2:$I$1000,'Daily Data'!$A$2:$A$1000,AJ30,'Daily Data'!$M$2:$M$1000,1))</f>
        <v>217</v>
      </c>
      <c r="AJ30" s="167">
        <f>'Daily Data'!$R$16</f>
        <v>46283</v>
      </c>
      <c r="AK30" s="168">
        <f>IF(AJ30="","",COUNTIFS('Daily Data'!$A$2:$A$1000,AJ30,'Daily Data'!$M$2:$M$1000,1,'Daily Data'!$L$2:$L$1000,1))</f>
        <v>25</v>
      </c>
      <c r="AM30" s="165" t="str">
        <f>'Daily Data'!$P$6</f>
        <v>Sep Week 4</v>
      </c>
      <c r="AN30" s="166">
        <f>SUMIFS('Daily Data'!$I$2:$I$1000,'Daily Data'!$C$2:$C$1000,AM30,'Daily Data'!$M$2:$M$1000,1)</f>
        <v>1403</v>
      </c>
      <c r="AP30" s="165" t="str">
        <f>IF('Item Purchases'!$B$17="","",'Item Purchases'!$B$17)</f>
        <v>Nescafe Latte 240ml</v>
      </c>
      <c r="AQ30" s="166">
        <f>IF(AP30="","",SUMIFS('Daily Data'!$I$2:$I$1000,'Daily Data'!$E$2:$E$1000,AP30,'Daily Data'!$M$2:$M$1000,1))</f>
        <v>41</v>
      </c>
      <c r="AR30" s="168">
        <f>IF(AP30="","",SUMPRODUCT(ISNUMBER($AQ$17:$AQ$43)*($AQ$17:$AQ$43&gt;AQ30))+SUMPRODUCT(ISNUMBER($AQ$17:AQ30)*($AQ$17:AQ30=AQ30)))</f>
        <v>21</v>
      </c>
      <c r="AT30" s="165" t="str">
        <f t="shared" si="1"/>
        <v>Nescafe Latte 240ml</v>
      </c>
      <c r="AU30" s="169">
        <f>IF(AT30="","",SUMIFS('Daily Data'!$K$2:$K$1000,'Daily Data'!$E$2:$E$1000,AT30,'Daily Data'!$M$2:$M$1000,1))</f>
        <v>89.6875</v>
      </c>
      <c r="AV30" s="168">
        <f>IF(OR(AT30="",N(AU30)&lt;=0),"",SUMPRODUCT(ISNUMBER($AU$17:$AU$43)*($AU$17:$AU$43&gt;AU30))+SUMPRODUCT(ISNUMBER($AU$17:AU30)*($AU$17:AU30=AU30)))</f>
        <v>22</v>
      </c>
      <c r="AW30" s="170">
        <f t="shared" si="2"/>
        <v>8.7158296959675662E-3</v>
      </c>
      <c r="AX30" s="170">
        <f t="shared" si="3"/>
        <v>0.98831240643389795</v>
      </c>
      <c r="AY30" s="165" t="str">
        <f>IF(AT30="","",IF(AV30="","-",IF(AX30&lt;'Item Purchases'!$E$49,"A",IF(AX30&lt;'Item Purchases'!$E$50,"B","C"))))</f>
        <v>C</v>
      </c>
      <c r="BA30" s="165">
        <v>14</v>
      </c>
      <c r="BB30" s="165" t="str">
        <f>IFERROR(LEFT(INDEX($AT$17:$AT$43,MATCH(14,$AV$17:$AV$43,0)),20),"")</f>
        <v>Julie's Peanut Butte</v>
      </c>
      <c r="BC30" s="169">
        <f>IFERROR(INDEX($AU$17:$AU$43,MATCH(14,$AV$17:$AV$43,0)),0)</f>
        <v>213.351</v>
      </c>
      <c r="BD30" s="170">
        <f>IF($AU$45=0,0,IFERROR(INDEX($AX$17:$AX$43,MATCH(14,$AV$17:$AV$43,0))+INDEX($AW$17:$AW$43,MATCH(14,$AV$17:$AV$43,0)),1))</f>
        <v>0.88825701384377442</v>
      </c>
      <c r="BM30" s="165" t="str">
        <f>IF('Item Purchases'!$B17="","",'Item Purchases'!$B17)</f>
        <v>Nescafe Latte 240ml</v>
      </c>
      <c r="BN30" s="165">
        <f>IF(AND(BM30&lt;&gt;"",'Item Purchases'!$W17=1,'Item Purchases'!$AN17&lt;&gt;"Discontinued",N('Item Purchases'!$C17)&gt;0),1,0)</f>
        <v>1</v>
      </c>
      <c r="BO30" s="165">
        <f>N('Storehouse Replenishment Schedu'!$CR17)</f>
        <v>24</v>
      </c>
      <c r="BP30" s="165">
        <f>N('Item Purchases'!$E17)</f>
        <v>38</v>
      </c>
      <c r="BQ30" s="165">
        <f>N('Item Purchases'!$C17)</f>
        <v>1.8636363636363635</v>
      </c>
      <c r="BR30" s="165">
        <f t="shared" si="4"/>
        <v>12.878048780487806</v>
      </c>
      <c r="BS30" s="165">
        <f t="shared" si="5"/>
        <v>33.268292682926834</v>
      </c>
      <c r="BT30" s="165">
        <f t="shared" si="6"/>
        <v>20.390243902439025</v>
      </c>
      <c r="BU30" s="165">
        <f>N('Storehouse Replenishment Schedu'!$CP17)</f>
        <v>48</v>
      </c>
      <c r="BV30" s="165">
        <f>IF(BM30="",0,SUMIFS('Daily Data'!$G$2:$G$1000,'Daily Data'!$E$2:$E$1000,BM30))</f>
        <v>48</v>
      </c>
      <c r="BW30" s="165">
        <f t="shared" si="7"/>
        <v>0</v>
      </c>
      <c r="BX30" s="165" t="str">
        <f>IF(BN30&lt;&gt;1,"",IF(BO30&lt;=0,IF(BT30&lt;='Item Purchases'!$E$38,"EMPTY - ORDER NOW","EMPTY - PLAN ORDER"),IF(BR30&lt;='Item Purchases'!$E$51,"ORDER NOW",IF(BT30&lt;='Item Purchases'!$E$38,"TRANSFER TO PANTRY",IF(BR30&lt;='Item Purchases'!$E$39,"WATCH","OK")))))</f>
        <v>WATCH</v>
      </c>
      <c r="BY30" s="165">
        <f>IF(BN30=1,SUMPRODUCT(($BN$17:$BN$43=1)*(($BR$17:$BR$43&lt;BR30)+($BR$17:$BR$43=BR30)*($BT$17:$BT$43&lt;BT30)))+SUMPRODUCT(($BN$17:$BN30=1)*($BR$17:$BR30=BR30)*($BT$17:$BT30=BT30)),"")</f>
        <v>22</v>
      </c>
      <c r="BZ30" s="165" t="str">
        <f>IF(CA30&gt;0,COUNTIF($CA$17:$CA$43,"&gt;"&amp;CA30)+COUNTIF($CA$17:CA30,CA30),"")</f>
        <v/>
      </c>
      <c r="CA30" s="165">
        <f>IF(AND(BM30&lt;&gt;"",'Item Purchases'!$W17=1),ABS(BW30)*1000+CB30,0)</f>
        <v>0</v>
      </c>
      <c r="CB30" s="165">
        <f>N('Storehouse Replenishment Schedu'!$CX17)</f>
        <v>0</v>
      </c>
      <c r="CC30" s="165">
        <f t="shared" si="8"/>
        <v>48</v>
      </c>
      <c r="CD30" s="165" t="str">
        <f>IF('Storehouse Replenishment Schedu'!$CY17="","",'Storehouse Replenishment Schedu'!$CY17)</f>
        <v/>
      </c>
      <c r="CG30" s="166">
        <f>INDEX('Storehouse Replenishment Schedu'!$D$2:$CO$2,1,40)</f>
        <v>46279</v>
      </c>
      <c r="CH30" s="165" t="str">
        <f t="shared" si="9"/>
        <v>14 Sep</v>
      </c>
      <c r="CI30" s="165">
        <f>SUMPRODUCT(INDEX('Storehouse Replenishment Schedu'!$D$4:$CO$30,0,40)*('Item Purchases'!$W$4:$W$30=1))</f>
        <v>144</v>
      </c>
      <c r="CJ30" s="165">
        <f>SUMPRODUCT(INDEX('Storehouse Replenishment Schedu'!$D$4:$CO$30,0,41)*('Item Purchases'!$W$4:$W$30=1))</f>
        <v>0</v>
      </c>
      <c r="CK30" s="165">
        <f>IF(CG30="",0,SUMIFS('Daily Data'!$G$2:$G$1000,'Daily Data'!$A$2:$A$1000,CG30))</f>
        <v>144</v>
      </c>
      <c r="CL30" s="165">
        <f>SUMPRODUCT(INDEX('Storehouse Replenishment Schedu'!$D$4:$CO$30,0,40))-CK30</f>
        <v>0</v>
      </c>
      <c r="CM30" s="165">
        <f t="shared" si="10"/>
        <v>0</v>
      </c>
      <c r="CT30" s="165">
        <f>IF(AND(BM30&lt;&gt;"",'Item Purchases'!$W17=1,ISNUMBER('Item Purchases'!$AQ17),'Item Purchases'!$AS17&lt;&gt;"DISCONTINUED",'Item Purchases'!$AS17&lt;&gt;"NEED MORE DATA"),1,0)</f>
        <v>1</v>
      </c>
      <c r="CU30" s="165">
        <f>IF(CT30=1,SUMPRODUCT(($CT$17:$CT$43=1)*('Item Purchases'!$AQ$4:$AQ$30&lt;'Item Purchases'!$AQ17))+SUMPRODUCT(($CT$17:$CT30=1)*('Item Purchases'!$AQ$4:$AQ17='Item Purchases'!$AQ17)),"")</f>
        <v>4</v>
      </c>
    </row>
    <row r="31" spans="2:123" ht="21.95" customHeight="1" x14ac:dyDescent="0.25">
      <c r="B31" s="123" t="s">
        <v>70</v>
      </c>
      <c r="C31" s="123"/>
      <c r="D31" s="123"/>
      <c r="E31" s="123"/>
      <c r="F31" s="123"/>
      <c r="G31" s="123"/>
      <c r="H31" s="123"/>
      <c r="I31" s="123"/>
      <c r="J31" s="123"/>
      <c r="K31" s="123"/>
      <c r="L31" s="123"/>
      <c r="M31" s="123"/>
      <c r="N31" s="123"/>
      <c r="O31" s="123"/>
      <c r="P31" s="123"/>
      <c r="Q31" s="123"/>
      <c r="R31" s="123" t="s">
        <v>71</v>
      </c>
      <c r="S31" s="123"/>
      <c r="T31" s="123"/>
      <c r="U31" s="123"/>
      <c r="V31" s="123"/>
      <c r="W31" s="123"/>
      <c r="X31" s="123"/>
      <c r="Y31" s="123"/>
      <c r="AA31" s="333"/>
      <c r="AB31" s="130" t="s">
        <v>54</v>
      </c>
      <c r="AC31" s="130"/>
      <c r="AD31" s="130">
        <v>100</v>
      </c>
      <c r="AE31" s="130" t="str">
        <f>IF($AC$32=0,"No consumption data yet",UPPER($AC$33)&amp;" leads · "&amp;TEXT(MAX($AD$28:$AD$30)/100,"0%")&amp;" of "&amp;TEXT($AC$32,"#,##0")&amp;" units")</f>
        <v>OTHER leads · 76% of 3,474 units</v>
      </c>
      <c r="AF31" s="130">
        <v>100</v>
      </c>
      <c r="AH31" s="165" t="str">
        <f t="shared" si="0"/>
        <v>21 Sep</v>
      </c>
      <c r="AI31" s="166">
        <f>IF(AJ31="","",SUMIFS('Daily Data'!$I$2:$I$1000,'Daily Data'!$A$2:$A$1000,AJ31,'Daily Data'!$M$2:$M$1000,1))</f>
        <v>155</v>
      </c>
      <c r="AJ31" s="167">
        <f>'Daily Data'!$R$17</f>
        <v>46286</v>
      </c>
      <c r="AK31" s="168">
        <f>IF(AJ31="","",COUNTIFS('Daily Data'!$A$2:$A$1000,AJ31,'Daily Data'!$M$2:$M$1000,1,'Daily Data'!$L$2:$L$1000,1))</f>
        <v>25</v>
      </c>
      <c r="AM31" s="165" t="str">
        <f>'Daily Data'!$P$7</f>
        <v>Sep Week 5</v>
      </c>
      <c r="AN31" s="166">
        <f>SUMIFS('Daily Data'!$I$2:$I$1000,'Daily Data'!$C$2:$C$1000,AM31,'Daily Data'!$M$2:$M$1000,1)</f>
        <v>576</v>
      </c>
      <c r="AP31" s="165" t="str">
        <f>IF('Item Purchases'!$B$18="","",'Item Purchases'!$B$18)</f>
        <v>Nescafe original 240ml</v>
      </c>
      <c r="AQ31" s="166">
        <f>IF(AP31="","",SUMIFS('Daily Data'!$I$2:$I$1000,'Daily Data'!$E$2:$E$1000,AP31,'Daily Data'!$M$2:$M$1000,1))</f>
        <v>63</v>
      </c>
      <c r="AR31" s="168">
        <f>IF(AP31="","",SUMPRODUCT(ISNUMBER($AQ$17:$AQ$43)*($AQ$17:$AQ$43&gt;AQ31))+SUMPRODUCT(ISNUMBER($AQ$17:AQ31)*($AQ$17:AQ31=AQ31)))</f>
        <v>20</v>
      </c>
      <c r="AT31" s="165" t="str">
        <f t="shared" si="1"/>
        <v>Nescafe original 240ml</v>
      </c>
      <c r="AU31" s="169">
        <f>IF(AT31="","",SUMIFS('Daily Data'!$K$2:$K$1000,'Daily Data'!$E$2:$E$1000,AT31,'Daily Data'!$M$2:$M$1000,1))</f>
        <v>137.8125</v>
      </c>
      <c r="AV31" s="168">
        <f>IF(OR(AT31="",N(AU31)&lt;=0),"",SUMPRODUCT(ISNUMBER($AU$17:$AU$43)*($AU$17:$AU$43&gt;AU31))+SUMPRODUCT(ISNUMBER($AU$17:AU31)*($AU$17:AU31=AU31)))</f>
        <v>18</v>
      </c>
      <c r="AW31" s="170">
        <f t="shared" si="2"/>
        <v>1.3392616362096503E-2</v>
      </c>
      <c r="AX31" s="170">
        <f t="shared" si="3"/>
        <v>0.93828040992460293</v>
      </c>
      <c r="AY31" s="165" t="str">
        <f>IF(AT31="","",IF(AV31="","-",IF(AX31&lt;'Item Purchases'!$E$49,"A",IF(AX31&lt;'Item Purchases'!$E$50,"B","C"))))</f>
        <v>B</v>
      </c>
      <c r="BA31" s="165">
        <v>15</v>
      </c>
      <c r="BB31" s="165" t="str">
        <f>IFERROR(LEFT(INDEX($AT$17:$AT$43,MATCH(15,$AV$17:$AV$43,0)),20),"")</f>
        <v xml:space="preserve">Munchy Oat Krunch - </v>
      </c>
      <c r="BC31" s="169">
        <f>IFERROR(INDEX($AU$17:$AU$43,MATCH(15,$AV$17:$AV$43,0)),0)</f>
        <v>208.04999999999995</v>
      </c>
      <c r="BD31" s="170">
        <f>IF($AU$45=0,0,IFERROR(INDEX($AX$17:$AX$43,MATCH(15,$AV$17:$AV$43,0))+INDEX($AW$17:$AW$43,MATCH(15,$AV$17:$AV$43,0)),1))</f>
        <v>0.90847530923885234</v>
      </c>
      <c r="BM31" s="165" t="str">
        <f>IF('Item Purchases'!$B18="","",'Item Purchases'!$B18)</f>
        <v>Nescafe original 240ml</v>
      </c>
      <c r="BN31" s="165">
        <f>IF(AND(BM31&lt;&gt;"",'Item Purchases'!$W18=1,'Item Purchases'!$AN18&lt;&gt;"Discontinued",N('Item Purchases'!$C18)&gt;0),1,0)</f>
        <v>1</v>
      </c>
      <c r="BO31" s="165">
        <f>N('Storehouse Replenishment Schedu'!$CR18)</f>
        <v>24</v>
      </c>
      <c r="BP31" s="165">
        <f>N('Item Purchases'!$E18)</f>
        <v>39</v>
      </c>
      <c r="BQ31" s="165">
        <f>N('Item Purchases'!$C18)</f>
        <v>2.8636363636363638</v>
      </c>
      <c r="BR31" s="165">
        <f t="shared" si="4"/>
        <v>8.3809523809523814</v>
      </c>
      <c r="BS31" s="165">
        <f t="shared" si="5"/>
        <v>22</v>
      </c>
      <c r="BT31" s="165">
        <f t="shared" si="6"/>
        <v>13.619047619047619</v>
      </c>
      <c r="BU31" s="165">
        <f>N('Storehouse Replenishment Schedu'!$CP18)</f>
        <v>72</v>
      </c>
      <c r="BV31" s="165">
        <f>IF(BM31="",0,SUMIFS('Daily Data'!$G$2:$G$1000,'Daily Data'!$E$2:$E$1000,BM31))</f>
        <v>72</v>
      </c>
      <c r="BW31" s="165">
        <f t="shared" si="7"/>
        <v>0</v>
      </c>
      <c r="BX31" s="165" t="str">
        <f>IF(BN31&lt;&gt;1,"",IF(BO31&lt;=0,IF(BT31&lt;='Item Purchases'!$E$38,"EMPTY - ORDER NOW","EMPTY - PLAN ORDER"),IF(BR31&lt;='Item Purchases'!$E$51,"ORDER NOW",IF(BT31&lt;='Item Purchases'!$E$38,"TRANSFER TO PANTRY",IF(BR31&lt;='Item Purchases'!$E$39,"WATCH","OK")))))</f>
        <v>WATCH</v>
      </c>
      <c r="BY31" s="165">
        <f>IF(BN31=1,SUMPRODUCT(($BN$17:$BN$43=1)*(($BR$17:$BR$43&lt;BR31)+($BR$17:$BR$43=BR31)*($BT$17:$BT$43&lt;BT31)))+SUMPRODUCT(($BN$17:$BN31=1)*($BR$17:$BR31=BR31)*($BT$17:$BT31=BT31)),"")</f>
        <v>19</v>
      </c>
      <c r="BZ31" s="165" t="str">
        <f>IF(CA31&gt;0,COUNTIF($CA$17:$CA$43,"&gt;"&amp;CA31)+COUNTIF($CA$17:CA31,CA31),"")</f>
        <v/>
      </c>
      <c r="CA31" s="165">
        <f>IF(AND(BM31&lt;&gt;"",'Item Purchases'!$W18=1),ABS(BW31)*1000+CB31,0)</f>
        <v>0</v>
      </c>
      <c r="CB31" s="165">
        <f>N('Storehouse Replenishment Schedu'!$CX18)</f>
        <v>0</v>
      </c>
      <c r="CC31" s="165">
        <f t="shared" si="8"/>
        <v>72</v>
      </c>
      <c r="CD31" s="165" t="str">
        <f>IF('Storehouse Replenishment Schedu'!$CY18="","",'Storehouse Replenishment Schedu'!$CY18)</f>
        <v/>
      </c>
      <c r="CG31" s="166">
        <f>INDEX('Storehouse Replenishment Schedu'!$D$2:$CO$2,1,43)</f>
        <v>46280</v>
      </c>
      <c r="CH31" s="165" t="str">
        <f t="shared" si="9"/>
        <v>15 Sep</v>
      </c>
      <c r="CI31" s="165">
        <f>SUMPRODUCT(INDEX('Storehouse Replenishment Schedu'!$D$4:$CO$30,0,43)*('Item Purchases'!$W$4:$W$30=1))</f>
        <v>269</v>
      </c>
      <c r="CJ31" s="165">
        <f>SUMPRODUCT(INDEX('Storehouse Replenishment Schedu'!$D$4:$CO$30,0,44)*('Item Purchases'!$W$4:$W$30=1))</f>
        <v>379</v>
      </c>
      <c r="CK31" s="165">
        <f>IF(CG31="",0,SUMIFS('Daily Data'!$G$2:$G$1000,'Daily Data'!$A$2:$A$1000,CG31))</f>
        <v>269</v>
      </c>
      <c r="CL31" s="165">
        <f>SUMPRODUCT(INDEX('Storehouse Replenishment Schedu'!$D$4:$CO$30,0,43))-CK31</f>
        <v>0</v>
      </c>
      <c r="CM31" s="165">
        <f t="shared" si="10"/>
        <v>0</v>
      </c>
      <c r="CT31" s="165">
        <f>IF(AND(BM31&lt;&gt;"",'Item Purchases'!$W18=1,ISNUMBER('Item Purchases'!$AQ18),'Item Purchases'!$AS18&lt;&gt;"DISCONTINUED",'Item Purchases'!$AS18&lt;&gt;"NEED MORE DATA"),1,0)</f>
        <v>1</v>
      </c>
      <c r="CU31" s="165">
        <f>IF(CT31=1,SUMPRODUCT(($CT$17:$CT$43=1)*('Item Purchases'!$AQ$4:$AQ$30&lt;'Item Purchases'!$AQ18))+SUMPRODUCT(($CT$17:$CT31=1)*('Item Purchases'!$AQ$4:$AQ18='Item Purchases'!$AQ18)),"")</f>
        <v>6</v>
      </c>
      <c r="CV31" s="385" t="s">
        <v>356</v>
      </c>
      <c r="CW31" s="385"/>
      <c r="CX31" s="385"/>
      <c r="CY31" s="385"/>
      <c r="CZ31" s="385"/>
      <c r="DA31" s="385"/>
      <c r="DB31" s="385"/>
      <c r="DC31" s="385"/>
      <c r="DD31" s="385"/>
      <c r="DE31" s="385"/>
      <c r="DF31" s="385"/>
      <c r="DG31" s="385"/>
      <c r="DH31" s="385"/>
      <c r="DI31" s="385"/>
      <c r="DJ31" s="385"/>
      <c r="DK31" s="385"/>
      <c r="DL31" s="385"/>
      <c r="DM31" s="385"/>
      <c r="DN31" s="385"/>
      <c r="DO31" s="385"/>
      <c r="DP31" s="385"/>
      <c r="DQ31" s="385"/>
      <c r="DR31" s="385"/>
      <c r="DS31" s="385"/>
    </row>
    <row r="32" spans="2:123" ht="45.95" customHeight="1" x14ac:dyDescent="0.25">
      <c r="B32" s="133" t="s">
        <v>72</v>
      </c>
      <c r="C32" s="342" t="s">
        <v>37</v>
      </c>
      <c r="D32" s="342"/>
      <c r="E32" s="342"/>
      <c r="F32" s="342"/>
      <c r="G32" s="133" t="s">
        <v>73</v>
      </c>
      <c r="H32" s="342" t="s">
        <v>74</v>
      </c>
      <c r="I32" s="342"/>
      <c r="J32" s="133" t="s">
        <v>75</v>
      </c>
      <c r="K32" s="133" t="s">
        <v>76</v>
      </c>
      <c r="L32" s="342" t="s">
        <v>77</v>
      </c>
      <c r="M32" s="342"/>
      <c r="N32" s="133" t="s">
        <v>78</v>
      </c>
      <c r="O32" s="133" t="s">
        <v>79</v>
      </c>
      <c r="P32" s="342" t="s">
        <v>80</v>
      </c>
      <c r="Q32" s="342"/>
      <c r="R32" s="345" t="s">
        <v>81</v>
      </c>
      <c r="S32" s="345"/>
      <c r="T32" s="345"/>
      <c r="U32" s="345"/>
      <c r="V32" s="345"/>
      <c r="W32" s="360">
        <f>SUMPRODUCT(ISNUMBER('Storehouse Replenishment Schedu'!$CS$4:$CS$30)*('Item Purchases'!$W$4:$W$30=1))</f>
        <v>26</v>
      </c>
      <c r="X32" s="360"/>
      <c r="Z32" s="171" t="s">
        <v>82</v>
      </c>
      <c r="AA32" s="333"/>
      <c r="AB32" s="130" t="s">
        <v>58</v>
      </c>
      <c r="AC32" s="131">
        <f>SUM($AC$28:$AC$30)</f>
        <v>3474</v>
      </c>
      <c r="AD32" s="130"/>
      <c r="AE32" s="130"/>
      <c r="AF32" s="130"/>
      <c r="AH32" s="165" t="str">
        <f t="shared" si="0"/>
        <v>22 Sep</v>
      </c>
      <c r="AI32" s="166">
        <f>IF(AJ32="","",SUMIFS('Daily Data'!$I$2:$I$1000,'Daily Data'!$A$2:$A$1000,AJ32,'Daily Data'!$M$2:$M$1000,1))</f>
        <v>248</v>
      </c>
      <c r="AJ32" s="167">
        <f>'Daily Data'!$R$18</f>
        <v>46287</v>
      </c>
      <c r="AK32" s="168">
        <f>IF(AJ32="","",COUNTIFS('Daily Data'!$A$2:$A$1000,AJ32,'Daily Data'!$M$2:$M$1000,1,'Daily Data'!$L$2:$L$1000,1))</f>
        <v>25</v>
      </c>
      <c r="AP32" s="165" t="str">
        <f>IF('Item Purchases'!$B$19="","",'Item Purchases'!$B$19)</f>
        <v>COWA Coconut Water 330 ml</v>
      </c>
      <c r="AQ32" s="166">
        <f>IF(AP32="","",SUMIFS('Daily Data'!$I$2:$I$1000,'Daily Data'!$E$2:$E$1000,AP32,'Daily Data'!$M$2:$M$1000,1))</f>
        <v>416</v>
      </c>
      <c r="AR32" s="168">
        <f>IF(AP32="","",SUMPRODUCT(ISNUMBER($AQ$17:$AQ$43)*($AQ$17:$AQ$43&gt;AQ32))+SUMPRODUCT(ISNUMBER($AQ$17:AQ32)*($AQ$17:AQ32=AQ32)))</f>
        <v>2</v>
      </c>
      <c r="AT32" s="165" t="str">
        <f t="shared" si="1"/>
        <v>COWA Coconut Water 330 ml</v>
      </c>
      <c r="AU32" s="169">
        <f>IF(AT32="","",SUMIFS('Daily Data'!$K$2:$K$1000,'Daily Data'!$E$2:$E$1000,AT32,'Daily Data'!$M$2:$M$1000,1))</f>
        <v>1248</v>
      </c>
      <c r="AV32" s="168">
        <f>IF(OR(AT32="",N(AU32)&lt;=0),"",SUMPRODUCT(ISNUMBER($AU$17:$AU$43)*($AU$17:$AU$43&gt;AU32))+SUMPRODUCT(ISNUMBER($AU$17:AU32)*($AU$17:AU32=AU32)))</f>
        <v>2</v>
      </c>
      <c r="AW32" s="170">
        <f t="shared" si="2"/>
        <v>0.12128061837566576</v>
      </c>
      <c r="AX32" s="170">
        <f t="shared" si="3"/>
        <v>0.12244677816773945</v>
      </c>
      <c r="AY32" s="165" t="str">
        <f>IF(AT32="","",IF(AV32="","-",IF(AX32&lt;'Item Purchases'!$E$49,"A",IF(AX32&lt;'Item Purchases'!$E$50,"B","C"))))</f>
        <v>A</v>
      </c>
      <c r="BM32" s="165" t="str">
        <f>IF('Item Purchases'!$B19="","",'Item Purchases'!$B19)</f>
        <v>COWA Coconut Water 330 ml</v>
      </c>
      <c r="BN32" s="165">
        <f>IF(AND(BM32&lt;&gt;"",'Item Purchases'!$W19=1,'Item Purchases'!$AN19&lt;&gt;"Discontinued",N('Item Purchases'!$C19)&gt;0),1,0)</f>
        <v>1</v>
      </c>
      <c r="BO32" s="165">
        <f>N('Storehouse Replenishment Schedu'!$CR19)</f>
        <v>288</v>
      </c>
      <c r="BP32" s="165">
        <f>N('Item Purchases'!$E19)</f>
        <v>196</v>
      </c>
      <c r="BQ32" s="165">
        <f>N('Item Purchases'!$C19)</f>
        <v>23.111111111111111</v>
      </c>
      <c r="BR32" s="165">
        <f t="shared" si="4"/>
        <v>12.461538461538462</v>
      </c>
      <c r="BS32" s="165">
        <f t="shared" si="5"/>
        <v>20.942307692307693</v>
      </c>
      <c r="BT32" s="165">
        <f t="shared" si="6"/>
        <v>8.4807692307692317</v>
      </c>
      <c r="BU32" s="165">
        <f>N('Storehouse Replenishment Schedu'!$CP19)</f>
        <v>612</v>
      </c>
      <c r="BV32" s="165">
        <f>IF(BM32="",0,SUMIFS('Daily Data'!$G$2:$G$1000,'Daily Data'!$E$2:$E$1000,BM32))</f>
        <v>612</v>
      </c>
      <c r="BW32" s="165">
        <f t="shared" si="7"/>
        <v>0</v>
      </c>
      <c r="BX32" s="165" t="str">
        <f>IF(BN32&lt;&gt;1,"",IF(BO32&lt;=0,IF(BT32&lt;='Item Purchases'!$E$38,"EMPTY - ORDER NOW","EMPTY - PLAN ORDER"),IF(BR32&lt;='Item Purchases'!$E$51,"ORDER NOW",IF(BT32&lt;='Item Purchases'!$E$38,"TRANSFER TO PANTRY",IF(BR32&lt;='Item Purchases'!$E$39,"WATCH","OK")))))</f>
        <v>WATCH</v>
      </c>
      <c r="BY32" s="165">
        <f>IF(BN32=1,SUMPRODUCT(($BN$17:$BN$43=1)*(($BR$17:$BR$43&lt;BR32)+($BR$17:$BR$43=BR32)*($BT$17:$BT$43&lt;BT32)))+SUMPRODUCT(($BN$17:$BN32=1)*($BR$17:$BR32=BR32)*($BT$17:$BT32=BT32)),"")</f>
        <v>21</v>
      </c>
      <c r="BZ32" s="165" t="str">
        <f>IF(CA32&gt;0,COUNTIF($CA$17:$CA$43,"&gt;"&amp;CA32)+COUNTIF($CA$17:CA32,CA32),"")</f>
        <v/>
      </c>
      <c r="CA32" s="165">
        <f>IF(AND(BM32&lt;&gt;"",'Item Purchases'!$W19=1),ABS(BW32)*1000+CB32,0)</f>
        <v>0</v>
      </c>
      <c r="CB32" s="165">
        <f>N('Storehouse Replenishment Schedu'!$CX19)</f>
        <v>0</v>
      </c>
      <c r="CC32" s="165">
        <f t="shared" si="8"/>
        <v>612</v>
      </c>
      <c r="CD32" s="165" t="str">
        <f>IF('Storehouse Replenishment Schedu'!$CY19="","",'Storehouse Replenishment Schedu'!$CY19)</f>
        <v/>
      </c>
      <c r="CG32" s="166">
        <f>INDEX('Storehouse Replenishment Schedu'!$D$2:$CO$2,1,46)</f>
        <v>46281</v>
      </c>
      <c r="CH32" s="165" t="str">
        <f t="shared" si="9"/>
        <v>16 Sep</v>
      </c>
      <c r="CI32" s="165">
        <f>SUMPRODUCT(INDEX('Storehouse Replenishment Schedu'!$D$4:$CO$30,0,46)*('Item Purchases'!$W$4:$W$30=1))</f>
        <v>0</v>
      </c>
      <c r="CJ32" s="165">
        <f>SUMPRODUCT(INDEX('Storehouse Replenishment Schedu'!$D$4:$CO$30,0,47)*('Item Purchases'!$W$4:$W$30=1))</f>
        <v>0</v>
      </c>
      <c r="CK32" s="165">
        <f>IF(CG32="",0,SUMIFS('Daily Data'!$G$2:$G$1000,'Daily Data'!$A$2:$A$1000,CG32))</f>
        <v>0</v>
      </c>
      <c r="CL32" s="165">
        <f>SUMPRODUCT(INDEX('Storehouse Replenishment Schedu'!$D$4:$CO$30,0,46))-CK32</f>
        <v>0</v>
      </c>
      <c r="CM32" s="165">
        <f t="shared" si="10"/>
        <v>0</v>
      </c>
      <c r="CT32" s="165">
        <f>IF(AND(BM32&lt;&gt;"",'Item Purchases'!$W19=1,ISNUMBER('Item Purchases'!$AQ19),'Item Purchases'!$AS19&lt;&gt;"DISCONTINUED",'Item Purchases'!$AS19&lt;&gt;"NEED MORE DATA"),1,0)</f>
        <v>1</v>
      </c>
      <c r="CU32" s="165">
        <f>IF(CT32=1,SUMPRODUCT(($CT$17:$CT$43=1)*('Item Purchases'!$AQ$4:$AQ$30&lt;'Item Purchases'!$AQ19))+SUMPRODUCT(($CT$17:$CT32=1)*('Item Purchases'!$AQ$4:$AQ19='Item Purchases'!$AQ19)),"")</f>
        <v>21</v>
      </c>
      <c r="CV32" s="133" t="s">
        <v>72</v>
      </c>
      <c r="CW32" s="342" t="s">
        <v>37</v>
      </c>
      <c r="CX32" s="342"/>
      <c r="CY32" s="342"/>
      <c r="CZ32" s="342"/>
      <c r="DA32" s="342" t="s">
        <v>328</v>
      </c>
      <c r="DB32" s="342"/>
      <c r="DC32" s="342" t="s">
        <v>329</v>
      </c>
      <c r="DD32" s="342"/>
      <c r="DE32" s="342" t="s">
        <v>357</v>
      </c>
      <c r="DF32" s="342"/>
      <c r="DG32" s="342" t="s">
        <v>358</v>
      </c>
      <c r="DH32" s="342"/>
      <c r="DI32" s="342" t="s">
        <v>359</v>
      </c>
      <c r="DJ32" s="342"/>
      <c r="DK32" s="342" t="s">
        <v>360</v>
      </c>
      <c r="DL32" s="342"/>
      <c r="DM32" s="342" t="s">
        <v>361</v>
      </c>
      <c r="DN32" s="342"/>
      <c r="DO32" s="342" t="s">
        <v>336</v>
      </c>
      <c r="DP32" s="342"/>
      <c r="DQ32" s="342" t="s">
        <v>362</v>
      </c>
      <c r="DR32" s="342"/>
      <c r="DS32" s="342"/>
    </row>
    <row r="33" spans="2:124" x14ac:dyDescent="0.25">
      <c r="B33" s="134">
        <v>1</v>
      </c>
      <c r="C33" s="336" t="str">
        <f>IF($Z33="","",INDEX('Item Purchases'!$B$4:$B$30,$Z33))</f>
        <v>Julies Butter Waffles</v>
      </c>
      <c r="D33" s="336"/>
      <c r="E33" s="336"/>
      <c r="F33" s="336"/>
      <c r="G33" s="135" t="str">
        <f>IF($Z33="","",INDEX('Item Purchases'!$AC$4:$AC$30,$Z33))</f>
        <v>B</v>
      </c>
      <c r="H33" s="337" t="str">
        <f>IF($Z33="","",INDEX('Item Purchases'!$M$4:$M$30,$Z33))</f>
        <v>OUT OF STOCK</v>
      </c>
      <c r="I33" s="337"/>
      <c r="J33" s="136">
        <f>IF($Z33="","",INDEX('Item Purchases'!$F$4:$F$30,$Z33))</f>
        <v>0</v>
      </c>
      <c r="K33" s="137">
        <f>IF($Z33="","",INDEX('Item Purchases'!$G$4:$G$30,$Z33))</f>
        <v>0</v>
      </c>
      <c r="L33" s="349">
        <f>IF($Z33="","",INDEX('Item Purchases'!$I$4:$I$30,$Z33))</f>
        <v>46295</v>
      </c>
      <c r="M33" s="349"/>
      <c r="N33" s="138">
        <f ca="1">IF($Z33="","",INDEX('Item Purchases'!$O$4:$O$30,$Z33))</f>
        <v>39</v>
      </c>
      <c r="O33" s="136">
        <f ca="1">IF($Z33="","",INDEX('Item Purchases'!$P$4:$P$30,$Z33))</f>
        <v>39</v>
      </c>
      <c r="P33" s="350">
        <f ca="1">IF($Z33="","",INDEX('Item Purchases'!$R$4:$R$30,$Z33))</f>
        <v>200.85000000000002</v>
      </c>
      <c r="Q33" s="350"/>
      <c r="R33" s="345" t="s">
        <v>83</v>
      </c>
      <c r="S33" s="345"/>
      <c r="T33" s="345"/>
      <c r="U33" s="345"/>
      <c r="V33" s="345"/>
      <c r="W33" s="360">
        <f>SUMPRODUCT(('Storehouse Replenishment Schedu'!$CU$4:$CU$30="TALLY")*('Item Purchases'!$W$4:$W$30=1))</f>
        <v>26</v>
      </c>
      <c r="X33" s="360"/>
      <c r="Z33" s="171">
        <f>IFERROR(MATCH($B33,'Item Purchases'!$X$4:$X$30,0),"")</f>
        <v>2</v>
      </c>
      <c r="AA33" s="333"/>
      <c r="AB33" s="130" t="s">
        <v>60</v>
      </c>
      <c r="AC33" s="130" t="str">
        <f>INDEX($AB$28:$AB$30,$AC$34)</f>
        <v>Other</v>
      </c>
      <c r="AD33" s="130"/>
      <c r="AE33" s="130"/>
      <c r="AF33" s="130"/>
      <c r="AH33" s="165" t="str">
        <f t="shared" si="0"/>
        <v>23 Sep</v>
      </c>
      <c r="AI33" s="166">
        <f>IF(AJ33="","",SUMIFS('Daily Data'!$I$2:$I$1000,'Daily Data'!$A$2:$A$1000,AJ33,'Daily Data'!$M$2:$M$1000,1))</f>
        <v>287</v>
      </c>
      <c r="AJ33" s="167">
        <f>'Daily Data'!$R$19</f>
        <v>46288</v>
      </c>
      <c r="AK33" s="168">
        <f>IF(AJ33="","",COUNTIFS('Daily Data'!$A$2:$A$1000,AJ33,'Daily Data'!$M$2:$M$1000,1,'Daily Data'!$L$2:$L$1000,1))</f>
        <v>26</v>
      </c>
      <c r="AP33" s="165" t="str">
        <f>IF('Item Purchases'!$B$20="","",'Item Purchases'!$B$20)</f>
        <v>KARTA Coconut Water 330 ml</v>
      </c>
      <c r="AQ33" s="166">
        <f>IF(AP33="","",SUMIFS('Daily Data'!$I$2:$I$1000,'Daily Data'!$E$2:$E$1000,AP33,'Daily Data'!$M$2:$M$1000,1))</f>
        <v>0</v>
      </c>
      <c r="AR33" s="168">
        <f>IF(AP33="","",SUMPRODUCT(ISNUMBER($AQ$17:$AQ$43)*($AQ$17:$AQ$43&gt;AQ33))+SUMPRODUCT(ISNUMBER($AQ$17:AQ33)*($AQ$17:AQ33=AQ33)))</f>
        <v>25</v>
      </c>
      <c r="AT33" s="165" t="str">
        <f t="shared" si="1"/>
        <v>KARTA Coconut Water 330 ml</v>
      </c>
      <c r="AU33" s="169">
        <f>IF(AT33="","",SUMIFS('Daily Data'!$K$2:$K$1000,'Daily Data'!$E$2:$E$1000,AT33,'Daily Data'!$M$2:$M$1000,1))</f>
        <v>0</v>
      </c>
      <c r="AV33" s="168" t="str">
        <f>IF(OR(AT33="",N(AU33)&lt;=0),"",SUMPRODUCT(ISNUMBER($AU$17:$AU$43)*($AU$17:$AU$43&gt;AU33))+SUMPRODUCT(ISNUMBER($AU$17:AU33)*($AU$17:AU33=AU33)))</f>
        <v/>
      </c>
      <c r="AW33" s="170" t="str">
        <f t="shared" si="2"/>
        <v/>
      </c>
      <c r="AX33" s="170" t="str">
        <f t="shared" si="3"/>
        <v/>
      </c>
      <c r="AY33" s="165" t="str">
        <f>IF(AT33="","",IF(AV33="","-",IF(AX33&lt;'Item Purchases'!$E$49,"A",IF(AX33&lt;'Item Purchases'!$E$50,"B","C"))))</f>
        <v>-</v>
      </c>
      <c r="BM33" s="165" t="str">
        <f>IF('Item Purchases'!$B20="","",'Item Purchases'!$B20)</f>
        <v>KARTA Coconut Water 330 ml</v>
      </c>
      <c r="BN33" s="165">
        <f>IF(AND(BM33&lt;&gt;"",'Item Purchases'!$W20=1,'Item Purchases'!$AN20&lt;&gt;"Discontinued",N('Item Purchases'!$C20)&gt;0),1,0)</f>
        <v>0</v>
      </c>
      <c r="BO33" s="165">
        <f>N('Storehouse Replenishment Schedu'!$CR20)</f>
        <v>72</v>
      </c>
      <c r="BP33" s="165">
        <f>N('Item Purchases'!$E20)</f>
        <v>0</v>
      </c>
      <c r="BQ33" s="165">
        <f>N('Item Purchases'!$C20)</f>
        <v>0</v>
      </c>
      <c r="BR33" s="165" t="str">
        <f t="shared" si="4"/>
        <v/>
      </c>
      <c r="BS33" s="165" t="str">
        <f t="shared" si="5"/>
        <v/>
      </c>
      <c r="BT33" s="165" t="str">
        <f t="shared" si="6"/>
        <v/>
      </c>
      <c r="BU33" s="165">
        <f>N('Storehouse Replenishment Schedu'!$CP20)</f>
        <v>0</v>
      </c>
      <c r="BV33" s="165">
        <f>IF(BM33="",0,SUMIFS('Daily Data'!$G$2:$G$1000,'Daily Data'!$E$2:$E$1000,BM33))</f>
        <v>0</v>
      </c>
      <c r="BW33" s="165">
        <f t="shared" si="7"/>
        <v>0</v>
      </c>
      <c r="BX33" s="165" t="str">
        <f>IF(BN33&lt;&gt;1,"",IF(BO33&lt;=0,IF(BT33&lt;='Item Purchases'!$E$38,"EMPTY - ORDER NOW","EMPTY - PLAN ORDER"),IF(BR33&lt;='Item Purchases'!$E$51,"ORDER NOW",IF(BT33&lt;='Item Purchases'!$E$38,"TRANSFER TO PANTRY",IF(BR33&lt;='Item Purchases'!$E$39,"WATCH","OK")))))</f>
        <v/>
      </c>
      <c r="BY33" s="165" t="str">
        <f>IF(BN33=1,SUMPRODUCT(($BN$17:$BN$43=1)*(($BR$17:$BR$43&lt;BR33)+($BR$17:$BR$43=BR33)*($BT$17:$BT$43&lt;BT33)))+SUMPRODUCT(($BN$17:$BN33=1)*($BR$17:$BR33=BR33)*($BT$17:$BT33=BT33)),"")</f>
        <v/>
      </c>
      <c r="BZ33" s="165" t="str">
        <f>IF(CA33&gt;0,COUNTIF($CA$17:$CA$43,"&gt;"&amp;CA33)+COUNTIF($CA$17:CA33,CA33),"")</f>
        <v/>
      </c>
      <c r="CA33" s="165">
        <f>IF(AND(BM33&lt;&gt;"",'Item Purchases'!$W20=1),ABS(BW33)*1000+CB33,0)</f>
        <v>0</v>
      </c>
      <c r="CB33" s="165">
        <f>N('Storehouse Replenishment Schedu'!$CX20)</f>
        <v>0</v>
      </c>
      <c r="CC33" s="165">
        <f t="shared" si="8"/>
        <v>0</v>
      </c>
      <c r="CD33" s="165" t="str">
        <f>IF('Storehouse Replenishment Schedu'!$CY20="","",'Storehouse Replenishment Schedu'!$CY20)</f>
        <v/>
      </c>
      <c r="CG33" s="166">
        <f>INDEX('Storehouse Replenishment Schedu'!$D$2:$CO$2,1,49)</f>
        <v>46282</v>
      </c>
      <c r="CH33" s="165" t="str">
        <f t="shared" si="9"/>
        <v>17 Sep</v>
      </c>
      <c r="CI33" s="165">
        <f>SUMPRODUCT(INDEX('Storehouse Replenishment Schedu'!$D$4:$CO$30,0,49)*('Item Purchases'!$W$4:$W$30=1))</f>
        <v>186</v>
      </c>
      <c r="CJ33" s="165">
        <f>SUMPRODUCT(INDEX('Storehouse Replenishment Schedu'!$D$4:$CO$30,0,50)*('Item Purchases'!$W$4:$W$30=1))</f>
        <v>0</v>
      </c>
      <c r="CK33" s="165">
        <f>IF(CG33="",0,SUMIFS('Daily Data'!$G$2:$G$1000,'Daily Data'!$A$2:$A$1000,CG33))</f>
        <v>186</v>
      </c>
      <c r="CL33" s="165">
        <f>SUMPRODUCT(INDEX('Storehouse Replenishment Schedu'!$D$4:$CO$30,0,49))-CK33</f>
        <v>0</v>
      </c>
      <c r="CM33" s="165">
        <f t="shared" si="10"/>
        <v>0</v>
      </c>
      <c r="CT33" s="165">
        <f>IF(AND(BM33&lt;&gt;"",'Item Purchases'!$W20=1,ISNUMBER('Item Purchases'!$AQ20),'Item Purchases'!$AS20&lt;&gt;"DISCONTINUED",'Item Purchases'!$AS20&lt;&gt;"NEED MORE DATA"),1,0)</f>
        <v>1</v>
      </c>
      <c r="CU33" s="165">
        <f>IF(CT33=1,SUMPRODUCT(($CT$17:$CT$43=1)*('Item Purchases'!$AQ$4:$AQ$30&lt;'Item Purchases'!$AQ20))+SUMPRODUCT(($CT$17:$CT33=1)*('Item Purchases'!$AQ$4:$AQ20='Item Purchases'!$AQ20)),"")</f>
        <v>2</v>
      </c>
      <c r="CV33" s="134">
        <f>IF($DT33="","",1)</f>
        <v>1</v>
      </c>
      <c r="CW33" s="336" t="str">
        <f t="shared" ref="CW33:CW42" si="11">IF($DT33="","",INDEX($BM$17:$BM$43,$DT33))</f>
        <v>Julies Butter Waffles</v>
      </c>
      <c r="CX33" s="336"/>
      <c r="CY33" s="336"/>
      <c r="CZ33" s="336"/>
      <c r="DA33" s="334">
        <f t="shared" ref="DA33:DA42" si="12">IF($DT33="","",INDEX($BO$17:$BO$43,$DT33))</f>
        <v>0</v>
      </c>
      <c r="DB33" s="334"/>
      <c r="DC33" s="334">
        <f t="shared" ref="DC33:DC42" si="13">IF($DT33="","",INDEX($BP$17:$BP$43,$DT33))</f>
        <v>0</v>
      </c>
      <c r="DD33" s="334"/>
      <c r="DE33" s="382">
        <f t="shared" ref="DE33:DE42" si="14">IF($DT33="","",INDEX($BQ$17:$BQ$43,$DT33))</f>
        <v>1.6842105263157894</v>
      </c>
      <c r="DF33" s="382"/>
      <c r="DG33" s="382">
        <f t="shared" ref="DG33:DG42" si="15">IF($DT33="","",INDEX($BR$17:$BR$43,$DT33))</f>
        <v>0</v>
      </c>
      <c r="DH33" s="382"/>
      <c r="DI33" s="382">
        <f t="shared" ref="DI33:DI42" si="16">IF($DT33="","",INDEX($BS$17:$BS$43,$DT33))</f>
        <v>0</v>
      </c>
      <c r="DJ33" s="382"/>
      <c r="DK33" s="334">
        <f t="shared" ref="DK33:DK42" si="17">IF($DT33="","",INDEX($CC$17:$CC$43,$DT33))</f>
        <v>20</v>
      </c>
      <c r="DL33" s="334"/>
      <c r="DM33" s="334">
        <f t="shared" ref="DM33:DM42" si="18">IF($DT33="","",INDEX($BV$17:$BV$43,$DT33))</f>
        <v>20</v>
      </c>
      <c r="DN33" s="334"/>
      <c r="DO33" s="334">
        <f t="shared" ref="DO33:DO42" si="19">IF($DT33="","",INDEX($BW$17:$BW$43,$DT33))</f>
        <v>0</v>
      </c>
      <c r="DP33" s="334"/>
      <c r="DQ33" s="337" t="str">
        <f t="shared" ref="DQ33:DQ42" si="20">IF($DT33="","",INDEX($BX$17:$BX$43,$DT33))</f>
        <v>EMPTY - ORDER NOW</v>
      </c>
      <c r="DR33" s="337"/>
      <c r="DS33" s="337"/>
      <c r="DT33" s="165">
        <f>IFERROR(MATCH(1,$BY$17:$BY$43,0),"")</f>
        <v>2</v>
      </c>
    </row>
    <row r="34" spans="2:124" x14ac:dyDescent="0.25">
      <c r="B34" s="134">
        <v>2</v>
      </c>
      <c r="C34" s="336" t="str">
        <f>IF($Z34="","",INDEX('Item Purchases'!$B$4:$B$30,$Z34))</f>
        <v>NV OATS &amp; DARK CHOC 42GX5</v>
      </c>
      <c r="D34" s="336"/>
      <c r="E34" s="336"/>
      <c r="F34" s="336"/>
      <c r="G34" s="135" t="str">
        <f>IF($Z34="","",INDEX('Item Purchases'!$AC$4:$AC$30,$Z34))</f>
        <v>C</v>
      </c>
      <c r="H34" s="337" t="str">
        <f>IF($Z34="","",INDEX('Item Purchases'!$M$4:$M$30,$Z34))</f>
        <v>OUT OF STOCK</v>
      </c>
      <c r="I34" s="337"/>
      <c r="J34" s="136">
        <f>IF($Z34="","",INDEX('Item Purchases'!$F$4:$F$30,$Z34))</f>
        <v>0</v>
      </c>
      <c r="K34" s="137">
        <f>IF($Z34="","",INDEX('Item Purchases'!$G$4:$G$30,$Z34))</f>
        <v>0</v>
      </c>
      <c r="L34" s="349">
        <f>IF($Z34="","",INDEX('Item Purchases'!$I$4:$I$30,$Z34))</f>
        <v>46295</v>
      </c>
      <c r="M34" s="349"/>
      <c r="N34" s="138">
        <f ca="1">IF($Z34="","",INDEX('Item Purchases'!$O$4:$O$30,$Z34))</f>
        <v>26</v>
      </c>
      <c r="O34" s="136">
        <f ca="1">IF($Z34="","",INDEX('Item Purchases'!$P$4:$P$30,$Z34))</f>
        <v>130</v>
      </c>
      <c r="P34" s="350">
        <f ca="1">IF($Z34="","",INDEX('Item Purchases'!$R$4:$R$30,$Z34))</f>
        <v>361.4</v>
      </c>
      <c r="Q34" s="350"/>
      <c r="R34" s="345" t="s">
        <v>84</v>
      </c>
      <c r="S34" s="345"/>
      <c r="T34" s="345"/>
      <c r="U34" s="345"/>
      <c r="V34" s="345"/>
      <c r="W34" s="360">
        <f>SUMPRODUCT(('Storehouse Replenishment Schedu'!$CU$4:$CU$30="MISMATCH")*('Item Purchases'!$W$4:$W$30=1))</f>
        <v>0</v>
      </c>
      <c r="X34" s="360"/>
      <c r="Y34" s="172" t="str">
        <f>IF(W34&gt;0,"CHECK","")</f>
        <v/>
      </c>
      <c r="Z34" s="171">
        <f>IFERROR(MATCH($B34,'Item Purchases'!$X$4:$X$30,0),"")</f>
        <v>5</v>
      </c>
      <c r="AA34" s="333"/>
      <c r="AB34" s="130" t="s">
        <v>62</v>
      </c>
      <c r="AC34" s="130">
        <f>MATCH(MAX($AD$28:$AD$30),$AD$28:$AD$30,0)</f>
        <v>3</v>
      </c>
      <c r="AD34" s="130"/>
      <c r="AE34" s="130"/>
      <c r="AF34" s="130"/>
      <c r="AH34" s="165" t="str">
        <f t="shared" si="0"/>
        <v>24 Sep</v>
      </c>
      <c r="AI34" s="166">
        <f>IF(AJ34="","",SUMIFS('Daily Data'!$I$2:$I$1000,'Daily Data'!$A$2:$A$1000,AJ34,'Daily Data'!$M$2:$M$1000,1))</f>
        <v>350</v>
      </c>
      <c r="AJ34" s="167">
        <f>'Daily Data'!$R$20</f>
        <v>46289</v>
      </c>
      <c r="AK34" s="168">
        <f>IF(AJ34="","",COUNTIFS('Daily Data'!$A$2:$A$1000,AJ34,'Daily Data'!$M$2:$M$1000,1,'Daily Data'!$L$2:$L$1000,1))</f>
        <v>26</v>
      </c>
      <c r="AP34" s="165" t="str">
        <f>IF('Item Purchases'!$B$21="","",'Item Purchases'!$B$21)</f>
        <v>COKE ZERO  325ML</v>
      </c>
      <c r="AQ34" s="166">
        <f>IF(AP34="","",SUMIFS('Daily Data'!$I$2:$I$1000,'Daily Data'!$E$2:$E$1000,AP34,'Daily Data'!$M$2:$M$1000,1))</f>
        <v>185</v>
      </c>
      <c r="AR34" s="168">
        <f>IF(AP34="","",SUMPRODUCT(ISNUMBER($AQ$17:$AQ$43)*($AQ$17:$AQ$43&gt;AQ34))+SUMPRODUCT(ISNUMBER($AQ$17:AQ34)*($AQ$17:AQ34=AQ34)))</f>
        <v>14</v>
      </c>
      <c r="AT34" s="165" t="str">
        <f t="shared" si="1"/>
        <v>COKE ZERO  325ML</v>
      </c>
      <c r="AU34" s="169">
        <f>IF(AT34="","",SUMIFS('Daily Data'!$K$2:$K$1000,'Daily Data'!$E$2:$E$1000,AT34,'Daily Data'!$M$2:$M$1000,1))</f>
        <v>338.54999999999995</v>
      </c>
      <c r="AV34" s="168">
        <f>IF(OR(AT34="",N(AU34)&lt;=0),"",SUMPRODUCT(ISNUMBER($AU$17:$AU$43)*($AU$17:$AU$43&gt;AU34))+SUMPRODUCT(ISNUMBER($AU$17:AU34)*($AU$17:AU34=AU34)))</f>
        <v>11</v>
      </c>
      <c r="AW34" s="170">
        <f t="shared" si="2"/>
        <v>3.2900283133879514E-2</v>
      </c>
      <c r="AX34" s="170">
        <f t="shared" si="3"/>
        <v>0.77458257553192678</v>
      </c>
      <c r="AY34" s="165" t="str">
        <f>IF(AT34="","",IF(AV34="","-",IF(AX34&lt;'Item Purchases'!$E$49,"A",IF(AX34&lt;'Item Purchases'!$E$50,"B","C"))))</f>
        <v>A</v>
      </c>
      <c r="BM34" s="165" t="str">
        <f>IF('Item Purchases'!$B21="","",'Item Purchases'!$B21)</f>
        <v>COKE ZERO  325ML</v>
      </c>
      <c r="BN34" s="165">
        <f>IF(AND(BM34&lt;&gt;"",'Item Purchases'!$W21=1,'Item Purchases'!$AN21&lt;&gt;"Discontinued",N('Item Purchases'!$C21)&gt;0),1,0)</f>
        <v>1</v>
      </c>
      <c r="BO34" s="165">
        <f>N('Storehouse Replenishment Schedu'!$CR21)</f>
        <v>24</v>
      </c>
      <c r="BP34" s="165">
        <f>N('Item Purchases'!$E21)</f>
        <v>38</v>
      </c>
      <c r="BQ34" s="165">
        <f>N('Item Purchases'!$C21)</f>
        <v>8.4090909090909083</v>
      </c>
      <c r="BR34" s="165">
        <f t="shared" si="4"/>
        <v>2.8540540540540542</v>
      </c>
      <c r="BS34" s="165">
        <f t="shared" si="5"/>
        <v>7.372972972972974</v>
      </c>
      <c r="BT34" s="165">
        <f t="shared" si="6"/>
        <v>4.5189189189189189</v>
      </c>
      <c r="BU34" s="165">
        <f>N('Storehouse Replenishment Schedu'!$CP21)</f>
        <v>168</v>
      </c>
      <c r="BV34" s="165">
        <f>IF(BM34="",0,SUMIFS('Daily Data'!$G$2:$G$1000,'Daily Data'!$E$2:$E$1000,BM34))</f>
        <v>168</v>
      </c>
      <c r="BW34" s="165">
        <f t="shared" si="7"/>
        <v>0</v>
      </c>
      <c r="BX34" s="165" t="str">
        <f>IF(BN34&lt;&gt;1,"",IF(BO34&lt;=0,IF(BT34&lt;='Item Purchases'!$E$38,"EMPTY - ORDER NOW","EMPTY - PLAN ORDER"),IF(BR34&lt;='Item Purchases'!$E$51,"ORDER NOW",IF(BT34&lt;='Item Purchases'!$E$38,"TRANSFER TO PANTRY",IF(BR34&lt;='Item Purchases'!$E$39,"WATCH","OK")))))</f>
        <v>ORDER NOW</v>
      </c>
      <c r="BY34" s="165">
        <f>IF(BN34=1,SUMPRODUCT(($BN$17:$BN$43=1)*(($BR$17:$BR$43&lt;BR34)+($BR$17:$BR$43=BR34)*($BT$17:$BT$43&lt;BT34)))+SUMPRODUCT(($BN$17:$BN34=1)*($BR$17:$BR34=BR34)*($BT$17:$BT34=BT34)),"")</f>
        <v>12</v>
      </c>
      <c r="BZ34" s="165" t="str">
        <f>IF(CA34&gt;0,COUNTIF($CA$17:$CA$43,"&gt;"&amp;CA34)+COUNTIF($CA$17:CA34,CA34),"")</f>
        <v/>
      </c>
      <c r="CA34" s="165">
        <f>IF(AND(BM34&lt;&gt;"",'Item Purchases'!$W21=1),ABS(BW34)*1000+CB34,0)</f>
        <v>0</v>
      </c>
      <c r="CB34" s="165">
        <f>N('Storehouse Replenishment Schedu'!$CX21)</f>
        <v>0</v>
      </c>
      <c r="CC34" s="165">
        <f t="shared" si="8"/>
        <v>168</v>
      </c>
      <c r="CD34" s="165" t="str">
        <f>IF('Storehouse Replenishment Schedu'!$CY21="","",'Storehouse Replenishment Schedu'!$CY21)</f>
        <v/>
      </c>
      <c r="CG34" s="166">
        <f>INDEX('Storehouse Replenishment Schedu'!$D$2:$CO$2,1,52)</f>
        <v>46283</v>
      </c>
      <c r="CH34" s="165" t="str">
        <f t="shared" si="9"/>
        <v>18 Sep</v>
      </c>
      <c r="CI34" s="165">
        <f>SUMPRODUCT(INDEX('Storehouse Replenishment Schedu'!$D$4:$CO$30,0,52)*('Item Purchases'!$W$4:$W$30=1))</f>
        <v>134</v>
      </c>
      <c r="CJ34" s="165">
        <f>SUMPRODUCT(INDEX('Storehouse Replenishment Schedu'!$D$4:$CO$30,0,53)*('Item Purchases'!$W$4:$W$30=1))</f>
        <v>77</v>
      </c>
      <c r="CK34" s="165">
        <f>IF(CG34="",0,SUMIFS('Daily Data'!$G$2:$G$1000,'Daily Data'!$A$2:$A$1000,CG34))</f>
        <v>132</v>
      </c>
      <c r="CL34" s="165">
        <f>SUMPRODUCT(INDEX('Storehouse Replenishment Schedu'!$D$4:$CO$30,0,52))-CK34</f>
        <v>2</v>
      </c>
      <c r="CM34" s="165">
        <f t="shared" si="10"/>
        <v>2</v>
      </c>
      <c r="CT34" s="165">
        <f>IF(AND(BM34&lt;&gt;"",'Item Purchases'!$W21=1,ISNUMBER('Item Purchases'!$AQ21),'Item Purchases'!$AS21&lt;&gt;"DISCONTINUED",'Item Purchases'!$AS21&lt;&gt;"NEED MORE DATA"),1,0)</f>
        <v>1</v>
      </c>
      <c r="CU34" s="165">
        <f>IF(CT34=1,SUMPRODUCT(($CT$17:$CT$43=1)*('Item Purchases'!$AQ$4:$AQ$30&lt;'Item Purchases'!$AQ21))+SUMPRODUCT(($CT$17:$CT34=1)*('Item Purchases'!$AQ$4:$AQ21='Item Purchases'!$AQ21)),"")</f>
        <v>10</v>
      </c>
      <c r="CV34" s="134">
        <f>IF($DT34="","",2)</f>
        <v>2</v>
      </c>
      <c r="CW34" s="336" t="str">
        <f t="shared" si="11"/>
        <v>NV OATS &amp; DARK CHOC 42GX5</v>
      </c>
      <c r="CX34" s="336"/>
      <c r="CY34" s="336"/>
      <c r="CZ34" s="336"/>
      <c r="DA34" s="334">
        <f t="shared" si="12"/>
        <v>0</v>
      </c>
      <c r="DB34" s="334"/>
      <c r="DC34" s="334">
        <f t="shared" si="13"/>
        <v>0</v>
      </c>
      <c r="DD34" s="334"/>
      <c r="DE34" s="382">
        <f t="shared" si="14"/>
        <v>5.5</v>
      </c>
      <c r="DF34" s="382"/>
      <c r="DG34" s="382">
        <f t="shared" si="15"/>
        <v>0</v>
      </c>
      <c r="DH34" s="382"/>
      <c r="DI34" s="382">
        <f t="shared" si="16"/>
        <v>0</v>
      </c>
      <c r="DJ34" s="382"/>
      <c r="DK34" s="334">
        <f t="shared" si="17"/>
        <v>0</v>
      </c>
      <c r="DL34" s="334"/>
      <c r="DM34" s="334">
        <f t="shared" si="18"/>
        <v>0</v>
      </c>
      <c r="DN34" s="334"/>
      <c r="DO34" s="334">
        <f t="shared" si="19"/>
        <v>0</v>
      </c>
      <c r="DP34" s="334"/>
      <c r="DQ34" s="337" t="str">
        <f t="shared" si="20"/>
        <v>EMPTY - ORDER NOW</v>
      </c>
      <c r="DR34" s="337"/>
      <c r="DS34" s="337"/>
      <c r="DT34" s="165">
        <f>IFERROR(MATCH(2,$BY$17:$BY$43,0),"")</f>
        <v>5</v>
      </c>
    </row>
    <row r="35" spans="2:124" x14ac:dyDescent="0.25">
      <c r="B35" s="134">
        <v>3</v>
      </c>
      <c r="C35" s="336" t="str">
        <f>IF($Z35="","",INDEX('Item Purchases'!$B$4:$B$30,$Z35))</f>
        <v>Oat Side Chocolate 200ml</v>
      </c>
      <c r="D35" s="336"/>
      <c r="E35" s="336"/>
      <c r="F35" s="336"/>
      <c r="G35" s="135" t="str">
        <f>IF($Z35="","",INDEX('Item Purchases'!$AC$4:$AC$30,$Z35))</f>
        <v>A</v>
      </c>
      <c r="H35" s="337" t="str">
        <f>IF($Z35="","",INDEX('Item Purchases'!$M$4:$M$30,$Z35))</f>
        <v>CRITICAL</v>
      </c>
      <c r="I35" s="337"/>
      <c r="J35" s="136">
        <f>IF($Z35="","",INDEX('Item Purchases'!$F$4:$F$30,$Z35))</f>
        <v>19</v>
      </c>
      <c r="K35" s="137">
        <f>IF($Z35="","",INDEX('Item Purchases'!$G$4:$G$30,$Z35))</f>
        <v>0.94255874673629236</v>
      </c>
      <c r="L35" s="349">
        <f>IF($Z35="","",INDEX('Item Purchases'!$I$4:$I$30,$Z35))</f>
        <v>46295</v>
      </c>
      <c r="M35" s="349"/>
      <c r="N35" s="138">
        <f ca="1">IF($Z35="","",INDEX('Item Purchases'!$O$4:$O$30,$Z35))</f>
        <v>20</v>
      </c>
      <c r="O35" s="136">
        <f ca="1">IF($Z35="","",INDEX('Item Purchases'!$P$4:$P$30,$Z35))</f>
        <v>480</v>
      </c>
      <c r="P35" s="350">
        <f ca="1">IF($Z35="","",INDEX('Item Purchases'!$R$4:$R$30,$Z35))</f>
        <v>1440</v>
      </c>
      <c r="Q35" s="350"/>
      <c r="R35" s="345" t="s">
        <v>85</v>
      </c>
      <c r="S35" s="345"/>
      <c r="T35" s="345"/>
      <c r="U35" s="345"/>
      <c r="V35" s="345"/>
      <c r="W35" s="360">
        <f>SUMPRODUCT(('Storehouse Replenishment Schedu'!$CU$4:$CU$30="NOT COUNTED")*('Item Purchases'!$W$4:$W$30=1))</f>
        <v>0</v>
      </c>
      <c r="X35" s="360"/>
      <c r="Z35" s="171">
        <f>IFERROR(MATCH($B35,'Item Purchases'!$X$4:$X$30,0),"")</f>
        <v>27</v>
      </c>
      <c r="AA35" s="333"/>
      <c r="AB35" s="130" t="s">
        <v>64</v>
      </c>
      <c r="AC35" s="132">
        <f>MIN(MAX(SUMPRODUCT((ROW($AD$28:$AD$30)-ROW($AD$28)+1&lt;$AC$34)*$AD$28:$AD$30)+INDEX($AD$28:$AD$30,$AC$34)/2,$AC$13/2),100-$AC$13/2)</f>
        <v>62.118595279217047</v>
      </c>
      <c r="AD35" s="130"/>
      <c r="AE35" s="130"/>
      <c r="AF35" s="130"/>
      <c r="AH35" s="165" t="str">
        <f t="shared" si="0"/>
        <v>25 Sep</v>
      </c>
      <c r="AI35" s="166">
        <f>IF(AJ35="","",SUMIFS('Daily Data'!$I$2:$I$1000,'Daily Data'!$A$2:$A$1000,AJ35,'Daily Data'!$M$2:$M$1000,1))</f>
        <v>243</v>
      </c>
      <c r="AJ35" s="167">
        <f>'Daily Data'!$R$21</f>
        <v>46290</v>
      </c>
      <c r="AK35" s="168">
        <f>IF(AJ35="","",COUNTIFS('Daily Data'!$A$2:$A$1000,AJ35,'Daily Data'!$M$2:$M$1000,1,'Daily Data'!$L$2:$L$1000,1))</f>
        <v>26</v>
      </c>
      <c r="AP35" s="165" t="str">
        <f>IF('Item Purchases'!$B$22="","",'Item Purchases'!$B$22)</f>
        <v>Ayataka Tea 300ml</v>
      </c>
      <c r="AQ35" s="166">
        <f>IF(AP35="","",SUMIFS('Daily Data'!$I$2:$I$1000,'Daily Data'!$E$2:$E$1000,AP35,'Daily Data'!$M$2:$M$1000,1))</f>
        <v>407</v>
      </c>
      <c r="AR35" s="168">
        <f>IF(AP35="","",SUMPRODUCT(ISNUMBER($AQ$17:$AQ$43)*($AQ$17:$AQ$43&gt;AQ35))+SUMPRODUCT(ISNUMBER($AQ$17:AQ35)*($AQ$17:AQ35=AQ35)))</f>
        <v>3</v>
      </c>
      <c r="AT35" s="165" t="str">
        <f t="shared" si="1"/>
        <v>Ayataka Tea 300ml</v>
      </c>
      <c r="AU35" s="169">
        <f>IF(AT35="","",SUMIFS('Daily Data'!$K$2:$K$1000,'Daily Data'!$E$2:$E$1000,AT35,'Daily Data'!$M$2:$M$1000,1))</f>
        <v>712.25</v>
      </c>
      <c r="AV35" s="168">
        <f>IF(OR(AT35="",N(AU35)&lt;=0),"",SUMPRODUCT(ISNUMBER($AU$17:$AU$43)*($AU$17:$AU$43&gt;AU35))+SUMPRODUCT(ISNUMBER($AU$17:AU35)*($AU$17:AU35=AU35)))</f>
        <v>6</v>
      </c>
      <c r="AW35" s="170">
        <f t="shared" si="2"/>
        <v>6.9216442658708272E-2</v>
      </c>
      <c r="AX35" s="170">
        <f t="shared" si="3"/>
        <v>0.52492739440544567</v>
      </c>
      <c r="AY35" s="165" t="str">
        <f>IF(AT35="","",IF(AV35="","-",IF(AX35&lt;'Item Purchases'!$E$49,"A",IF(AX35&lt;'Item Purchases'!$E$50,"B","C"))))</f>
        <v>A</v>
      </c>
      <c r="BM35" s="165" t="str">
        <f>IF('Item Purchases'!$B22="","",'Item Purchases'!$B22)</f>
        <v>Ayataka Tea 300ml</v>
      </c>
      <c r="BN35" s="165">
        <f>IF(AND(BM35&lt;&gt;"",'Item Purchases'!$W22=1,'Item Purchases'!$AN22&lt;&gt;"Discontinued",N('Item Purchases'!$C22)&gt;0),1,0)</f>
        <v>1</v>
      </c>
      <c r="BO35" s="165">
        <f>N('Storehouse Replenishment Schedu'!$CR22)</f>
        <v>48</v>
      </c>
      <c r="BP35" s="165">
        <f>N('Item Purchases'!$E22)</f>
        <v>37</v>
      </c>
      <c r="BQ35" s="165">
        <f>N('Item Purchases'!$C22)</f>
        <v>31.307692307692307</v>
      </c>
      <c r="BR35" s="165">
        <f t="shared" si="4"/>
        <v>1.5331695331695332</v>
      </c>
      <c r="BS35" s="165">
        <f t="shared" si="5"/>
        <v>2.7149877149877151</v>
      </c>
      <c r="BT35" s="165">
        <f t="shared" si="6"/>
        <v>1.1818181818181819</v>
      </c>
      <c r="BU35" s="165">
        <f>N('Storehouse Replenishment Schedu'!$CP22)</f>
        <v>420</v>
      </c>
      <c r="BV35" s="165">
        <f>IF(BM35="",0,SUMIFS('Daily Data'!$G$2:$G$1000,'Daily Data'!$E$2:$E$1000,BM35))</f>
        <v>420</v>
      </c>
      <c r="BW35" s="165">
        <f t="shared" si="7"/>
        <v>0</v>
      </c>
      <c r="BX35" s="165" t="str">
        <f>IF(BN35&lt;&gt;1,"",IF(BO35&lt;=0,IF(BT35&lt;='Item Purchases'!$E$38,"EMPTY - ORDER NOW","EMPTY - PLAN ORDER"),IF(BR35&lt;='Item Purchases'!$E$51,"ORDER NOW",IF(BT35&lt;='Item Purchases'!$E$38,"TRANSFER TO PANTRY",IF(BR35&lt;='Item Purchases'!$E$39,"WATCH","OK")))))</f>
        <v>ORDER NOW</v>
      </c>
      <c r="BY35" s="165">
        <f>IF(BN35=1,SUMPRODUCT(($BN$17:$BN$43=1)*(($BR$17:$BR$43&lt;BR35)+($BR$17:$BR$43=BR35)*($BT$17:$BT$43&lt;BT35)))+SUMPRODUCT(($BN$17:$BN35=1)*($BR$17:$BR35=BR35)*($BT$17:$BT35=BT35)),"")</f>
        <v>11</v>
      </c>
      <c r="BZ35" s="165" t="str">
        <f>IF(CA35&gt;0,COUNTIF($CA$17:$CA$43,"&gt;"&amp;CA35)+COUNTIF($CA$17:CA35,CA35),"")</f>
        <v/>
      </c>
      <c r="CA35" s="165">
        <f>IF(AND(BM35&lt;&gt;"",'Item Purchases'!$W22=1),ABS(BW35)*1000+CB35,0)</f>
        <v>0</v>
      </c>
      <c r="CB35" s="165">
        <f>N('Storehouse Replenishment Schedu'!$CX22)</f>
        <v>0</v>
      </c>
      <c r="CC35" s="165">
        <f t="shared" si="8"/>
        <v>420</v>
      </c>
      <c r="CD35" s="165" t="str">
        <f>IF('Storehouse Replenishment Schedu'!$CY22="","",'Storehouse Replenishment Schedu'!$CY22)</f>
        <v/>
      </c>
      <c r="CG35" s="166">
        <f>INDEX('Storehouse Replenishment Schedu'!$D$2:$CO$2,1,55)</f>
        <v>46284</v>
      </c>
      <c r="CH35" s="165" t="str">
        <f t="shared" si="9"/>
        <v>19 Sep</v>
      </c>
      <c r="CI35" s="165">
        <f>SUMPRODUCT(INDEX('Storehouse Replenishment Schedu'!$D$4:$CO$30,0,55)*('Item Purchases'!$W$4:$W$30=1))</f>
        <v>0</v>
      </c>
      <c r="CJ35" s="165">
        <f>SUMPRODUCT(INDEX('Storehouse Replenishment Schedu'!$D$4:$CO$30,0,56)*('Item Purchases'!$W$4:$W$30=1))</f>
        <v>0</v>
      </c>
      <c r="CK35" s="165">
        <f>IF(CG35="",0,SUMIFS('Daily Data'!$G$2:$G$1000,'Daily Data'!$A$2:$A$1000,CG35))</f>
        <v>0</v>
      </c>
      <c r="CL35" s="165">
        <f>SUMPRODUCT(INDEX('Storehouse Replenishment Schedu'!$D$4:$CO$30,0,55))-CK35</f>
        <v>0</v>
      </c>
      <c r="CM35" s="165">
        <f t="shared" si="10"/>
        <v>0</v>
      </c>
      <c r="CT35" s="165">
        <f>IF(AND(BM35&lt;&gt;"",'Item Purchases'!$W22=1,ISNUMBER('Item Purchases'!$AQ22),'Item Purchases'!$AS22&lt;&gt;"DISCONTINUED",'Item Purchases'!$AS22&lt;&gt;"NEED MORE DATA"),1,0)</f>
        <v>1</v>
      </c>
      <c r="CU35" s="165">
        <f>IF(CT35=1,SUMPRODUCT(($CT$17:$CT$43=1)*('Item Purchases'!$AQ$4:$AQ$30&lt;'Item Purchases'!$AQ22))+SUMPRODUCT(($CT$17:$CT35=1)*('Item Purchases'!$AQ$4:$AQ22='Item Purchases'!$AQ22)),"")</f>
        <v>24</v>
      </c>
      <c r="CV35" s="134">
        <f>IF($DT35="","",3)</f>
        <v>3</v>
      </c>
      <c r="CW35" s="336" t="str">
        <f t="shared" si="11"/>
        <v>Oat Side Chocolate 200ml</v>
      </c>
      <c r="CX35" s="336"/>
      <c r="CY35" s="336"/>
      <c r="CZ35" s="336"/>
      <c r="DA35" s="334">
        <f t="shared" si="12"/>
        <v>0</v>
      </c>
      <c r="DB35" s="334"/>
      <c r="DC35" s="334">
        <f t="shared" si="13"/>
        <v>19</v>
      </c>
      <c r="DD35" s="334"/>
      <c r="DE35" s="382">
        <f t="shared" si="14"/>
        <v>20.157894736842106</v>
      </c>
      <c r="DF35" s="382"/>
      <c r="DG35" s="382">
        <f t="shared" si="15"/>
        <v>0</v>
      </c>
      <c r="DH35" s="382"/>
      <c r="DI35" s="382">
        <f t="shared" si="16"/>
        <v>0.94255874673629236</v>
      </c>
      <c r="DJ35" s="382"/>
      <c r="DK35" s="334">
        <f t="shared" si="17"/>
        <v>378</v>
      </c>
      <c r="DL35" s="334"/>
      <c r="DM35" s="334">
        <f t="shared" si="18"/>
        <v>378</v>
      </c>
      <c r="DN35" s="334"/>
      <c r="DO35" s="334">
        <f t="shared" si="19"/>
        <v>0</v>
      </c>
      <c r="DP35" s="334"/>
      <c r="DQ35" s="337" t="str">
        <f t="shared" si="20"/>
        <v>EMPTY - ORDER NOW</v>
      </c>
      <c r="DR35" s="337"/>
      <c r="DS35" s="337"/>
      <c r="DT35" s="165">
        <f>IFERROR(MATCH(3,$BY$17:$BY$43,0),"")</f>
        <v>27</v>
      </c>
    </row>
    <row r="36" spans="2:124" x14ac:dyDescent="0.25">
      <c r="B36" s="134">
        <v>4</v>
      </c>
      <c r="C36" s="336" t="str">
        <f>IF($Z36="","",INDEX('Item Purchases'!$B$4:$B$30,$Z36))</f>
        <v>Vsoy Soya Bean  250ml</v>
      </c>
      <c r="D36" s="336"/>
      <c r="E36" s="336"/>
      <c r="F36" s="336"/>
      <c r="G36" s="135" t="str">
        <f>IF($Z36="","",INDEX('Item Purchases'!$AC$4:$AC$30,$Z36))</f>
        <v>A</v>
      </c>
      <c r="H36" s="337" t="str">
        <f>IF($Z36="","",INDEX('Item Purchases'!$M$4:$M$30,$Z36))</f>
        <v>CRITICAL</v>
      </c>
      <c r="I36" s="337"/>
      <c r="J36" s="136">
        <f>IF($Z36="","",INDEX('Item Purchases'!$F$4:$F$30,$Z36))</f>
        <v>27</v>
      </c>
      <c r="K36" s="137">
        <f>IF($Z36="","",INDEX('Item Purchases'!$G$4:$G$30,$Z36))</f>
        <v>1.6937269372693726</v>
      </c>
      <c r="L36" s="349">
        <f>IF($Z36="","",INDEX('Item Purchases'!$I$4:$I$30,$Z36))</f>
        <v>46296</v>
      </c>
      <c r="M36" s="349"/>
      <c r="N36" s="138">
        <f ca="1">IF($Z36="","",INDEX('Item Purchases'!$O$4:$O$30,$Z36))</f>
        <v>8</v>
      </c>
      <c r="O36" s="136">
        <f ca="1">IF($Z36="","",INDEX('Item Purchases'!$P$4:$P$30,$Z36))</f>
        <v>384</v>
      </c>
      <c r="P36" s="350">
        <f ca="1">IF($Z36="","",INDEX('Item Purchases'!$R$4:$R$30,$Z36))</f>
        <v>480</v>
      </c>
      <c r="Q36" s="350"/>
      <c r="Z36" s="171">
        <f>IFERROR(MATCH($B36,'Item Purchases'!$X$4:$X$30,0),"")</f>
        <v>21</v>
      </c>
      <c r="AA36" s="333"/>
      <c r="AH36" s="165" t="str">
        <f t="shared" si="0"/>
        <v>28 Sep</v>
      </c>
      <c r="AI36" s="166">
        <f>IF(AJ36="","",SUMIFS('Daily Data'!$I$2:$I$1000,'Daily Data'!$A$2:$A$1000,AJ36,'Daily Data'!$M$2:$M$1000,1))</f>
        <v>275</v>
      </c>
      <c r="AJ36" s="167">
        <f>'Daily Data'!$R$22</f>
        <v>46293</v>
      </c>
      <c r="AK36" s="168">
        <f>IF(AJ36="","",COUNTIFS('Daily Data'!$A$2:$A$1000,AJ36,'Daily Data'!$M$2:$M$1000,1,'Daily Data'!$L$2:$L$1000,1))</f>
        <v>26</v>
      </c>
      <c r="AP36" s="165" t="str">
        <f>IF('Item Purchases'!$B$23="","",'Item Purchases'!$B$23)</f>
        <v>Oolong Tea 300ml</v>
      </c>
      <c r="AQ36" s="166">
        <f>IF(AP36="","",SUMIFS('Daily Data'!$I$2:$I$1000,'Daily Data'!$E$2:$E$1000,AP36,'Daily Data'!$M$2:$M$1000,1))</f>
        <v>331</v>
      </c>
      <c r="AR36" s="168">
        <f>IF(AP36="","",SUMPRODUCT(ISNUMBER($AQ$17:$AQ$43)*($AQ$17:$AQ$43&gt;AQ36))+SUMPRODUCT(ISNUMBER($AQ$17:AQ36)*($AQ$17:AQ36=AQ36)))</f>
        <v>6</v>
      </c>
      <c r="AT36" s="165" t="str">
        <f t="shared" si="1"/>
        <v>Oolong Tea 300ml</v>
      </c>
      <c r="AU36" s="169">
        <f>IF(AT36="","",SUMIFS('Daily Data'!$K$2:$K$1000,'Daily Data'!$E$2:$E$1000,AT36,'Daily Data'!$M$2:$M$1000,1))</f>
        <v>579.25</v>
      </c>
      <c r="AV36" s="168">
        <f>IF(OR(AT36="",N(AU36)&lt;=0),"",SUMPRODUCT(ISNUMBER($AU$17:$AU$43)*($AU$17:$AU$43&gt;AU36))+SUMPRODUCT(ISNUMBER($AU$17:AU36)*($AU$17:AU36=AU36)))</f>
        <v>7</v>
      </c>
      <c r="AW36" s="170">
        <f t="shared" si="2"/>
        <v>5.6291504963224666E-2</v>
      </c>
      <c r="AX36" s="170">
        <f t="shared" si="3"/>
        <v>0.59414383706415397</v>
      </c>
      <c r="AY36" s="165" t="str">
        <f>IF(AT36="","",IF(AV36="","-",IF(AX36&lt;'Item Purchases'!$E$49,"A",IF(AX36&lt;'Item Purchases'!$E$50,"B","C"))))</f>
        <v>A</v>
      </c>
      <c r="BM36" s="165" t="str">
        <f>IF('Item Purchases'!$B23="","",'Item Purchases'!$B23)</f>
        <v>Oolong Tea 300ml</v>
      </c>
      <c r="BN36" s="165">
        <f>IF(AND(BM36&lt;&gt;"",'Item Purchases'!$W23=1,'Item Purchases'!$AN23&lt;&gt;"Discontinued",N('Item Purchases'!$C23)&gt;0),1,0)</f>
        <v>1</v>
      </c>
      <c r="BO36" s="165">
        <f>N('Storehouse Replenishment Schedu'!$CR23)</f>
        <v>84</v>
      </c>
      <c r="BP36" s="165">
        <f>N('Item Purchases'!$E23)</f>
        <v>53</v>
      </c>
      <c r="BQ36" s="165">
        <f>N('Item Purchases'!$C23)</f>
        <v>23.642857142857142</v>
      </c>
      <c r="BR36" s="165">
        <f t="shared" si="4"/>
        <v>3.5528700906344413</v>
      </c>
      <c r="BS36" s="165">
        <f t="shared" si="5"/>
        <v>5.7945619335347436</v>
      </c>
      <c r="BT36" s="165">
        <f t="shared" si="6"/>
        <v>2.2416918429003023</v>
      </c>
      <c r="BU36" s="165">
        <f>N('Storehouse Replenishment Schedu'!$CP23)</f>
        <v>360</v>
      </c>
      <c r="BV36" s="165">
        <f>IF(BM36="",0,SUMIFS('Daily Data'!$G$2:$G$1000,'Daily Data'!$E$2:$E$1000,BM36))</f>
        <v>360</v>
      </c>
      <c r="BW36" s="165">
        <f t="shared" si="7"/>
        <v>0</v>
      </c>
      <c r="BX36" s="165" t="str">
        <f>IF(BN36&lt;&gt;1,"",IF(BO36&lt;=0,IF(BT36&lt;='Item Purchases'!$E$38,"EMPTY - ORDER NOW","EMPTY - PLAN ORDER"),IF(BR36&lt;='Item Purchases'!$E$51,"ORDER NOW",IF(BT36&lt;='Item Purchases'!$E$38,"TRANSFER TO PANTRY",IF(BR36&lt;='Item Purchases'!$E$39,"WATCH","OK")))))</f>
        <v>ORDER NOW</v>
      </c>
      <c r="BY36" s="165">
        <f>IF(BN36=1,SUMPRODUCT(($BN$17:$BN$43=1)*(($BR$17:$BR$43&lt;BR36)+($BR$17:$BR$43=BR36)*($BT$17:$BT$43&lt;BT36)))+SUMPRODUCT(($BN$17:$BN36=1)*($BR$17:$BR36=BR36)*($BT$17:$BT36=BT36)),"")</f>
        <v>13</v>
      </c>
      <c r="BZ36" s="165" t="str">
        <f>IF(CA36&gt;0,COUNTIF($CA$17:$CA$43,"&gt;"&amp;CA36)+COUNTIF($CA$17:CA36,CA36),"")</f>
        <v/>
      </c>
      <c r="CA36" s="165">
        <f>IF(AND(BM36&lt;&gt;"",'Item Purchases'!$W23=1),ABS(BW36)*1000+CB36,0)</f>
        <v>0</v>
      </c>
      <c r="CB36" s="165">
        <f>N('Storehouse Replenishment Schedu'!$CX23)</f>
        <v>0</v>
      </c>
      <c r="CC36" s="165">
        <f t="shared" si="8"/>
        <v>360</v>
      </c>
      <c r="CD36" s="165" t="str">
        <f>IF('Storehouse Replenishment Schedu'!$CY23="","",'Storehouse Replenishment Schedu'!$CY23)</f>
        <v/>
      </c>
      <c r="CG36" s="166">
        <f>INDEX('Storehouse Replenishment Schedu'!$D$2:$CO$2,1,58)</f>
        <v>46285</v>
      </c>
      <c r="CH36" s="165" t="str">
        <f t="shared" si="9"/>
        <v>20 Sep</v>
      </c>
      <c r="CI36" s="165">
        <f>SUMPRODUCT(INDEX('Storehouse Replenishment Schedu'!$D$4:$CO$30,0,58)*('Item Purchases'!$W$4:$W$30=1))</f>
        <v>0</v>
      </c>
      <c r="CJ36" s="165">
        <f>SUMPRODUCT(INDEX('Storehouse Replenishment Schedu'!$D$4:$CO$30,0,59)*('Item Purchases'!$W$4:$W$30=1))</f>
        <v>0</v>
      </c>
      <c r="CK36" s="165">
        <f>IF(CG36="",0,SUMIFS('Daily Data'!$G$2:$G$1000,'Daily Data'!$A$2:$A$1000,CG36))</f>
        <v>0</v>
      </c>
      <c r="CL36" s="165">
        <f>SUMPRODUCT(INDEX('Storehouse Replenishment Schedu'!$D$4:$CO$30,0,58))-CK36</f>
        <v>0</v>
      </c>
      <c r="CM36" s="165">
        <f t="shared" si="10"/>
        <v>0</v>
      </c>
      <c r="CT36" s="165">
        <f>IF(AND(BM36&lt;&gt;"",'Item Purchases'!$W23=1,ISNUMBER('Item Purchases'!$AQ23),'Item Purchases'!$AS23&lt;&gt;"DISCONTINUED",'Item Purchases'!$AS23&lt;&gt;"NEED MORE DATA"),1,0)</f>
        <v>1</v>
      </c>
      <c r="CU36" s="165">
        <f>IF(CT36=1,SUMPRODUCT(($CT$17:$CT$43=1)*('Item Purchases'!$AQ$4:$AQ$30&lt;'Item Purchases'!$AQ23))+SUMPRODUCT(($CT$17:$CT36=1)*('Item Purchases'!$AQ$4:$AQ23='Item Purchases'!$AQ23)),"")</f>
        <v>22</v>
      </c>
      <c r="CV36" s="134">
        <f>IF($DT36="","",4)</f>
        <v>4</v>
      </c>
      <c r="CW36" s="336" t="str">
        <f t="shared" si="11"/>
        <v>Vsoy Soya Bean  250ml</v>
      </c>
      <c r="CX36" s="336"/>
      <c r="CY36" s="336"/>
      <c r="CZ36" s="336"/>
      <c r="DA36" s="334">
        <f t="shared" si="12"/>
        <v>0</v>
      </c>
      <c r="DB36" s="334"/>
      <c r="DC36" s="334">
        <f t="shared" si="13"/>
        <v>27</v>
      </c>
      <c r="DD36" s="334"/>
      <c r="DE36" s="382">
        <f t="shared" si="14"/>
        <v>15.941176470588236</v>
      </c>
      <c r="DF36" s="382"/>
      <c r="DG36" s="382">
        <f t="shared" si="15"/>
        <v>0</v>
      </c>
      <c r="DH36" s="382"/>
      <c r="DI36" s="382">
        <f t="shared" si="16"/>
        <v>1.6937269372693726</v>
      </c>
      <c r="DJ36" s="382"/>
      <c r="DK36" s="334">
        <f t="shared" si="17"/>
        <v>240</v>
      </c>
      <c r="DL36" s="334"/>
      <c r="DM36" s="334">
        <f t="shared" si="18"/>
        <v>240</v>
      </c>
      <c r="DN36" s="334"/>
      <c r="DO36" s="334">
        <f t="shared" si="19"/>
        <v>0</v>
      </c>
      <c r="DP36" s="334"/>
      <c r="DQ36" s="337" t="str">
        <f t="shared" si="20"/>
        <v>EMPTY - ORDER NOW</v>
      </c>
      <c r="DR36" s="337"/>
      <c r="DS36" s="337"/>
      <c r="DT36" s="165">
        <f>IFERROR(MATCH(4,$BY$17:$BY$43,0),"")</f>
        <v>21</v>
      </c>
    </row>
    <row r="37" spans="2:124" ht="15.75" x14ac:dyDescent="0.25">
      <c r="B37" s="134">
        <v>5</v>
      </c>
      <c r="C37" s="336" t="str">
        <f>IF($Z37="","",INDEX('Item Purchases'!$B$4:$B$30,$Z37))</f>
        <v>Ayataka Tea 300ml</v>
      </c>
      <c r="D37" s="336"/>
      <c r="E37" s="336"/>
      <c r="F37" s="336"/>
      <c r="G37" s="135" t="str">
        <f>IF($Z37="","",INDEX('Item Purchases'!$AC$4:$AC$30,$Z37))</f>
        <v>A</v>
      </c>
      <c r="H37" s="337" t="str">
        <f>IF($Z37="","",INDEX('Item Purchases'!$M$4:$M$30,$Z37))</f>
        <v>CRITICAL</v>
      </c>
      <c r="I37" s="337"/>
      <c r="J37" s="136">
        <f>IF($Z37="","",INDEX('Item Purchases'!$F$4:$F$30,$Z37))</f>
        <v>85</v>
      </c>
      <c r="K37" s="137">
        <f>IF($Z37="","",INDEX('Item Purchases'!$G$4:$G$30,$Z37))</f>
        <v>2.7149877149877151</v>
      </c>
      <c r="L37" s="349">
        <f>IF($Z37="","",INDEX('Item Purchases'!$I$4:$I$30,$Z37))</f>
        <v>46297</v>
      </c>
      <c r="M37" s="349"/>
      <c r="N37" s="138">
        <f ca="1">IF($Z37="","",INDEX('Item Purchases'!$O$4:$O$30,$Z37))</f>
        <v>55</v>
      </c>
      <c r="O37" s="136">
        <f ca="1">IF($Z37="","",INDEX('Item Purchases'!$P$4:$P$30,$Z37))</f>
        <v>660</v>
      </c>
      <c r="P37" s="350">
        <f ca="1">IF($Z37="","",INDEX('Item Purchases'!$R$4:$R$30,$Z37))</f>
        <v>1155</v>
      </c>
      <c r="Q37" s="350"/>
      <c r="R37" s="364" t="s">
        <v>86</v>
      </c>
      <c r="S37" s="364"/>
      <c r="T37" s="364"/>
      <c r="U37" s="364"/>
      <c r="V37" s="364"/>
      <c r="W37" s="364"/>
      <c r="X37" s="364"/>
      <c r="Y37" s="364"/>
      <c r="Z37" s="171">
        <f>IFERROR(MATCH($B37,'Item Purchases'!$X$4:$X$30,0),"")</f>
        <v>19</v>
      </c>
      <c r="AA37" s="333"/>
      <c r="AB37" s="124" t="s">
        <v>87</v>
      </c>
      <c r="AH37" s="165" t="str">
        <f t="shared" si="0"/>
        <v>29 Sep</v>
      </c>
      <c r="AI37" s="166">
        <f>IF(AJ37="","",SUMIFS('Daily Data'!$I$2:$I$1000,'Daily Data'!$A$2:$A$1000,AJ37,'Daily Data'!$M$2:$M$1000,1))</f>
        <v>317</v>
      </c>
      <c r="AJ37" s="167">
        <f>'Daily Data'!$R$23</f>
        <v>46294</v>
      </c>
      <c r="AK37" s="168">
        <f>IF(AJ37="","",COUNTIFS('Daily Data'!$A$2:$A$1000,AJ37,'Daily Data'!$M$2:$M$1000,1,'Daily Data'!$L$2:$L$1000,1))</f>
        <v>26</v>
      </c>
      <c r="AP37" s="165" t="str">
        <f>IF('Item Purchases'!$B$24="","",'Item Purchases'!$B$24)</f>
        <v>Vsoy Soya Bean  250ml</v>
      </c>
      <c r="AQ37" s="166">
        <f>IF(AP37="","",SUMIFS('Daily Data'!$I$2:$I$1000,'Daily Data'!$E$2:$E$1000,AP37,'Daily Data'!$M$2:$M$1000,1))</f>
        <v>271</v>
      </c>
      <c r="AR37" s="168">
        <f>IF(AP37="","",SUMPRODUCT(ISNUMBER($AQ$17:$AQ$43)*($AQ$17:$AQ$43&gt;AQ37))+SUMPRODUCT(ISNUMBER($AQ$17:AQ37)*($AQ$17:AQ37=AQ37)))</f>
        <v>10</v>
      </c>
      <c r="AT37" s="165" t="str">
        <f t="shared" si="1"/>
        <v>Vsoy Soya Bean  250ml</v>
      </c>
      <c r="AU37" s="169">
        <f>IF(AT37="","",SUMIFS('Daily Data'!$K$2:$K$1000,'Daily Data'!$E$2:$E$1000,AT37,'Daily Data'!$M$2:$M$1000,1))</f>
        <v>338.75</v>
      </c>
      <c r="AV37" s="168">
        <f>IF(OR(AT37="",N(AU37)&lt;=0),"",SUMPRODUCT(ISNUMBER($AU$17:$AU$43)*($AU$17:$AU$43&gt;AU37))+SUMPRODUCT(ISNUMBER($AU$17:AU37)*($AU$17:AU37=AU37)))</f>
        <v>10</v>
      </c>
      <c r="AW37" s="170">
        <f t="shared" si="2"/>
        <v>3.2919719130414082E-2</v>
      </c>
      <c r="AX37" s="170">
        <f t="shared" si="3"/>
        <v>0.74166285640151275</v>
      </c>
      <c r="AY37" s="165" t="str">
        <f>IF(AT37="","",IF(AV37="","-",IF(AX37&lt;'Item Purchases'!$E$49,"A",IF(AX37&lt;'Item Purchases'!$E$50,"B","C"))))</f>
        <v>A</v>
      </c>
      <c r="BM37" s="165" t="str">
        <f>IF('Item Purchases'!$B24="","",'Item Purchases'!$B24)</f>
        <v>Vsoy Soya Bean  250ml</v>
      </c>
      <c r="BN37" s="165">
        <f>IF(AND(BM37&lt;&gt;"",'Item Purchases'!$W24=1,'Item Purchases'!$AN24&lt;&gt;"Discontinued",N('Item Purchases'!$C24)&gt;0),1,0)</f>
        <v>1</v>
      </c>
      <c r="BO37" s="165">
        <f>N('Storehouse Replenishment Schedu'!$CR24)</f>
        <v>0</v>
      </c>
      <c r="BP37" s="165">
        <f>N('Item Purchases'!$E24)</f>
        <v>27</v>
      </c>
      <c r="BQ37" s="165">
        <f>N('Item Purchases'!$C24)</f>
        <v>15.941176470588236</v>
      </c>
      <c r="BR37" s="165">
        <f t="shared" si="4"/>
        <v>0</v>
      </c>
      <c r="BS37" s="165">
        <f t="shared" si="5"/>
        <v>1.6937269372693726</v>
      </c>
      <c r="BT37" s="165">
        <f t="shared" si="6"/>
        <v>1.6937269372693726</v>
      </c>
      <c r="BU37" s="165">
        <f>N('Storehouse Replenishment Schedu'!$CP24)</f>
        <v>240</v>
      </c>
      <c r="BV37" s="165">
        <f>IF(BM37="",0,SUMIFS('Daily Data'!$G$2:$G$1000,'Daily Data'!$E$2:$E$1000,BM37))</f>
        <v>240</v>
      </c>
      <c r="BW37" s="165">
        <f t="shared" si="7"/>
        <v>0</v>
      </c>
      <c r="BX37" s="165" t="str">
        <f>IF(BN37&lt;&gt;1,"",IF(BO37&lt;=0,IF(BT37&lt;='Item Purchases'!$E$38,"EMPTY - ORDER NOW","EMPTY - PLAN ORDER"),IF(BR37&lt;='Item Purchases'!$E$51,"ORDER NOW",IF(BT37&lt;='Item Purchases'!$E$38,"TRANSFER TO PANTRY",IF(BR37&lt;='Item Purchases'!$E$39,"WATCH","OK")))))</f>
        <v>EMPTY - ORDER NOW</v>
      </c>
      <c r="BY37" s="165">
        <f>IF(BN37=1,SUMPRODUCT(($BN$17:$BN$43=1)*(($BR$17:$BR$43&lt;BR37)+($BR$17:$BR$43=BR37)*($BT$17:$BT$43&lt;BT37)))+SUMPRODUCT(($BN$17:$BN37=1)*($BR$17:$BR37=BR37)*($BT$17:$BT37=BT37)),"")</f>
        <v>4</v>
      </c>
      <c r="BZ37" s="165" t="str">
        <f>IF(CA37&gt;0,COUNTIF($CA$17:$CA$43,"&gt;"&amp;CA37)+COUNTIF($CA$17:CA37,CA37),"")</f>
        <v/>
      </c>
      <c r="CA37" s="165">
        <f>IF(AND(BM37&lt;&gt;"",'Item Purchases'!$W24=1),ABS(BW37)*1000+CB37,0)</f>
        <v>0</v>
      </c>
      <c r="CB37" s="165">
        <f>N('Storehouse Replenishment Schedu'!$CX24)</f>
        <v>0</v>
      </c>
      <c r="CC37" s="165">
        <f t="shared" si="8"/>
        <v>240</v>
      </c>
      <c r="CD37" s="165" t="str">
        <f>IF('Storehouse Replenishment Schedu'!$CY24="","",'Storehouse Replenishment Schedu'!$CY24)</f>
        <v/>
      </c>
      <c r="CG37" s="166">
        <f>INDEX('Storehouse Replenishment Schedu'!$D$2:$CO$2,1,61)</f>
        <v>46286</v>
      </c>
      <c r="CH37" s="165" t="str">
        <f t="shared" si="9"/>
        <v>21 Sep</v>
      </c>
      <c r="CI37" s="165">
        <f>SUMPRODUCT(INDEX('Storehouse Replenishment Schedu'!$D$4:$CO$30,0,61)*('Item Purchases'!$W$4:$W$30=1))</f>
        <v>233</v>
      </c>
      <c r="CJ37" s="165">
        <f>SUMPRODUCT(INDEX('Storehouse Replenishment Schedu'!$D$4:$CO$30,0,62)*('Item Purchases'!$W$4:$W$30=1))</f>
        <v>1678</v>
      </c>
      <c r="CK37" s="165">
        <f>IF(CG37="",0,SUMIFS('Daily Data'!$G$2:$G$1000,'Daily Data'!$A$2:$A$1000,CG37))</f>
        <v>233</v>
      </c>
      <c r="CL37" s="165">
        <f>SUMPRODUCT(INDEX('Storehouse Replenishment Schedu'!$D$4:$CO$30,0,61))-CK37</f>
        <v>0</v>
      </c>
      <c r="CM37" s="165">
        <f t="shared" si="10"/>
        <v>0</v>
      </c>
      <c r="CT37" s="165">
        <f>IF(AND(BM37&lt;&gt;"",'Item Purchases'!$W24=1,ISNUMBER('Item Purchases'!$AQ24),'Item Purchases'!$AS24&lt;&gt;"DISCONTINUED",'Item Purchases'!$AS24&lt;&gt;"NEED MORE DATA"),1,0)</f>
        <v>1</v>
      </c>
      <c r="CU37" s="165">
        <f>IF(CT37=1,SUMPRODUCT(($CT$17:$CT$43=1)*('Item Purchases'!$AQ$4:$AQ$30&lt;'Item Purchases'!$AQ24))+SUMPRODUCT(($CT$17:$CT37=1)*('Item Purchases'!$AQ$4:$AQ24='Item Purchases'!$AQ24)),"")</f>
        <v>17</v>
      </c>
      <c r="CV37" s="134">
        <f>IF($DT37="","",5)</f>
        <v>5</v>
      </c>
      <c r="CW37" s="336" t="str">
        <f t="shared" si="11"/>
        <v>Munchy Oat Krunch - Dark Choco</v>
      </c>
      <c r="CX37" s="336"/>
      <c r="CY37" s="336"/>
      <c r="CZ37" s="336"/>
      <c r="DA37" s="334">
        <f t="shared" si="12"/>
        <v>0</v>
      </c>
      <c r="DB37" s="334"/>
      <c r="DC37" s="334">
        <f t="shared" si="13"/>
        <v>45</v>
      </c>
      <c r="DD37" s="334"/>
      <c r="DE37" s="382">
        <f t="shared" si="14"/>
        <v>15.833333333333334</v>
      </c>
      <c r="DF37" s="382"/>
      <c r="DG37" s="382">
        <f t="shared" si="15"/>
        <v>0</v>
      </c>
      <c r="DH37" s="382"/>
      <c r="DI37" s="382">
        <f t="shared" si="16"/>
        <v>2.8421052631578947</v>
      </c>
      <c r="DJ37" s="382"/>
      <c r="DK37" s="334">
        <f t="shared" si="17"/>
        <v>285</v>
      </c>
      <c r="DL37" s="334"/>
      <c r="DM37" s="334">
        <f t="shared" si="18"/>
        <v>285</v>
      </c>
      <c r="DN37" s="334"/>
      <c r="DO37" s="334">
        <f t="shared" si="19"/>
        <v>0</v>
      </c>
      <c r="DP37" s="334"/>
      <c r="DQ37" s="337" t="str">
        <f t="shared" si="20"/>
        <v>EMPTY - ORDER NOW</v>
      </c>
      <c r="DR37" s="337"/>
      <c r="DS37" s="337"/>
      <c r="DT37" s="165">
        <f>IFERROR(MATCH(5,$BY$17:$BY$43,0),"")</f>
        <v>10</v>
      </c>
    </row>
    <row r="38" spans="2:124" x14ac:dyDescent="0.25">
      <c r="B38" s="134">
        <v>6</v>
      </c>
      <c r="C38" s="336" t="str">
        <f>IF($Z38="","",INDEX('Item Purchases'!$B$4:$B$30,$Z38))</f>
        <v>Munchy Oat Krunch - Dark Choco</v>
      </c>
      <c r="D38" s="336"/>
      <c r="E38" s="336"/>
      <c r="F38" s="336"/>
      <c r="G38" s="135" t="str">
        <f>IF($Z38="","",INDEX('Item Purchases'!$AC$4:$AC$30,$Z38))</f>
        <v>B</v>
      </c>
      <c r="H38" s="337" t="str">
        <f>IF($Z38="","",INDEX('Item Purchases'!$M$4:$M$30,$Z38))</f>
        <v>CRITICAL</v>
      </c>
      <c r="I38" s="337"/>
      <c r="J38" s="136">
        <f>IF($Z38="","",INDEX('Item Purchases'!$F$4:$F$30,$Z38))</f>
        <v>45</v>
      </c>
      <c r="K38" s="137">
        <f>IF($Z38="","",INDEX('Item Purchases'!$G$4:$G$30,$Z38))</f>
        <v>2.8421052631578947</v>
      </c>
      <c r="L38" s="349">
        <f>IF($Z38="","",INDEX('Item Purchases'!$I$4:$I$30,$Z38))</f>
        <v>46297</v>
      </c>
      <c r="M38" s="349"/>
      <c r="N38" s="138">
        <f ca="1">IF($Z38="","",INDEX('Item Purchases'!$O$4:$O$30,$Z38))</f>
        <v>23</v>
      </c>
      <c r="O38" s="136">
        <f ca="1">IF($Z38="","",INDEX('Item Purchases'!$P$4:$P$30,$Z38))</f>
        <v>345</v>
      </c>
      <c r="P38" s="350">
        <f ca="1">IF($Z38="","",INDEX('Item Purchases'!$R$4:$R$30,$Z38))</f>
        <v>251.85</v>
      </c>
      <c r="Q38" s="350"/>
      <c r="R38" s="352" t="s">
        <v>37</v>
      </c>
      <c r="S38" s="352"/>
      <c r="T38" s="352"/>
      <c r="U38" s="352"/>
      <c r="V38" s="362" t="s">
        <v>88</v>
      </c>
      <c r="W38" s="362"/>
      <c r="X38" s="362" t="s">
        <v>89</v>
      </c>
      <c r="Y38" s="362"/>
      <c r="Z38" s="171">
        <f>IFERROR(MATCH($B38,'Item Purchases'!$X$4:$X$30,0),"")</f>
        <v>10</v>
      </c>
      <c r="AA38" s="333"/>
      <c r="AB38" s="129" t="s">
        <v>43</v>
      </c>
      <c r="AC38" s="129" t="s">
        <v>90</v>
      </c>
      <c r="AD38" s="129" t="s">
        <v>91</v>
      </c>
      <c r="AE38" s="129" t="s">
        <v>92</v>
      </c>
      <c r="AF38" s="129" t="s">
        <v>93</v>
      </c>
      <c r="AH38" s="165" t="str">
        <f t="shared" si="0"/>
        <v>30 Sep</v>
      </c>
      <c r="AI38" s="166">
        <f>IF(AJ38="","",SUMIFS('Daily Data'!$I$2:$I$1000,'Daily Data'!$A$2:$A$1000,AJ38,'Daily Data'!$M$2:$M$1000,1))</f>
        <v>259</v>
      </c>
      <c r="AJ38" s="167">
        <f>'Daily Data'!$R$24</f>
        <v>46295</v>
      </c>
      <c r="AK38" s="168">
        <f>IF(AJ38="","",COUNTIFS('Daily Data'!$A$2:$A$1000,AJ38,'Daily Data'!$M$2:$M$1000,1,'Daily Data'!$L$2:$L$1000,1))</f>
        <v>26</v>
      </c>
      <c r="AP38" s="165" t="str">
        <f>IF('Item Purchases'!$B$25="","",'Item Purchases'!$B$25)</f>
        <v>BingRae Banana Milk 200ml</v>
      </c>
      <c r="AQ38" s="166">
        <f>IF(AP38="","",SUMIFS('Daily Data'!$I$2:$I$1000,'Daily Data'!$E$2:$E$1000,AP38,'Daily Data'!$M$2:$M$1000,1))</f>
        <v>123</v>
      </c>
      <c r="AR38" s="168">
        <f>IF(AP38="","",SUMPRODUCT(ISNUMBER($AQ$17:$AQ$43)*($AQ$17:$AQ$43&gt;AQ38))+SUMPRODUCT(ISNUMBER($AQ$17:AQ38)*($AQ$17:AQ38=AQ38)))</f>
        <v>17</v>
      </c>
      <c r="AT38" s="165" t="str">
        <f t="shared" si="1"/>
        <v>BingRae Banana Milk 200ml</v>
      </c>
      <c r="AU38" s="169">
        <f>IF(AT38="","",SUMIFS('Daily Data'!$K$2:$K$1000,'Daily Data'!$E$2:$E$1000,AT38,'Daily Data'!$M$2:$M$1000,1))</f>
        <v>407.86799999999999</v>
      </c>
      <c r="AV38" s="168">
        <f>IF(OR(AT38="",N(AU38)&lt;=0),"",SUMPRODUCT(ISNUMBER($AU$17:$AU$43)*($AU$17:$AU$43&gt;AU38))+SUMPRODUCT(ISNUMBER($AU$17:AU38)*($AU$17:AU38=AU38)))</f>
        <v>9</v>
      </c>
      <c r="AW38" s="170">
        <f t="shared" si="2"/>
        <v>3.9636605172793299E-2</v>
      </c>
      <c r="AX38" s="170">
        <f t="shared" si="3"/>
        <v>0.70202625122871942</v>
      </c>
      <c r="AY38" s="165" t="str">
        <f>IF(AT38="","",IF(AV38="","-",IF(AX38&lt;'Item Purchases'!$E$49,"A",IF(AX38&lt;'Item Purchases'!$E$50,"B","C"))))</f>
        <v>A</v>
      </c>
      <c r="BM38" s="165" t="str">
        <f>IF('Item Purchases'!$B25="","",'Item Purchases'!$B25)</f>
        <v>BingRae Banana Milk 200ml</v>
      </c>
      <c r="BN38" s="165">
        <f>IF(AND(BM38&lt;&gt;"",'Item Purchases'!$W25=1,'Item Purchases'!$AN25&lt;&gt;"Discontinued",N('Item Purchases'!$C25)&gt;0),1,0)</f>
        <v>1</v>
      </c>
      <c r="BO38" s="165">
        <f>N('Storehouse Replenishment Schedu'!$CR25)</f>
        <v>0</v>
      </c>
      <c r="BP38" s="165">
        <f>N('Item Purchases'!$E25)</f>
        <v>44</v>
      </c>
      <c r="BQ38" s="165">
        <f>N('Item Purchases'!$C25)</f>
        <v>7.6875</v>
      </c>
      <c r="BR38" s="165">
        <f t="shared" si="4"/>
        <v>0</v>
      </c>
      <c r="BS38" s="165">
        <f t="shared" si="5"/>
        <v>5.7235772357723578</v>
      </c>
      <c r="BT38" s="165">
        <f t="shared" si="6"/>
        <v>5.7235772357723578</v>
      </c>
      <c r="BU38" s="165">
        <f>N('Storehouse Replenishment Schedu'!$CP25)</f>
        <v>144</v>
      </c>
      <c r="BV38" s="165">
        <f>IF(BM38="",0,SUMIFS('Daily Data'!$G$2:$G$1000,'Daily Data'!$E$2:$E$1000,BM38))</f>
        <v>144</v>
      </c>
      <c r="BW38" s="165">
        <f t="shared" si="7"/>
        <v>0</v>
      </c>
      <c r="BX38" s="165" t="str">
        <f>IF(BN38&lt;&gt;1,"",IF(BO38&lt;=0,IF(BT38&lt;='Item Purchases'!$E$38,"EMPTY - ORDER NOW","EMPTY - PLAN ORDER"),IF(BR38&lt;='Item Purchases'!$E$51,"ORDER NOW",IF(BT38&lt;='Item Purchases'!$E$38,"TRANSFER TO PANTRY",IF(BR38&lt;='Item Purchases'!$E$39,"WATCH","OK")))))</f>
        <v>EMPTY - ORDER NOW</v>
      </c>
      <c r="BY38" s="165">
        <f>IF(BN38=1,SUMPRODUCT(($BN$17:$BN$43=1)*(($BR$17:$BR$43&lt;BR38)+($BR$17:$BR$43=BR38)*($BT$17:$BT$43&lt;BT38)))+SUMPRODUCT(($BN$17:$BN38=1)*($BR$17:$BR38=BR38)*($BT$17:$BT38=BT38)),"")</f>
        <v>10</v>
      </c>
      <c r="BZ38" s="165" t="str">
        <f>IF(CA38&gt;0,COUNTIF($CA$17:$CA$43,"&gt;"&amp;CA38)+COUNTIF($CA$17:CA38,CA38),"")</f>
        <v/>
      </c>
      <c r="CA38" s="165">
        <f>IF(AND(BM38&lt;&gt;"",'Item Purchases'!$W25=1),ABS(BW38)*1000+CB38,0)</f>
        <v>0</v>
      </c>
      <c r="CB38" s="165">
        <f>N('Storehouse Replenishment Schedu'!$CX25)</f>
        <v>0</v>
      </c>
      <c r="CC38" s="165">
        <f t="shared" si="8"/>
        <v>144</v>
      </c>
      <c r="CD38" s="165" t="str">
        <f>IF('Storehouse Replenishment Schedu'!$CY25="","",'Storehouse Replenishment Schedu'!$CY25)</f>
        <v/>
      </c>
      <c r="CG38" s="166">
        <f>INDEX('Storehouse Replenishment Schedu'!$D$2:$CO$2,1,64)</f>
        <v>46287</v>
      </c>
      <c r="CH38" s="165" t="str">
        <f t="shared" si="9"/>
        <v>22 Sep</v>
      </c>
      <c r="CI38" s="165">
        <f>SUMPRODUCT(INDEX('Storehouse Replenishment Schedu'!$D$4:$CO$30,0,64)*('Item Purchases'!$W$4:$W$30=1))</f>
        <v>464</v>
      </c>
      <c r="CJ38" s="165">
        <f>SUMPRODUCT(INDEX('Storehouse Replenishment Schedu'!$D$4:$CO$30,0,65)*('Item Purchases'!$W$4:$W$30=1))</f>
        <v>0</v>
      </c>
      <c r="CK38" s="165">
        <f>IF(CG38="",0,SUMIFS('Daily Data'!$G$2:$G$1000,'Daily Data'!$A$2:$A$1000,CG38))</f>
        <v>464</v>
      </c>
      <c r="CL38" s="165">
        <f>SUMPRODUCT(INDEX('Storehouse Replenishment Schedu'!$D$4:$CO$30,0,64))-CK38</f>
        <v>0</v>
      </c>
      <c r="CM38" s="165">
        <f t="shared" si="10"/>
        <v>0</v>
      </c>
      <c r="CT38" s="165">
        <f>IF(AND(BM38&lt;&gt;"",'Item Purchases'!$W25=1,ISNUMBER('Item Purchases'!$AQ25),'Item Purchases'!$AS25&lt;&gt;"DISCONTINUED",'Item Purchases'!$AS25&lt;&gt;"NEED MORE DATA"),1,0)</f>
        <v>1</v>
      </c>
      <c r="CU38" s="165">
        <f>IF(CT38=1,SUMPRODUCT(($CT$17:$CT$43=1)*('Item Purchases'!$AQ$4:$AQ$30&lt;'Item Purchases'!$AQ25))+SUMPRODUCT(($CT$17:$CT38=1)*('Item Purchases'!$AQ$4:$AQ25='Item Purchases'!$AQ25)),"")</f>
        <v>8</v>
      </c>
      <c r="CV38" s="134">
        <f>IF($DT38="","",6)</f>
        <v>6</v>
      </c>
      <c r="CW38" s="336" t="str">
        <f t="shared" si="11"/>
        <v>Milo 200ml</v>
      </c>
      <c r="CX38" s="336"/>
      <c r="CY38" s="336"/>
      <c r="CZ38" s="336"/>
      <c r="DA38" s="334">
        <f t="shared" si="12"/>
        <v>0</v>
      </c>
      <c r="DB38" s="334"/>
      <c r="DC38" s="334">
        <f t="shared" si="13"/>
        <v>51</v>
      </c>
      <c r="DD38" s="334"/>
      <c r="DE38" s="382">
        <f t="shared" si="14"/>
        <v>14</v>
      </c>
      <c r="DF38" s="382"/>
      <c r="DG38" s="382">
        <f t="shared" si="15"/>
        <v>0</v>
      </c>
      <c r="DH38" s="382"/>
      <c r="DI38" s="382">
        <f t="shared" si="16"/>
        <v>3.6428571428571428</v>
      </c>
      <c r="DJ38" s="382"/>
      <c r="DK38" s="334">
        <f t="shared" si="17"/>
        <v>240</v>
      </c>
      <c r="DL38" s="334"/>
      <c r="DM38" s="334">
        <f t="shared" si="18"/>
        <v>240</v>
      </c>
      <c r="DN38" s="334"/>
      <c r="DO38" s="334">
        <f t="shared" si="19"/>
        <v>0</v>
      </c>
      <c r="DP38" s="334"/>
      <c r="DQ38" s="337" t="str">
        <f t="shared" si="20"/>
        <v>EMPTY - ORDER NOW</v>
      </c>
      <c r="DR38" s="337"/>
      <c r="DS38" s="337"/>
      <c r="DT38" s="165">
        <f>IFERROR(MATCH(6,$BY$17:$BY$43,0),"")</f>
        <v>13</v>
      </c>
    </row>
    <row r="39" spans="2:124" x14ac:dyDescent="0.25">
      <c r="B39" s="134">
        <v>7</v>
      </c>
      <c r="C39" s="336" t="str">
        <f>IF($Z39="","",INDEX('Item Purchases'!$B$4:$B$30,$Z39))</f>
        <v>Milo 200ml</v>
      </c>
      <c r="D39" s="336"/>
      <c r="E39" s="336"/>
      <c r="F39" s="336"/>
      <c r="G39" s="135" t="str">
        <f>IF($Z39="","",INDEX('Item Purchases'!$AC$4:$AC$30,$Z39))</f>
        <v>A</v>
      </c>
      <c r="H39" s="337" t="str">
        <f>IF($Z39="","",INDEX('Item Purchases'!$M$4:$M$30,$Z39))</f>
        <v>LOW</v>
      </c>
      <c r="I39" s="337"/>
      <c r="J39" s="136">
        <f>IF($Z39="","",INDEX('Item Purchases'!$F$4:$F$30,$Z39))</f>
        <v>51</v>
      </c>
      <c r="K39" s="137">
        <f>IF($Z39="","",INDEX('Item Purchases'!$G$4:$G$30,$Z39))</f>
        <v>3.6428571428571428</v>
      </c>
      <c r="L39" s="349">
        <f>IF($Z39="","",INDEX('Item Purchases'!$I$4:$I$30,$Z39))</f>
        <v>46300</v>
      </c>
      <c r="M39" s="349"/>
      <c r="N39" s="138">
        <f ca="1">IF($Z39="","",INDEX('Item Purchases'!$O$4:$O$30,$Z39))</f>
        <v>12</v>
      </c>
      <c r="O39" s="136">
        <f ca="1">IF($Z39="","",INDEX('Item Purchases'!$P$4:$P$30,$Z39))</f>
        <v>288</v>
      </c>
      <c r="P39" s="350">
        <f ca="1">IF($Z39="","",INDEX('Item Purchases'!$R$4:$R$30,$Z39))</f>
        <v>682.56000000000006</v>
      </c>
      <c r="Q39" s="350"/>
      <c r="R39" s="346" t="str">
        <f>IF($W$34&gt;0,INDEX('Storehouse Replenishment Schedu'!$B$4:$B$30,MATCH(1,'Item Purchases'!$AL$4:$AL$30,0)),IF($W$32=0,"No physical count entered yet","All counted items tally"))</f>
        <v>All counted items tally</v>
      </c>
      <c r="S39" s="346"/>
      <c r="T39" s="346"/>
      <c r="U39" s="346"/>
      <c r="V39" s="348" t="str">
        <f>IFERROR(INDEX('Storehouse Replenishment Schedu'!$CR$4:$CR$30,MATCH(1,'Item Purchases'!$AL$4:$AL$30,0)),"")</f>
        <v/>
      </c>
      <c r="W39" s="348"/>
      <c r="X39" s="348" t="str">
        <f>IFERROR(INDEX('Storehouse Replenishment Schedu'!$CT$4:$CT$30,MATCH(1,'Item Purchases'!$AL$4:$AL$30,0)),"")</f>
        <v/>
      </c>
      <c r="Y39" s="348"/>
      <c r="Z39" s="171">
        <f>IFERROR(MATCH($B39,'Item Purchases'!$X$4:$X$30,0),"")</f>
        <v>13</v>
      </c>
      <c r="AA39" s="333"/>
      <c r="AB39" s="130" t="str">
        <f t="shared" ref="AB39:AB48" si="21">IF($C33="","",LEFT($C33,28)&amp;IF($H33="OUT OF STOCK"," (OUT)",""))</f>
        <v>Julies Butter Waffles (OUT)</v>
      </c>
      <c r="AC39" s="139">
        <f t="shared" ref="AC39:AC48" si="22">IF(OR($H33="OUT OF STOCK",$H33="CRITICAL"),$K33,0)</f>
        <v>0</v>
      </c>
      <c r="AD39" s="139">
        <f t="shared" ref="AD39:AD48" si="23">IF($H33="LOW",$K33,0)</f>
        <v>0</v>
      </c>
      <c r="AE39" s="139">
        <f t="shared" ref="AE39:AE48" si="24">IF($H33="WATCH",$K33,0)</f>
        <v>0</v>
      </c>
      <c r="AF39" s="139">
        <f t="shared" ref="AF39:AF48" si="25">IF($H33="HEALTHY",$K33,0)</f>
        <v>0</v>
      </c>
      <c r="AH39" s="165" t="str">
        <f t="shared" si="0"/>
        <v/>
      </c>
      <c r="AI39" s="166" t="str">
        <f>IF(AJ39="","",SUMIFS('Daily Data'!$I$2:$I$1000,'Daily Data'!$A$2:$A$1000,AJ39,'Daily Data'!$M$2:$M$1000,1))</f>
        <v/>
      </c>
      <c r="AJ39" s="167" t="str">
        <f>'Daily Data'!$R$25</f>
        <v/>
      </c>
      <c r="AK39" s="168" t="str">
        <f>IF(AJ39="","",COUNTIFS('Daily Data'!$A$2:$A$1000,AJ39,'Daily Data'!$M$2:$M$1000,1,'Daily Data'!$L$2:$L$1000,1))</f>
        <v/>
      </c>
      <c r="AP39" s="165" t="str">
        <f>IF('Item Purchases'!$B$26="","",'Item Purchases'!$B$26)</f>
        <v>Fuze Tea by Heaven and Earth Jasmine Tea</v>
      </c>
      <c r="AQ39" s="166">
        <f>IF(AP39="","",SUMIFS('Daily Data'!$I$2:$I$1000,'Daily Data'!$E$2:$E$1000,AP39,'Daily Data'!$M$2:$M$1000,1))</f>
        <v>0</v>
      </c>
      <c r="AR39" s="168">
        <f>IF(AP39="","",SUMPRODUCT(ISNUMBER($AQ$17:$AQ$43)*($AQ$17:$AQ$43&gt;AQ39))+SUMPRODUCT(ISNUMBER($AQ$17:AQ39)*($AQ$17:AQ39=AQ39)))</f>
        <v>26</v>
      </c>
      <c r="AT39" s="165" t="str">
        <f t="shared" si="1"/>
        <v>Fuze Tea by Heaven and Earth Jasmine Tea</v>
      </c>
      <c r="AU39" s="169">
        <f>IF(AT39="","",SUMIFS('Daily Data'!$K$2:$K$1000,'Daily Data'!$E$2:$E$1000,AT39,'Daily Data'!$M$2:$M$1000,1))</f>
        <v>0</v>
      </c>
      <c r="AV39" s="168" t="str">
        <f>IF(OR(AT39="",N(AU39)&lt;=0),"",SUMPRODUCT(ISNUMBER($AU$17:$AU$43)*($AU$17:$AU$43&gt;AU39))+SUMPRODUCT(ISNUMBER($AU$17:AU39)*($AU$17:AU39=AU39)))</f>
        <v/>
      </c>
      <c r="AW39" s="170" t="str">
        <f t="shared" si="2"/>
        <v/>
      </c>
      <c r="AX39" s="170" t="str">
        <f t="shared" si="3"/>
        <v/>
      </c>
      <c r="AY39" s="165" t="str">
        <f>IF(AT39="","",IF(AV39="","-",IF(AX39&lt;'Item Purchases'!$E$49,"A",IF(AX39&lt;'Item Purchases'!$E$50,"B","C"))))</f>
        <v>-</v>
      </c>
      <c r="BM39" s="165" t="str">
        <f>IF('Item Purchases'!$B26="","",'Item Purchases'!$B26)</f>
        <v>Fuze Tea by Heaven and Earth Jasmine Tea</v>
      </c>
      <c r="BN39" s="165">
        <f>IF(AND(BM39&lt;&gt;"",'Item Purchases'!$W26=1,'Item Purchases'!$AN26&lt;&gt;"Discontinued",N('Item Purchases'!$C26)&gt;0),1,0)</f>
        <v>0</v>
      </c>
      <c r="BO39" s="165">
        <f>N('Storehouse Replenishment Schedu'!$CR26)</f>
        <v>0</v>
      </c>
      <c r="BP39" s="165">
        <f>N('Item Purchases'!$E26)</f>
        <v>0</v>
      </c>
      <c r="BQ39" s="165">
        <f>N('Item Purchases'!$C26)</f>
        <v>0</v>
      </c>
      <c r="BR39" s="165" t="str">
        <f t="shared" si="4"/>
        <v/>
      </c>
      <c r="BS39" s="165" t="str">
        <f t="shared" si="5"/>
        <v/>
      </c>
      <c r="BT39" s="165" t="str">
        <f t="shared" si="6"/>
        <v/>
      </c>
      <c r="BU39" s="165">
        <f>N('Storehouse Replenishment Schedu'!$CP26)</f>
        <v>0</v>
      </c>
      <c r="BV39" s="165">
        <f>IF(BM39="",0,SUMIFS('Daily Data'!$G$2:$G$1000,'Daily Data'!$E$2:$E$1000,BM39))</f>
        <v>0</v>
      </c>
      <c r="BW39" s="165">
        <f t="shared" si="7"/>
        <v>0</v>
      </c>
      <c r="BX39" s="165" t="str">
        <f>IF(BN39&lt;&gt;1,"",IF(BO39&lt;=0,IF(BT39&lt;='Item Purchases'!$E$38,"EMPTY - ORDER NOW","EMPTY - PLAN ORDER"),IF(BR39&lt;='Item Purchases'!$E$51,"ORDER NOW",IF(BT39&lt;='Item Purchases'!$E$38,"TRANSFER TO PANTRY",IF(BR39&lt;='Item Purchases'!$E$39,"WATCH","OK")))))</f>
        <v/>
      </c>
      <c r="BY39" s="165" t="str">
        <f>IF(BN39=1,SUMPRODUCT(($BN$17:$BN$43=1)*(($BR$17:$BR$43&lt;BR39)+($BR$17:$BR$43=BR39)*($BT$17:$BT$43&lt;BT39)))+SUMPRODUCT(($BN$17:$BN39=1)*($BR$17:$BR39=BR39)*($BT$17:$BT39=BT39)),"")</f>
        <v/>
      </c>
      <c r="BZ39" s="165" t="str">
        <f>IF(CA39&gt;0,COUNTIF($CA$17:$CA$43,"&gt;"&amp;CA39)+COUNTIF($CA$17:CA39,CA39),"")</f>
        <v/>
      </c>
      <c r="CA39" s="165">
        <f>IF(AND(BM39&lt;&gt;"",'Item Purchases'!$W26=1),ABS(BW39)*1000+CB39,0)</f>
        <v>0</v>
      </c>
      <c r="CB39" s="165">
        <f>N('Storehouse Replenishment Schedu'!$CX26)</f>
        <v>0</v>
      </c>
      <c r="CC39" s="165">
        <f t="shared" si="8"/>
        <v>0</v>
      </c>
      <c r="CD39" s="165" t="str">
        <f>IF('Storehouse Replenishment Schedu'!$CY26="","",'Storehouse Replenishment Schedu'!$CY26)</f>
        <v/>
      </c>
      <c r="CG39" s="166">
        <f>INDEX('Storehouse Replenishment Schedu'!$D$2:$CO$2,1,67)</f>
        <v>46288</v>
      </c>
      <c r="CH39" s="165" t="str">
        <f t="shared" si="9"/>
        <v>23 Sep</v>
      </c>
      <c r="CI39" s="165">
        <f>SUMPRODUCT(INDEX('Storehouse Replenishment Schedu'!$D$4:$CO$30,0,67)*('Item Purchases'!$W$4:$W$30=1))</f>
        <v>319</v>
      </c>
      <c r="CJ39" s="165">
        <f>SUMPRODUCT(INDEX('Storehouse Replenishment Schedu'!$D$4:$CO$30,0,68)*('Item Purchases'!$W$4:$W$30=1))</f>
        <v>0</v>
      </c>
      <c r="CK39" s="165">
        <f>IF(CG39="",0,SUMIFS('Daily Data'!$G$2:$G$1000,'Daily Data'!$A$2:$A$1000,CG39))</f>
        <v>319</v>
      </c>
      <c r="CL39" s="165">
        <f>SUMPRODUCT(INDEX('Storehouse Replenishment Schedu'!$D$4:$CO$30,0,67))-CK39</f>
        <v>0</v>
      </c>
      <c r="CM39" s="165">
        <f t="shared" si="10"/>
        <v>0</v>
      </c>
      <c r="CT39" s="165">
        <f>IF(AND(BM39&lt;&gt;"",'Item Purchases'!$W26=1,ISNUMBER('Item Purchases'!$AQ26),'Item Purchases'!$AS26&lt;&gt;"DISCONTINUED",'Item Purchases'!$AS26&lt;&gt;"NEED MORE DATA"),1,0)</f>
        <v>1</v>
      </c>
      <c r="CU39" s="165">
        <f>IF(CT39=1,SUMPRODUCT(($CT$17:$CT$43=1)*('Item Purchases'!$AQ$4:$AQ$30&lt;'Item Purchases'!$AQ26))+SUMPRODUCT(($CT$17:$CT39=1)*('Item Purchases'!$AQ$4:$AQ26='Item Purchases'!$AQ26)),"")</f>
        <v>3</v>
      </c>
      <c r="CV39" s="134">
        <f>IF($DT39="","",7)</f>
        <v>7</v>
      </c>
      <c r="CW39" s="336" t="str">
        <f t="shared" si="11"/>
        <v>Munchy Oat Krunch - Strawberry &amp; Blackcurrant</v>
      </c>
      <c r="CX39" s="336"/>
      <c r="CY39" s="336"/>
      <c r="CZ39" s="336"/>
      <c r="DA39" s="334">
        <f t="shared" si="12"/>
        <v>0</v>
      </c>
      <c r="DB39" s="334"/>
      <c r="DC39" s="334">
        <f t="shared" si="13"/>
        <v>37</v>
      </c>
      <c r="DD39" s="334"/>
      <c r="DE39" s="382">
        <f t="shared" si="14"/>
        <v>8.2727272727272734</v>
      </c>
      <c r="DF39" s="382"/>
      <c r="DG39" s="382">
        <f t="shared" si="15"/>
        <v>0</v>
      </c>
      <c r="DH39" s="382"/>
      <c r="DI39" s="382">
        <f t="shared" si="16"/>
        <v>4.4725274725274717</v>
      </c>
      <c r="DJ39" s="382"/>
      <c r="DK39" s="334">
        <f t="shared" si="17"/>
        <v>210</v>
      </c>
      <c r="DL39" s="334"/>
      <c r="DM39" s="334">
        <f t="shared" si="18"/>
        <v>210</v>
      </c>
      <c r="DN39" s="334"/>
      <c r="DO39" s="334">
        <f t="shared" si="19"/>
        <v>0</v>
      </c>
      <c r="DP39" s="334"/>
      <c r="DQ39" s="337" t="str">
        <f t="shared" si="20"/>
        <v>EMPTY - ORDER NOW</v>
      </c>
      <c r="DR39" s="337"/>
      <c r="DS39" s="337"/>
      <c r="DT39" s="165">
        <f>IFERROR(MATCH(7,$BY$17:$BY$43,0),"")</f>
        <v>11</v>
      </c>
    </row>
    <row r="40" spans="2:124" x14ac:dyDescent="0.25">
      <c r="B40" s="134">
        <v>8</v>
      </c>
      <c r="C40" s="336" t="str">
        <f>IF($Z40="","",INDEX('Item Purchases'!$B$4:$B$30,$Z40))</f>
        <v>Munchy Oat Krunch - Strawberry &amp; Blackcurrant</v>
      </c>
      <c r="D40" s="336"/>
      <c r="E40" s="336"/>
      <c r="F40" s="336"/>
      <c r="G40" s="135" t="str">
        <f>IF($Z40="","",INDEX('Item Purchases'!$AC$4:$AC$30,$Z40))</f>
        <v>C</v>
      </c>
      <c r="H40" s="337" t="str">
        <f>IF($Z40="","",INDEX('Item Purchases'!$M$4:$M$30,$Z40))</f>
        <v>LOW</v>
      </c>
      <c r="I40" s="337"/>
      <c r="J40" s="136">
        <f>IF($Z40="","",INDEX('Item Purchases'!$F$4:$F$30,$Z40))</f>
        <v>37</v>
      </c>
      <c r="K40" s="137">
        <f>IF($Z40="","",INDEX('Item Purchases'!$G$4:$G$30,$Z40))</f>
        <v>4.4725274725274717</v>
      </c>
      <c r="L40" s="349">
        <f>IF($Z40="","",INDEX('Item Purchases'!$I$4:$I$30,$Z40))</f>
        <v>46301</v>
      </c>
      <c r="M40" s="349"/>
      <c r="N40" s="138">
        <f ca="1">IF($Z40="","",INDEX('Item Purchases'!$O$4:$O$30,$Z40))</f>
        <v>11</v>
      </c>
      <c r="O40" s="136">
        <f ca="1">IF($Z40="","",INDEX('Item Purchases'!$P$4:$P$30,$Z40))</f>
        <v>165</v>
      </c>
      <c r="P40" s="350">
        <f ca="1">IF($Z40="","",INDEX('Item Purchases'!$R$4:$R$30,$Z40))</f>
        <v>120.45</v>
      </c>
      <c r="Q40" s="350"/>
      <c r="R40" s="346" t="str">
        <f>IFERROR(INDEX('Storehouse Replenishment Schedu'!$B$4:$B$30,MATCH(2,'Item Purchases'!$AL$4:$AL$30,0)),"")</f>
        <v/>
      </c>
      <c r="S40" s="346"/>
      <c r="T40" s="346"/>
      <c r="U40" s="346"/>
      <c r="V40" s="348" t="str">
        <f>IFERROR(INDEX('Storehouse Replenishment Schedu'!$CR$4:$CR$30,MATCH(2,'Item Purchases'!$AL$4:$AL$30,0)),"")</f>
        <v/>
      </c>
      <c r="W40" s="348"/>
      <c r="X40" s="348" t="str">
        <f>IFERROR(INDEX('Storehouse Replenishment Schedu'!$CT$4:$CT$30,MATCH(2,'Item Purchases'!$AL$4:$AL$30,0)),"")</f>
        <v/>
      </c>
      <c r="Y40" s="348"/>
      <c r="Z40" s="171">
        <f>IFERROR(MATCH($B40,'Item Purchases'!$X$4:$X$30,0),"")</f>
        <v>11</v>
      </c>
      <c r="AA40" s="333"/>
      <c r="AB40" s="130" t="str">
        <f t="shared" si="21"/>
        <v>NV OATS &amp; DARK CHOC 42GX5 (OUT)</v>
      </c>
      <c r="AC40" s="139">
        <f t="shared" si="22"/>
        <v>0</v>
      </c>
      <c r="AD40" s="139">
        <f t="shared" si="23"/>
        <v>0</v>
      </c>
      <c r="AE40" s="139">
        <f t="shared" si="24"/>
        <v>0</v>
      </c>
      <c r="AF40" s="139">
        <f t="shared" si="25"/>
        <v>0</v>
      </c>
      <c r="AH40" s="165" t="str">
        <f t="shared" si="0"/>
        <v/>
      </c>
      <c r="AI40" s="166" t="str">
        <f>IF(AJ40="","",SUMIFS('Daily Data'!$I$2:$I$1000,'Daily Data'!$A$2:$A$1000,AJ40,'Daily Data'!$M$2:$M$1000,1))</f>
        <v/>
      </c>
      <c r="AJ40" s="167" t="str">
        <f>'Daily Data'!$R$26</f>
        <v/>
      </c>
      <c r="AK40" s="168" t="str">
        <f>IF(AJ40="","",COUNTIFS('Daily Data'!$A$2:$A$1000,AJ40,'Daily Data'!$M$2:$M$1000,1,'Daily Data'!$L$2:$L$1000,1))</f>
        <v/>
      </c>
      <c r="AP40" s="165" t="str">
        <f>IF('Item Purchases'!$B$27="","",'Item Purchases'!$B$27)</f>
        <v>FN 100 plus (original) 325ml</v>
      </c>
      <c r="AQ40" s="166">
        <f>IF(AP40="","",SUMIFS('Daily Data'!$I$2:$I$1000,'Daily Data'!$E$2:$E$1000,AP40,'Daily Data'!$M$2:$M$1000,1))</f>
        <v>205</v>
      </c>
      <c r="AR40" s="168">
        <f>IF(AP40="","",SUMPRODUCT(ISNUMBER($AQ$17:$AQ$43)*($AQ$17:$AQ$43&gt;AQ40))+SUMPRODUCT(ISNUMBER($AQ$17:AQ40)*($AQ$17:AQ40=AQ40)))</f>
        <v>12</v>
      </c>
      <c r="AT40" s="165" t="str">
        <f t="shared" si="1"/>
        <v>FN 100 plus (original) 325ml</v>
      </c>
      <c r="AU40" s="169">
        <f>IF(AT40="","",SUMIFS('Daily Data'!$K$2:$K$1000,'Daily Data'!$E$2:$E$1000,AT40,'Daily Data'!$M$2:$M$1000,1))</f>
        <v>323.90000000000003</v>
      </c>
      <c r="AV40" s="168">
        <f>IF(OR(AT40="",N(AU40)&lt;=0),"",SUMPRODUCT(ISNUMBER($AU$17:$AU$43)*($AU$17:$AU$43&gt;AU40))+SUMPRODUCT(ISNUMBER($AU$17:AU40)*($AU$17:AU40=AU40)))</f>
        <v>12</v>
      </c>
      <c r="AW40" s="170">
        <f t="shared" si="2"/>
        <v>3.147659638772287E-2</v>
      </c>
      <c r="AX40" s="170">
        <f t="shared" si="3"/>
        <v>0.80748285866580649</v>
      </c>
      <c r="AY40" s="165" t="str">
        <f>IF(AT40="","",IF(AV40="","-",IF(AX40&lt;'Item Purchases'!$E$49,"A",IF(AX40&lt;'Item Purchases'!$E$50,"B","C"))))</f>
        <v>B</v>
      </c>
      <c r="BM40" s="165" t="str">
        <f>IF('Item Purchases'!$B27="","",'Item Purchases'!$B27)</f>
        <v>FN 100 plus (original) 325ml</v>
      </c>
      <c r="BN40" s="165">
        <f>IF(AND(BM40&lt;&gt;"",'Item Purchases'!$W27=1,'Item Purchases'!$AN27&lt;&gt;"Discontinued",N('Item Purchases'!$C27)&gt;0),1,0)</f>
        <v>1</v>
      </c>
      <c r="BO40" s="165">
        <f>N('Storehouse Replenishment Schedu'!$CR27)</f>
        <v>72</v>
      </c>
      <c r="BP40" s="165">
        <f>N('Item Purchases'!$E27)</f>
        <v>56</v>
      </c>
      <c r="BQ40" s="165">
        <f>N('Item Purchases'!$C27)</f>
        <v>9.3181818181818183</v>
      </c>
      <c r="BR40" s="165">
        <f t="shared" si="4"/>
        <v>7.7268292682926827</v>
      </c>
      <c r="BS40" s="165">
        <f t="shared" si="5"/>
        <v>13.736585365853658</v>
      </c>
      <c r="BT40" s="165">
        <f t="shared" si="6"/>
        <v>6.0097560975609756</v>
      </c>
      <c r="BU40" s="165">
        <f>N('Storehouse Replenishment Schedu'!$CP27)</f>
        <v>216</v>
      </c>
      <c r="BV40" s="165">
        <f>IF(BM40="",0,SUMIFS('Daily Data'!$G$2:$G$1000,'Daily Data'!$E$2:$E$1000,BM40))</f>
        <v>216</v>
      </c>
      <c r="BW40" s="165">
        <f t="shared" si="7"/>
        <v>0</v>
      </c>
      <c r="BX40" s="165" t="str">
        <f>IF(BN40&lt;&gt;1,"",IF(BO40&lt;=0,IF(BT40&lt;='Item Purchases'!$E$38,"EMPTY - ORDER NOW","EMPTY - PLAN ORDER"),IF(BR40&lt;='Item Purchases'!$E$51,"ORDER NOW",IF(BT40&lt;='Item Purchases'!$E$38,"TRANSFER TO PANTRY",IF(BR40&lt;='Item Purchases'!$E$39,"WATCH","OK")))))</f>
        <v>TRANSFER TO PANTRY</v>
      </c>
      <c r="BY40" s="165">
        <f>IF(BN40=1,SUMPRODUCT(($BN$17:$BN$43=1)*(($BR$17:$BR$43&lt;BR40)+($BR$17:$BR$43=BR40)*($BT$17:$BT$43&lt;BT40)))+SUMPRODUCT(($BN$17:$BN40=1)*($BR$17:$BR40=BR40)*($BT$17:$BT40=BT40)),"")</f>
        <v>18</v>
      </c>
      <c r="BZ40" s="165" t="str">
        <f>IF(CA40&gt;0,COUNTIF($CA$17:$CA$43,"&gt;"&amp;CA40)+COUNTIF($CA$17:CA40,CA40),"")</f>
        <v/>
      </c>
      <c r="CA40" s="165">
        <f>IF(AND(BM40&lt;&gt;"",'Item Purchases'!$W27=1),ABS(BW40)*1000+CB40,0)</f>
        <v>0</v>
      </c>
      <c r="CB40" s="165">
        <f>N('Storehouse Replenishment Schedu'!$CX27)</f>
        <v>0</v>
      </c>
      <c r="CC40" s="165">
        <f t="shared" si="8"/>
        <v>216</v>
      </c>
      <c r="CD40" s="165" t="str">
        <f>IF('Storehouse Replenishment Schedu'!$CY27="","",'Storehouse Replenishment Schedu'!$CY27)</f>
        <v/>
      </c>
      <c r="CG40" s="166">
        <f>INDEX('Storehouse Replenishment Schedu'!$D$2:$CO$2,1,70)</f>
        <v>46289</v>
      </c>
      <c r="CH40" s="165" t="str">
        <f t="shared" si="9"/>
        <v>24 Sep</v>
      </c>
      <c r="CI40" s="165">
        <f>SUMPRODUCT(INDEX('Storehouse Replenishment Schedu'!$D$4:$CO$30,0,70)*('Item Purchases'!$W$4:$W$30=1))</f>
        <v>312</v>
      </c>
      <c r="CJ40" s="165">
        <f>SUMPRODUCT(INDEX('Storehouse Replenishment Schedu'!$D$4:$CO$30,0,71)*('Item Purchases'!$W$4:$W$30=1))</f>
        <v>72</v>
      </c>
      <c r="CK40" s="165">
        <f>IF(CG40="",0,SUMIFS('Daily Data'!$G$2:$G$1000,'Daily Data'!$A$2:$A$1000,CG40))</f>
        <v>312</v>
      </c>
      <c r="CL40" s="165">
        <f>SUMPRODUCT(INDEX('Storehouse Replenishment Schedu'!$D$4:$CO$30,0,70))-CK40</f>
        <v>0</v>
      </c>
      <c r="CM40" s="165">
        <f t="shared" si="10"/>
        <v>0</v>
      </c>
      <c r="CT40" s="165">
        <f>IF(AND(BM40&lt;&gt;"",'Item Purchases'!$W27=1,ISNUMBER('Item Purchases'!$AQ27),'Item Purchases'!$AS27&lt;&gt;"DISCONTINUED",'Item Purchases'!$AS27&lt;&gt;"NEED MORE DATA"),1,0)</f>
        <v>1</v>
      </c>
      <c r="CU40" s="165">
        <f>IF(CT40=1,SUMPRODUCT(($CT$17:$CT$43=1)*('Item Purchases'!$AQ$4:$AQ$30&lt;'Item Purchases'!$AQ27))+SUMPRODUCT(($CT$17:$CT40=1)*('Item Purchases'!$AQ$4:$AQ27='Item Purchases'!$AQ27)),"")</f>
        <v>11</v>
      </c>
      <c r="CV40" s="134">
        <f>IF($DT40="","",8)</f>
        <v>8</v>
      </c>
      <c r="CW40" s="336" t="str">
        <f t="shared" si="11"/>
        <v>Oat Side Original 200ml</v>
      </c>
      <c r="CX40" s="336"/>
      <c r="CY40" s="336"/>
      <c r="CZ40" s="336"/>
      <c r="DA40" s="334">
        <f t="shared" si="12"/>
        <v>0</v>
      </c>
      <c r="DB40" s="334"/>
      <c r="DC40" s="334">
        <f t="shared" si="13"/>
        <v>63</v>
      </c>
      <c r="DD40" s="334"/>
      <c r="DE40" s="382">
        <f t="shared" si="14"/>
        <v>13.5</v>
      </c>
      <c r="DF40" s="382"/>
      <c r="DG40" s="382">
        <f t="shared" si="15"/>
        <v>0</v>
      </c>
      <c r="DH40" s="382"/>
      <c r="DI40" s="382">
        <f t="shared" si="16"/>
        <v>4.666666666666667</v>
      </c>
      <c r="DJ40" s="382"/>
      <c r="DK40" s="334">
        <f t="shared" si="17"/>
        <v>336</v>
      </c>
      <c r="DL40" s="334"/>
      <c r="DM40" s="334">
        <f t="shared" si="18"/>
        <v>336</v>
      </c>
      <c r="DN40" s="334"/>
      <c r="DO40" s="334">
        <f t="shared" si="19"/>
        <v>0</v>
      </c>
      <c r="DP40" s="334"/>
      <c r="DQ40" s="337" t="str">
        <f t="shared" si="20"/>
        <v>EMPTY - ORDER NOW</v>
      </c>
      <c r="DR40" s="337"/>
      <c r="DS40" s="337"/>
      <c r="DT40" s="165">
        <f>IFERROR(MATCH(8,$BY$17:$BY$43,0),"")</f>
        <v>26</v>
      </c>
    </row>
    <row r="41" spans="2:124" x14ac:dyDescent="0.25">
      <c r="B41" s="134">
        <v>9</v>
      </c>
      <c r="C41" s="336" t="str">
        <f>IF($Z41="","",INDEX('Item Purchases'!$B$4:$B$30,$Z41))</f>
        <v>Oat Side Original 200ml</v>
      </c>
      <c r="D41" s="336"/>
      <c r="E41" s="336"/>
      <c r="F41" s="336"/>
      <c r="G41" s="135" t="str">
        <f>IF($Z41="","",INDEX('Item Purchases'!$AC$4:$AC$30,$Z41))</f>
        <v>A</v>
      </c>
      <c r="H41" s="337" t="str">
        <f>IF($Z41="","",INDEX('Item Purchases'!$M$4:$M$30,$Z41))</f>
        <v>LOW</v>
      </c>
      <c r="I41" s="337"/>
      <c r="J41" s="136">
        <f>IF($Z41="","",INDEX('Item Purchases'!$F$4:$F$30,$Z41))</f>
        <v>63</v>
      </c>
      <c r="K41" s="137">
        <f>IF($Z41="","",INDEX('Item Purchases'!$G$4:$G$30,$Z41))</f>
        <v>4.666666666666667</v>
      </c>
      <c r="L41" s="349">
        <f>IF($Z41="","",INDEX('Item Purchases'!$I$4:$I$30,$Z41))</f>
        <v>46301</v>
      </c>
      <c r="M41" s="349"/>
      <c r="N41" s="138">
        <f ca="1">IF($Z41="","",INDEX('Item Purchases'!$O$4:$O$30,$Z41))</f>
        <v>11</v>
      </c>
      <c r="O41" s="136">
        <f ca="1">IF($Z41="","",INDEX('Item Purchases'!$P$4:$P$30,$Z41))</f>
        <v>264</v>
      </c>
      <c r="P41" s="350">
        <f ca="1">IF($Z41="","",INDEX('Item Purchases'!$R$4:$R$30,$Z41))</f>
        <v>792</v>
      </c>
      <c r="Q41" s="350"/>
      <c r="R41" s="346" t="str">
        <f>IFERROR(INDEX('Storehouse Replenishment Schedu'!$B$4:$B$30,MATCH(3,'Item Purchases'!$AL$4:$AL$30,0)),"")</f>
        <v/>
      </c>
      <c r="S41" s="346"/>
      <c r="T41" s="346"/>
      <c r="U41" s="346"/>
      <c r="V41" s="348" t="str">
        <f>IFERROR(INDEX('Storehouse Replenishment Schedu'!$CR$4:$CR$30,MATCH(3,'Item Purchases'!$AL$4:$AL$30,0)),"")</f>
        <v/>
      </c>
      <c r="W41" s="348"/>
      <c r="X41" s="348" t="str">
        <f>IFERROR(INDEX('Storehouse Replenishment Schedu'!$CT$4:$CT$30,MATCH(3,'Item Purchases'!$AL$4:$AL$30,0)),"")</f>
        <v/>
      </c>
      <c r="Y41" s="348"/>
      <c r="Z41" s="171">
        <f>IFERROR(MATCH($B41,'Item Purchases'!$X$4:$X$30,0),"")</f>
        <v>26</v>
      </c>
      <c r="AA41" s="333"/>
      <c r="AB41" s="130" t="str">
        <f t="shared" si="21"/>
        <v>Oat Side Chocolate 200ml</v>
      </c>
      <c r="AC41" s="139">
        <f t="shared" si="22"/>
        <v>0.94255874673629236</v>
      </c>
      <c r="AD41" s="139">
        <f t="shared" si="23"/>
        <v>0</v>
      </c>
      <c r="AE41" s="139">
        <f t="shared" si="24"/>
        <v>0</v>
      </c>
      <c r="AF41" s="139">
        <f t="shared" si="25"/>
        <v>0</v>
      </c>
      <c r="AH41" s="165" t="str">
        <f t="shared" si="0"/>
        <v/>
      </c>
      <c r="AI41" s="166" t="str">
        <f>IF(AJ41="","",SUMIFS('Daily Data'!$I$2:$I$1000,'Daily Data'!$A$2:$A$1000,AJ41,'Daily Data'!$M$2:$M$1000,1))</f>
        <v/>
      </c>
      <c r="AJ41" s="167" t="str">
        <f>'Daily Data'!$R$27</f>
        <v/>
      </c>
      <c r="AK41" s="168" t="str">
        <f>IF(AJ41="","",COUNTIFS('Daily Data'!$A$2:$A$1000,AJ41,'Daily Data'!$M$2:$M$1000,1,'Daily Data'!$L$2:$L$1000,1))</f>
        <v/>
      </c>
      <c r="AP41" s="165" t="str">
        <f>IF('Item Purchases'!$B$28="","",'Item Purchases'!$B$28)</f>
        <v>Spritzer sparkling water (original) 400ml</v>
      </c>
      <c r="AQ41" s="166">
        <f>IF(AP41="","",SUMIFS('Daily Data'!$I$2:$I$1000,'Daily Data'!$E$2:$E$1000,AP41,'Daily Data'!$M$2:$M$1000,1))</f>
        <v>528</v>
      </c>
      <c r="AR41" s="168">
        <f>IF(AP41="","",SUMPRODUCT(ISNUMBER($AQ$17:$AQ$43)*($AQ$17:$AQ$43&gt;AQ41))+SUMPRODUCT(ISNUMBER($AQ$17:AQ41)*($AQ$17:AQ41=AQ41)))</f>
        <v>1</v>
      </c>
      <c r="AT41" s="165" t="str">
        <f t="shared" si="1"/>
        <v>Spritzer sparkling water (original) 400ml</v>
      </c>
      <c r="AU41" s="169">
        <f>IF(AT41="","",SUMIFS('Daily Data'!$K$2:$K$1000,'Daily Data'!$E$2:$E$1000,AT41,'Daily Data'!$M$2:$M$1000,1))</f>
        <v>853.59999999999991</v>
      </c>
      <c r="AV41" s="168">
        <f>IF(OR(AT41="",N(AU41)&lt;=0),"",SUMPRODUCT(ISNUMBER($AU$17:$AU$43)*($AU$17:$AU$43&gt;AU41))+SUMPRODUCT(ISNUMBER($AU$17:AU41)*($AU$17:AU41=AU41)))</f>
        <v>5</v>
      </c>
      <c r="AW41" s="170">
        <f t="shared" si="2"/>
        <v>8.295283320950983E-2</v>
      </c>
      <c r="AX41" s="170">
        <f t="shared" si="3"/>
        <v>0.44197456119593576</v>
      </c>
      <c r="AY41" s="165" t="str">
        <f>IF(AT41="","",IF(AV41="","-",IF(AX41&lt;'Item Purchases'!$E$49,"A",IF(AX41&lt;'Item Purchases'!$E$50,"B","C"))))</f>
        <v>A</v>
      </c>
      <c r="BM41" s="165" t="str">
        <f>IF('Item Purchases'!$B28="","",'Item Purchases'!$B28)</f>
        <v>Spritzer sparkling water (original) 400ml</v>
      </c>
      <c r="BN41" s="165">
        <f>IF(AND(BM41&lt;&gt;"",'Item Purchases'!$W28=1,'Item Purchases'!$AN28&lt;&gt;"Discontinued",N('Item Purchases'!$C28)&gt;0),1,0)</f>
        <v>1</v>
      </c>
      <c r="BO41" s="165">
        <f>N('Storehouse Replenishment Schedu'!$CR28)</f>
        <v>264</v>
      </c>
      <c r="BP41" s="165">
        <f>N('Item Purchases'!$E28)</f>
        <v>48</v>
      </c>
      <c r="BQ41" s="165">
        <f>N('Item Purchases'!$C28)</f>
        <v>24</v>
      </c>
      <c r="BR41" s="165">
        <f t="shared" si="4"/>
        <v>11</v>
      </c>
      <c r="BS41" s="165">
        <f t="shared" si="5"/>
        <v>13</v>
      </c>
      <c r="BT41" s="165">
        <f t="shared" si="6"/>
        <v>2</v>
      </c>
      <c r="BU41" s="165">
        <f>N('Storehouse Replenishment Schedu'!$CP28)</f>
        <v>552</v>
      </c>
      <c r="BV41" s="165">
        <f>IF(BM41="",0,SUMIFS('Daily Data'!$G$2:$G$1000,'Daily Data'!$E$2:$E$1000,BM41))</f>
        <v>552</v>
      </c>
      <c r="BW41" s="165">
        <f t="shared" si="7"/>
        <v>0</v>
      </c>
      <c r="BX41" s="165" t="str">
        <f>IF(BN41&lt;&gt;1,"",IF(BO41&lt;=0,IF(BT41&lt;='Item Purchases'!$E$38,"EMPTY - ORDER NOW","EMPTY - PLAN ORDER"),IF(BR41&lt;='Item Purchases'!$E$51,"ORDER NOW",IF(BT41&lt;='Item Purchases'!$E$38,"TRANSFER TO PANTRY",IF(BR41&lt;='Item Purchases'!$E$39,"WATCH","OK")))))</f>
        <v>TRANSFER TO PANTRY</v>
      </c>
      <c r="BY41" s="165">
        <f>IF(BN41=1,SUMPRODUCT(($BN$17:$BN$43=1)*(($BR$17:$BR$43&lt;BR41)+($BR$17:$BR$43=BR41)*($BT$17:$BT$43&lt;BT41)))+SUMPRODUCT(($BN$17:$BN41=1)*($BR$17:$BR41=BR41)*($BT$17:$BT41=BT41)),"")</f>
        <v>20</v>
      </c>
      <c r="BZ41" s="165" t="str">
        <f>IF(CA41&gt;0,COUNTIF($CA$17:$CA$43,"&gt;"&amp;CA41)+COUNTIF($CA$17:CA41,CA41),"")</f>
        <v/>
      </c>
      <c r="CA41" s="165">
        <f>IF(AND(BM41&lt;&gt;"",'Item Purchases'!$W28=1),ABS(BW41)*1000+CB41,0)</f>
        <v>0</v>
      </c>
      <c r="CB41" s="165">
        <f>N('Storehouse Replenishment Schedu'!$CX28)</f>
        <v>0</v>
      </c>
      <c r="CC41" s="165">
        <f t="shared" si="8"/>
        <v>552</v>
      </c>
      <c r="CD41" s="165" t="str">
        <f>IF('Storehouse Replenishment Schedu'!$CY28="","",'Storehouse Replenishment Schedu'!$CY28)</f>
        <v/>
      </c>
      <c r="CG41" s="166">
        <f>INDEX('Storehouse Replenishment Schedu'!$D$2:$CO$2,1,73)</f>
        <v>46290</v>
      </c>
      <c r="CH41" s="165" t="str">
        <f t="shared" si="9"/>
        <v>25 Sep</v>
      </c>
      <c r="CI41" s="165">
        <f>SUMPRODUCT(INDEX('Storehouse Replenishment Schedu'!$D$4:$CO$30,0,73)*('Item Purchases'!$W$4:$W$30=1))</f>
        <v>145</v>
      </c>
      <c r="CJ41" s="165">
        <f>SUMPRODUCT(INDEX('Storehouse Replenishment Schedu'!$D$4:$CO$30,0,74)*('Item Purchases'!$W$4:$W$30=1))</f>
        <v>0</v>
      </c>
      <c r="CK41" s="165">
        <f>IF(CG41="",0,SUMIFS('Daily Data'!$G$2:$G$1000,'Daily Data'!$A$2:$A$1000,CG41))</f>
        <v>145</v>
      </c>
      <c r="CL41" s="165">
        <f>SUMPRODUCT(INDEX('Storehouse Replenishment Schedu'!$D$4:$CO$30,0,73))-CK41</f>
        <v>0</v>
      </c>
      <c r="CM41" s="165">
        <f t="shared" si="10"/>
        <v>0</v>
      </c>
      <c r="CT41" s="165">
        <f>IF(AND(BM41&lt;&gt;"",'Item Purchases'!$W28=1,ISNUMBER('Item Purchases'!$AQ28),'Item Purchases'!$AS28&lt;&gt;"DISCONTINUED",'Item Purchases'!$AS28&lt;&gt;"NEED MORE DATA"),1,0)</f>
        <v>1</v>
      </c>
      <c r="CU41" s="165">
        <f>IF(CT41=1,SUMPRODUCT(($CT$17:$CT$43=1)*('Item Purchases'!$AQ$4:$AQ$30&lt;'Item Purchases'!$AQ28))+SUMPRODUCT(($CT$17:$CT41=1)*('Item Purchases'!$AQ$4:$AQ28='Item Purchases'!$AQ28)),"")</f>
        <v>23</v>
      </c>
      <c r="CV41" s="134">
        <f>IF($DT41="","",9)</f>
        <v>9</v>
      </c>
      <c r="CW41" s="336" t="str">
        <f t="shared" si="11"/>
        <v>Lays Potato Chips (Original) 50g</v>
      </c>
      <c r="CX41" s="336"/>
      <c r="CY41" s="336"/>
      <c r="CZ41" s="336"/>
      <c r="DA41" s="334">
        <f t="shared" si="12"/>
        <v>0</v>
      </c>
      <c r="DB41" s="334"/>
      <c r="DC41" s="334">
        <f t="shared" si="13"/>
        <v>20</v>
      </c>
      <c r="DD41" s="334"/>
      <c r="DE41" s="382">
        <f t="shared" si="14"/>
        <v>3.8636363636363638</v>
      </c>
      <c r="DF41" s="382"/>
      <c r="DG41" s="382">
        <f t="shared" si="15"/>
        <v>0</v>
      </c>
      <c r="DH41" s="382"/>
      <c r="DI41" s="382">
        <f t="shared" si="16"/>
        <v>5.1764705882352944</v>
      </c>
      <c r="DJ41" s="382"/>
      <c r="DK41" s="334">
        <f t="shared" si="17"/>
        <v>72</v>
      </c>
      <c r="DL41" s="334"/>
      <c r="DM41" s="334">
        <f t="shared" si="18"/>
        <v>72</v>
      </c>
      <c r="DN41" s="334"/>
      <c r="DO41" s="334">
        <f t="shared" si="19"/>
        <v>0</v>
      </c>
      <c r="DP41" s="334"/>
      <c r="DQ41" s="337" t="str">
        <f t="shared" si="20"/>
        <v>EMPTY - ORDER NOW</v>
      </c>
      <c r="DR41" s="337"/>
      <c r="DS41" s="337"/>
      <c r="DT41" s="165">
        <f>IFERROR(MATCH(9,$BY$17:$BY$43,0),"")</f>
        <v>8</v>
      </c>
    </row>
    <row r="42" spans="2:124" x14ac:dyDescent="0.25">
      <c r="B42" s="134">
        <v>10</v>
      </c>
      <c r="C42" s="336" t="str">
        <f>IF($Z42="","",INDEX('Item Purchases'!$B$4:$B$30,$Z42))</f>
        <v>Lays Potato Chips (Original) 50g</v>
      </c>
      <c r="D42" s="336"/>
      <c r="E42" s="336"/>
      <c r="F42" s="336"/>
      <c r="G42" s="135" t="str">
        <f>IF($Z42="","",INDEX('Item Purchases'!$AC$4:$AC$30,$Z42))</f>
        <v>B</v>
      </c>
      <c r="H42" s="337" t="str">
        <f>IF($Z42="","",INDEX('Item Purchases'!$M$4:$M$30,$Z42))</f>
        <v>LOW</v>
      </c>
      <c r="I42" s="337"/>
      <c r="J42" s="136">
        <f>IF($Z42="","",INDEX('Item Purchases'!$F$4:$F$30,$Z42))</f>
        <v>20</v>
      </c>
      <c r="K42" s="137">
        <f>IF($Z42="","",INDEX('Item Purchases'!$G$4:$G$30,$Z42))</f>
        <v>5.1764705882352944</v>
      </c>
      <c r="L42" s="349">
        <f>IF($Z42="","",INDEX('Item Purchases'!$I$4:$I$30,$Z42))</f>
        <v>46302</v>
      </c>
      <c r="M42" s="349"/>
      <c r="N42" s="138">
        <f ca="1">IF($Z42="","",INDEX('Item Purchases'!$O$4:$O$30,$Z42))</f>
        <v>3</v>
      </c>
      <c r="O42" s="136">
        <f ca="1">IF($Z42="","",INDEX('Item Purchases'!$P$4:$P$30,$Z42))</f>
        <v>72</v>
      </c>
      <c r="P42" s="350">
        <f ca="1">IF($Z42="","",INDEX('Item Purchases'!$R$4:$R$30,$Z42))</f>
        <v>248.976</v>
      </c>
      <c r="Q42" s="350"/>
      <c r="R42" s="346" t="str">
        <f>IFERROR(INDEX('Storehouse Replenishment Schedu'!$B$4:$B$30,MATCH(4,'Item Purchases'!$AL$4:$AL$30,0)),"")</f>
        <v/>
      </c>
      <c r="S42" s="346"/>
      <c r="T42" s="346"/>
      <c r="U42" s="346"/>
      <c r="V42" s="348" t="str">
        <f>IFERROR(INDEX('Storehouse Replenishment Schedu'!$CR$4:$CR$30,MATCH(4,'Item Purchases'!$AL$4:$AL$30,0)),"")</f>
        <v/>
      </c>
      <c r="W42" s="348"/>
      <c r="X42" s="348" t="str">
        <f>IFERROR(INDEX('Storehouse Replenishment Schedu'!$CT$4:$CT$30,MATCH(4,'Item Purchases'!$AL$4:$AL$30,0)),"")</f>
        <v/>
      </c>
      <c r="Y42" s="348"/>
      <c r="Z42" s="171">
        <f>IFERROR(MATCH($B42,'Item Purchases'!$X$4:$X$30,0),"")</f>
        <v>8</v>
      </c>
      <c r="AA42" s="333"/>
      <c r="AB42" s="130" t="str">
        <f t="shared" si="21"/>
        <v>Vsoy Soya Bean  250ml</v>
      </c>
      <c r="AC42" s="139">
        <f t="shared" si="22"/>
        <v>1.6937269372693726</v>
      </c>
      <c r="AD42" s="139">
        <f t="shared" si="23"/>
        <v>0</v>
      </c>
      <c r="AE42" s="139">
        <f t="shared" si="24"/>
        <v>0</v>
      </c>
      <c r="AF42" s="139">
        <f t="shared" si="25"/>
        <v>0</v>
      </c>
      <c r="AP42" s="165" t="str">
        <f>IF('Item Purchases'!$B$29="","",'Item Purchases'!$B$29)</f>
        <v>Oat Side Original 200ml</v>
      </c>
      <c r="AQ42" s="166">
        <f>IF(AP42="","",SUMIFS('Daily Data'!$I$2:$I$1000,'Daily Data'!$E$2:$E$1000,AP42,'Daily Data'!$M$2:$M$1000,1))</f>
        <v>297</v>
      </c>
      <c r="AR42" s="168">
        <f>IF(AP42="","",SUMPRODUCT(ISNUMBER($AQ$17:$AQ$43)*($AQ$17:$AQ$43&gt;AQ42))+SUMPRODUCT(ISNUMBER($AQ$17:AQ42)*($AQ$17:AQ42=AQ42)))</f>
        <v>8</v>
      </c>
      <c r="AT42" s="165" t="str">
        <f t="shared" si="1"/>
        <v>Oat Side Original 200ml</v>
      </c>
      <c r="AU42" s="169">
        <f>IF(AT42="","",SUMIFS('Daily Data'!$K$2:$K$1000,'Daily Data'!$E$2:$E$1000,AT42,'Daily Data'!$M$2:$M$1000,1))</f>
        <v>891</v>
      </c>
      <c r="AV42" s="168">
        <f>IF(OR(AT42="",N(AU42)&lt;=0),"",SUMPRODUCT(ISNUMBER($AU$17:$AU$43)*($AU$17:$AU$43&gt;AU42))+SUMPRODUCT(ISNUMBER($AU$17:AU42)*($AU$17:AU42=AU42)))</f>
        <v>4</v>
      </c>
      <c r="AW42" s="170">
        <f t="shared" si="2"/>
        <v>8.658736456147291E-2</v>
      </c>
      <c r="AX42" s="170">
        <f t="shared" si="3"/>
        <v>0.35538719663446283</v>
      </c>
      <c r="AY42" s="165" t="str">
        <f>IF(AT42="","",IF(AV42="","-",IF(AX42&lt;'Item Purchases'!$E$49,"A",IF(AX42&lt;'Item Purchases'!$E$50,"B","C"))))</f>
        <v>A</v>
      </c>
      <c r="BM42" s="165" t="str">
        <f>IF('Item Purchases'!$B29="","",'Item Purchases'!$B29)</f>
        <v>Oat Side Original 200ml</v>
      </c>
      <c r="BN42" s="165">
        <f>IF(AND(BM42&lt;&gt;"",'Item Purchases'!$W29=1,'Item Purchases'!$AN29&lt;&gt;"Discontinued",N('Item Purchases'!$C29)&gt;0),1,0)</f>
        <v>1</v>
      </c>
      <c r="BO42" s="165">
        <f>N('Storehouse Replenishment Schedu'!$CR29)</f>
        <v>0</v>
      </c>
      <c r="BP42" s="165">
        <f>N('Item Purchases'!$E29)</f>
        <v>63</v>
      </c>
      <c r="BQ42" s="165">
        <f>N('Item Purchases'!$C29)</f>
        <v>13.5</v>
      </c>
      <c r="BR42" s="165">
        <f t="shared" si="4"/>
        <v>0</v>
      </c>
      <c r="BS42" s="165">
        <f t="shared" si="5"/>
        <v>4.666666666666667</v>
      </c>
      <c r="BT42" s="165">
        <f t="shared" si="6"/>
        <v>4.666666666666667</v>
      </c>
      <c r="BU42" s="165">
        <f>N('Storehouse Replenishment Schedu'!$CP29)</f>
        <v>336</v>
      </c>
      <c r="BV42" s="165">
        <f>IF(BM42="",0,SUMIFS('Daily Data'!$G$2:$G$1000,'Daily Data'!$E$2:$E$1000,BM42))</f>
        <v>336</v>
      </c>
      <c r="BW42" s="165">
        <f t="shared" si="7"/>
        <v>0</v>
      </c>
      <c r="BX42" s="165" t="str">
        <f>IF(BN42&lt;&gt;1,"",IF(BO42&lt;=0,IF(BT42&lt;='Item Purchases'!$E$38,"EMPTY - ORDER NOW","EMPTY - PLAN ORDER"),IF(BR42&lt;='Item Purchases'!$E$51,"ORDER NOW",IF(BT42&lt;='Item Purchases'!$E$38,"TRANSFER TO PANTRY",IF(BR42&lt;='Item Purchases'!$E$39,"WATCH","OK")))))</f>
        <v>EMPTY - ORDER NOW</v>
      </c>
      <c r="BY42" s="165">
        <f>IF(BN42=1,SUMPRODUCT(($BN$17:$BN$43=1)*(($BR$17:$BR$43&lt;BR42)+($BR$17:$BR$43=BR42)*($BT$17:$BT$43&lt;BT42)))+SUMPRODUCT(($BN$17:$BN42=1)*($BR$17:$BR42=BR42)*($BT$17:$BT42=BT42)),"")</f>
        <v>8</v>
      </c>
      <c r="BZ42" s="165" t="str">
        <f>IF(CA42&gt;0,COUNTIF($CA$17:$CA$43,"&gt;"&amp;CA42)+COUNTIF($CA$17:CA42,CA42),"")</f>
        <v/>
      </c>
      <c r="CA42" s="165">
        <f>IF(AND(BM42&lt;&gt;"",'Item Purchases'!$W29=1),ABS(BW42)*1000+CB42,0)</f>
        <v>0</v>
      </c>
      <c r="CB42" s="165">
        <f>N('Storehouse Replenishment Schedu'!$CX29)</f>
        <v>0</v>
      </c>
      <c r="CC42" s="165">
        <f t="shared" si="8"/>
        <v>336</v>
      </c>
      <c r="CD42" s="165" t="str">
        <f>IF('Storehouse Replenishment Schedu'!$CY29="","",'Storehouse Replenishment Schedu'!$CY29)</f>
        <v/>
      </c>
      <c r="CG42" s="166">
        <f>INDEX('Storehouse Replenishment Schedu'!$D$2:$CO$2,1,76)</f>
        <v>46291</v>
      </c>
      <c r="CH42" s="165" t="str">
        <f t="shared" si="9"/>
        <v>26 Sep</v>
      </c>
      <c r="CI42" s="165">
        <f>SUMPRODUCT(INDEX('Storehouse Replenishment Schedu'!$D$4:$CO$30,0,76)*('Item Purchases'!$W$4:$W$30=1))</f>
        <v>0</v>
      </c>
      <c r="CJ42" s="165">
        <f>SUMPRODUCT(INDEX('Storehouse Replenishment Schedu'!$D$4:$CO$30,0,77)*('Item Purchases'!$W$4:$W$30=1))</f>
        <v>0</v>
      </c>
      <c r="CK42" s="165">
        <f>IF(CG42="",0,SUMIFS('Daily Data'!$G$2:$G$1000,'Daily Data'!$A$2:$A$1000,CG42))</f>
        <v>0</v>
      </c>
      <c r="CL42" s="165">
        <f>SUMPRODUCT(INDEX('Storehouse Replenishment Schedu'!$D$4:$CO$30,0,76))-CK42</f>
        <v>0</v>
      </c>
      <c r="CM42" s="165">
        <f t="shared" si="10"/>
        <v>0</v>
      </c>
      <c r="CT42" s="165">
        <f>IF(AND(BM42&lt;&gt;"",'Item Purchases'!$W29=1,ISNUMBER('Item Purchases'!$AQ29),'Item Purchases'!$AS29&lt;&gt;"DISCONTINUED",'Item Purchases'!$AS29&lt;&gt;"NEED MORE DATA"),1,0)</f>
        <v>1</v>
      </c>
      <c r="CU42" s="165">
        <f>IF(CT42=1,SUMPRODUCT(($CT$17:$CT$43=1)*('Item Purchases'!$AQ$4:$AQ$30&lt;'Item Purchases'!$AQ29))+SUMPRODUCT(($CT$17:$CT42=1)*('Item Purchases'!$AQ$4:$AQ29='Item Purchases'!$AQ29)),"")</f>
        <v>15</v>
      </c>
      <c r="CV42" s="134">
        <f>IF($DT42="","",10)</f>
        <v>10</v>
      </c>
      <c r="CW42" s="336" t="str">
        <f t="shared" si="11"/>
        <v>BingRae Banana Milk 200ml</v>
      </c>
      <c r="CX42" s="336"/>
      <c r="CY42" s="336"/>
      <c r="CZ42" s="336"/>
      <c r="DA42" s="334">
        <f t="shared" si="12"/>
        <v>0</v>
      </c>
      <c r="DB42" s="334"/>
      <c r="DC42" s="334">
        <f t="shared" si="13"/>
        <v>44</v>
      </c>
      <c r="DD42" s="334"/>
      <c r="DE42" s="382">
        <f t="shared" si="14"/>
        <v>7.6875</v>
      </c>
      <c r="DF42" s="382"/>
      <c r="DG42" s="382">
        <f t="shared" si="15"/>
        <v>0</v>
      </c>
      <c r="DH42" s="382"/>
      <c r="DI42" s="382">
        <f t="shared" si="16"/>
        <v>5.7235772357723578</v>
      </c>
      <c r="DJ42" s="382"/>
      <c r="DK42" s="334">
        <f t="shared" si="17"/>
        <v>144</v>
      </c>
      <c r="DL42" s="334"/>
      <c r="DM42" s="334">
        <f t="shared" si="18"/>
        <v>144</v>
      </c>
      <c r="DN42" s="334"/>
      <c r="DO42" s="334">
        <f t="shared" si="19"/>
        <v>0</v>
      </c>
      <c r="DP42" s="334"/>
      <c r="DQ42" s="337" t="str">
        <f t="shared" si="20"/>
        <v>EMPTY - ORDER NOW</v>
      </c>
      <c r="DR42" s="337"/>
      <c r="DS42" s="337"/>
      <c r="DT42" s="165">
        <f>IFERROR(MATCH(10,$BY$17:$BY$43,0),"")</f>
        <v>22</v>
      </c>
    </row>
    <row r="43" spans="2:124" x14ac:dyDescent="0.25">
      <c r="R43" s="346" t="str">
        <f>IFERROR(INDEX('Storehouse Replenishment Schedu'!$B$4:$B$30,MATCH(5,'Item Purchases'!$AL$4:$AL$30,0)),"")</f>
        <v/>
      </c>
      <c r="S43" s="346"/>
      <c r="T43" s="346"/>
      <c r="U43" s="346"/>
      <c r="V43" s="348" t="str">
        <f>IFERROR(INDEX('Storehouse Replenishment Schedu'!$CR$4:$CR$30,MATCH(5,'Item Purchases'!$AL$4:$AL$30,0)),"")</f>
        <v/>
      </c>
      <c r="W43" s="348"/>
      <c r="X43" s="348" t="str">
        <f>IFERROR(INDEX('Storehouse Replenishment Schedu'!$CT$4:$CT$30,MATCH(5,'Item Purchases'!$AL$4:$AL$30,0)),"")</f>
        <v/>
      </c>
      <c r="Y43" s="348"/>
      <c r="AA43" s="333"/>
      <c r="AB43" s="130" t="str">
        <f t="shared" si="21"/>
        <v>Ayataka Tea 300ml</v>
      </c>
      <c r="AC43" s="139">
        <f t="shared" si="22"/>
        <v>2.7149877149877151</v>
      </c>
      <c r="AD43" s="139">
        <f t="shared" si="23"/>
        <v>0</v>
      </c>
      <c r="AE43" s="139">
        <f t="shared" si="24"/>
        <v>0</v>
      </c>
      <c r="AF43" s="139">
        <f t="shared" si="25"/>
        <v>0</v>
      </c>
      <c r="AP43" s="165" t="str">
        <f>IF('Item Purchases'!$B$30="","",'Item Purchases'!$B$30)</f>
        <v>Oat Side Chocolate 200ml</v>
      </c>
      <c r="AQ43" s="166">
        <f>IF(AP43="","",SUMIFS('Daily Data'!$I$2:$I$1000,'Daily Data'!$E$2:$E$1000,AP43,'Daily Data'!$M$2:$M$1000,1))</f>
        <v>383</v>
      </c>
      <c r="AR43" s="168">
        <f>IF(AP43="","",SUMPRODUCT(ISNUMBER($AQ$17:$AQ$43)*($AQ$17:$AQ$43&gt;AQ43))+SUMPRODUCT(ISNUMBER($AQ$17:AQ43)*($AQ$17:AQ43=AQ43)))</f>
        <v>4</v>
      </c>
      <c r="AT43" s="165" t="str">
        <f t="shared" si="1"/>
        <v>Oat Side Chocolate 200ml</v>
      </c>
      <c r="AU43" s="169">
        <f>IF(AT43="","",SUMIFS('Daily Data'!$K$2:$K$1000,'Daily Data'!$E$2:$E$1000,AT43,'Daily Data'!$M$2:$M$1000,1))</f>
        <v>1149</v>
      </c>
      <c r="AV43" s="168">
        <f>IF(OR(AT43="",N(AU43)&lt;=0),"",SUMPRODUCT(ISNUMBER($AU$17:$AU$43)*($AU$17:$AU$43&gt;AU43))+SUMPRODUCT(ISNUMBER($AU$17:AU43)*($AU$17:AU43=AU43)))</f>
        <v>3</v>
      </c>
      <c r="AW43" s="170">
        <f t="shared" si="2"/>
        <v>0.11165980009105765</v>
      </c>
      <c r="AX43" s="170">
        <f t="shared" si="3"/>
        <v>0.24372739654340519</v>
      </c>
      <c r="AY43" s="165" t="str">
        <f>IF(AT43="","",IF(AV43="","-",IF(AX43&lt;'Item Purchases'!$E$49,"A",IF(AX43&lt;'Item Purchases'!$E$50,"B","C"))))</f>
        <v>A</v>
      </c>
      <c r="BM43" s="165" t="str">
        <f>IF('Item Purchases'!$B30="","",'Item Purchases'!$B30)</f>
        <v>Oat Side Chocolate 200ml</v>
      </c>
      <c r="BN43" s="165">
        <f>IF(AND(BM43&lt;&gt;"",'Item Purchases'!$W30=1,'Item Purchases'!$AN30&lt;&gt;"Discontinued",N('Item Purchases'!$C30)&gt;0),1,0)</f>
        <v>1</v>
      </c>
      <c r="BO43" s="165">
        <f>N('Storehouse Replenishment Schedu'!$CR30)</f>
        <v>0</v>
      </c>
      <c r="BP43" s="165">
        <f>N('Item Purchases'!$E30)</f>
        <v>19</v>
      </c>
      <c r="BQ43" s="165">
        <f>N('Item Purchases'!$C30)</f>
        <v>20.157894736842106</v>
      </c>
      <c r="BR43" s="165">
        <f t="shared" si="4"/>
        <v>0</v>
      </c>
      <c r="BS43" s="165">
        <f t="shared" si="5"/>
        <v>0.94255874673629236</v>
      </c>
      <c r="BT43" s="165">
        <f t="shared" si="6"/>
        <v>0.94255874673629236</v>
      </c>
      <c r="BU43" s="165">
        <f>N('Storehouse Replenishment Schedu'!$CP30)</f>
        <v>378</v>
      </c>
      <c r="BV43" s="165">
        <f>IF(BM43="",0,SUMIFS('Daily Data'!$G$2:$G$1000,'Daily Data'!$E$2:$E$1000,BM43))</f>
        <v>378</v>
      </c>
      <c r="BW43" s="165">
        <f t="shared" si="7"/>
        <v>0</v>
      </c>
      <c r="BX43" s="165" t="str">
        <f>IF(BN43&lt;&gt;1,"",IF(BO43&lt;=0,IF(BT43&lt;='Item Purchases'!$E$38,"EMPTY - ORDER NOW","EMPTY - PLAN ORDER"),IF(BR43&lt;='Item Purchases'!$E$51,"ORDER NOW",IF(BT43&lt;='Item Purchases'!$E$38,"TRANSFER TO PANTRY",IF(BR43&lt;='Item Purchases'!$E$39,"WATCH","OK")))))</f>
        <v>EMPTY - ORDER NOW</v>
      </c>
      <c r="BY43" s="165">
        <f>IF(BN43=1,SUMPRODUCT(($BN$17:$BN$43=1)*(($BR$17:$BR$43&lt;BR43)+($BR$17:$BR$43=BR43)*($BT$17:$BT$43&lt;BT43)))+SUMPRODUCT(($BN$17:$BN43=1)*($BR$17:$BR43=BR43)*($BT$17:$BT43=BT43)),"")</f>
        <v>3</v>
      </c>
      <c r="BZ43" s="165" t="str">
        <f>IF(CA43&gt;0,COUNTIF($CA$17:$CA$43,"&gt;"&amp;CA43)+COUNTIF($CA$17:CA43,CA43),"")</f>
        <v/>
      </c>
      <c r="CA43" s="165">
        <f>IF(AND(BM43&lt;&gt;"",'Item Purchases'!$W30=1),ABS(BW43)*1000+CB43,0)</f>
        <v>0</v>
      </c>
      <c r="CB43" s="165">
        <f>N('Storehouse Replenishment Schedu'!$CX30)</f>
        <v>0</v>
      </c>
      <c r="CC43" s="165">
        <f t="shared" si="8"/>
        <v>378</v>
      </c>
      <c r="CD43" s="165" t="str">
        <f>IF('Storehouse Replenishment Schedu'!$CY30="","",'Storehouse Replenishment Schedu'!$CY30)</f>
        <v/>
      </c>
      <c r="CG43" s="166">
        <f>INDEX('Storehouse Replenishment Schedu'!$D$2:$CO$2,1,79)</f>
        <v>46292</v>
      </c>
      <c r="CH43" s="165" t="str">
        <f t="shared" si="9"/>
        <v>27 Sep</v>
      </c>
      <c r="CI43" s="165">
        <f>SUMPRODUCT(INDEX('Storehouse Replenishment Schedu'!$D$4:$CO$30,0,79)*('Item Purchases'!$W$4:$W$30=1))</f>
        <v>0</v>
      </c>
      <c r="CJ43" s="165">
        <f>SUMPRODUCT(INDEX('Storehouse Replenishment Schedu'!$D$4:$CO$30,0,80)*('Item Purchases'!$W$4:$W$30=1))</f>
        <v>0</v>
      </c>
      <c r="CK43" s="165">
        <f>IF(CG43="",0,SUMIFS('Daily Data'!$G$2:$G$1000,'Daily Data'!$A$2:$A$1000,CG43))</f>
        <v>0</v>
      </c>
      <c r="CL43" s="165">
        <f>SUMPRODUCT(INDEX('Storehouse Replenishment Schedu'!$D$4:$CO$30,0,79))-CK43</f>
        <v>0</v>
      </c>
      <c r="CM43" s="165">
        <f t="shared" si="10"/>
        <v>0</v>
      </c>
      <c r="CT43" s="165">
        <f>IF(AND(BM43&lt;&gt;"",'Item Purchases'!$W30=1,ISNUMBER('Item Purchases'!$AQ30),'Item Purchases'!$AS30&lt;&gt;"DISCONTINUED",'Item Purchases'!$AS30&lt;&gt;"NEED MORE DATA"),1,0)</f>
        <v>1</v>
      </c>
      <c r="CU43" s="165">
        <f>IF(CT43=1,SUMPRODUCT(($CT$17:$CT$43=1)*('Item Purchases'!$AQ$4:$AQ$30&lt;'Item Purchases'!$AQ30))+SUMPRODUCT(($CT$17:$CT43=1)*('Item Purchases'!$AQ$4:$AQ30='Item Purchases'!$AQ30)),"")</f>
        <v>19</v>
      </c>
      <c r="CV43" s="127" t="str">
        <f>"Cover = storehouse stock / average pantry use per day. EMPTY = nothing left in the storehouse. ORDER NOW = storehouse cover is shorter than the "&amp;'Item Purchases'!$E$51&amp;"-day lead time."</f>
        <v>Cover = storehouse stock / average pantry use per day. EMPTY = nothing left in the storehouse. ORDER NOW = storehouse cover is shorter than the 5-day lead time.</v>
      </c>
    </row>
    <row r="44" spans="2:124" x14ac:dyDescent="0.25">
      <c r="B44" s="127" t="s">
        <v>94</v>
      </c>
      <c r="R44" s="346" t="str">
        <f>IFERROR(INDEX('Storehouse Replenishment Schedu'!$B$4:$B$30,MATCH(6,'Item Purchases'!$AL$4:$AL$30,0)),"")</f>
        <v/>
      </c>
      <c r="S44" s="346"/>
      <c r="T44" s="346"/>
      <c r="U44" s="346"/>
      <c r="V44" s="348" t="str">
        <f>IFERROR(INDEX('Storehouse Replenishment Schedu'!$CR$4:$CR$30,MATCH(6,'Item Purchases'!$AL$4:$AL$30,0)),"")</f>
        <v/>
      </c>
      <c r="W44" s="348"/>
      <c r="X44" s="348" t="str">
        <f>IFERROR(INDEX('Storehouse Replenishment Schedu'!$CT$4:$CT$30,MATCH(6,'Item Purchases'!$AL$4:$AL$30,0)),"")</f>
        <v/>
      </c>
      <c r="Y44" s="348"/>
      <c r="AA44" s="333"/>
      <c r="AB44" s="130" t="str">
        <f t="shared" si="21"/>
        <v>Munchy Oat Krunch - Dark Cho</v>
      </c>
      <c r="AC44" s="139">
        <f t="shared" si="22"/>
        <v>2.8421052631578947</v>
      </c>
      <c r="AD44" s="139">
        <f t="shared" si="23"/>
        <v>0</v>
      </c>
      <c r="AE44" s="139">
        <f t="shared" si="24"/>
        <v>0</v>
      </c>
      <c r="AF44" s="139">
        <f t="shared" si="25"/>
        <v>0</v>
      </c>
      <c r="CG44" s="166">
        <f>INDEX('Storehouse Replenishment Schedu'!$D$2:$CO$2,1,82)</f>
        <v>46293</v>
      </c>
      <c r="CH44" s="165" t="str">
        <f t="shared" si="9"/>
        <v>28 Sep</v>
      </c>
      <c r="CI44" s="165">
        <f>SUMPRODUCT(INDEX('Storehouse Replenishment Schedu'!$D$4:$CO$30,0,82)*('Item Purchases'!$W$4:$W$30=1))</f>
        <v>596</v>
      </c>
      <c r="CJ44" s="165">
        <f>SUMPRODUCT(INDEX('Storehouse Replenishment Schedu'!$D$4:$CO$30,0,83)*('Item Purchases'!$W$4:$W$30=1))</f>
        <v>1096</v>
      </c>
      <c r="CK44" s="165">
        <f>IF(CG44="",0,SUMIFS('Daily Data'!$G$2:$G$1000,'Daily Data'!$A$2:$A$1000,CG44))</f>
        <v>596</v>
      </c>
      <c r="CL44" s="165">
        <f>SUMPRODUCT(INDEX('Storehouse Replenishment Schedu'!$D$4:$CO$30,0,82))-CK44</f>
        <v>0</v>
      </c>
      <c r="CM44" s="165">
        <f t="shared" si="10"/>
        <v>0</v>
      </c>
      <c r="CV44" s="127" t="str">
        <f>"TRANSFER TO PANTRY = pantry is at or below "&amp;'Item Purchases'!$E$38&amp;" days but the storehouse still has stock. WATCH = storehouse cover within "&amp;'Item Purchases'!$E$39&amp;" days. Thresholds: Item Purchases E38, E39, E51."</f>
        <v>TRANSFER TO PANTRY = pantry is at or below 7 days but the storehouse still has stock. WATCH = storehouse cover within 14 days. Thresholds: Item Purchases E38, E39, E51.</v>
      </c>
    </row>
    <row r="45" spans="2:124" x14ac:dyDescent="0.25">
      <c r="R45" s="346" t="str">
        <f>IFERROR(INDEX('Storehouse Replenishment Schedu'!$B$4:$B$30,MATCH(7,'Item Purchases'!$AL$4:$AL$30,0)),"")</f>
        <v/>
      </c>
      <c r="S45" s="346"/>
      <c r="T45" s="346"/>
      <c r="U45" s="346"/>
      <c r="V45" s="348" t="str">
        <f>IFERROR(INDEX('Storehouse Replenishment Schedu'!$CR$4:$CR$30,MATCH(7,'Item Purchases'!$AL$4:$AL$30,0)),"")</f>
        <v/>
      </c>
      <c r="W45" s="348"/>
      <c r="X45" s="348" t="str">
        <f>IFERROR(INDEX('Storehouse Replenishment Schedu'!$CT$4:$CT$30,MATCH(7,'Item Purchases'!$AL$4:$AL$30,0)),"")</f>
        <v/>
      </c>
      <c r="Y45" s="348"/>
      <c r="AA45" s="333"/>
      <c r="AB45" s="130" t="str">
        <f t="shared" si="21"/>
        <v>Milo 200ml</v>
      </c>
      <c r="AC45" s="139">
        <f t="shared" si="22"/>
        <v>0</v>
      </c>
      <c r="AD45" s="139">
        <f t="shared" si="23"/>
        <v>3.6428571428571428</v>
      </c>
      <c r="AE45" s="139">
        <f t="shared" si="24"/>
        <v>0</v>
      </c>
      <c r="AF45" s="139">
        <f t="shared" si="25"/>
        <v>0</v>
      </c>
      <c r="AT45" s="165" t="s">
        <v>95</v>
      </c>
      <c r="AU45" s="169">
        <f>SUM(AU17:AU43)</f>
        <v>10290.184999999999</v>
      </c>
      <c r="CG45" s="166">
        <f>INDEX('Storehouse Replenishment Schedu'!$D$2:$CO$2,1,85)</f>
        <v>46294</v>
      </c>
      <c r="CH45" s="165" t="str">
        <f t="shared" si="9"/>
        <v>29 Sep</v>
      </c>
      <c r="CI45" s="165">
        <f>SUMPRODUCT(INDEX('Storehouse Replenishment Schedu'!$D$4:$CO$30,0,85)*('Item Purchases'!$W$4:$W$30=1))</f>
        <v>300</v>
      </c>
      <c r="CJ45" s="165">
        <f>SUMPRODUCT(INDEX('Storehouse Replenishment Schedu'!$D$4:$CO$30,0,86)*('Item Purchases'!$W$4:$W$30=1))</f>
        <v>312</v>
      </c>
      <c r="CK45" s="165">
        <f>IF(CG45="",0,SUMIFS('Daily Data'!$G$2:$G$1000,'Daily Data'!$A$2:$A$1000,CG45))</f>
        <v>300</v>
      </c>
      <c r="CL45" s="165">
        <f>SUMPRODUCT(INDEX('Storehouse Replenishment Schedu'!$D$4:$CO$30,0,85))-CK45</f>
        <v>0</v>
      </c>
      <c r="CM45" s="165">
        <f t="shared" si="10"/>
        <v>0</v>
      </c>
    </row>
    <row r="46" spans="2:124" x14ac:dyDescent="0.25">
      <c r="R46" s="346" t="str">
        <f>IFERROR(INDEX('Storehouse Replenishment Schedu'!$B$4:$B$30,MATCH(8,'Item Purchases'!$AL$4:$AL$30,0)),"")</f>
        <v/>
      </c>
      <c r="S46" s="346"/>
      <c r="T46" s="346"/>
      <c r="U46" s="346"/>
      <c r="V46" s="348" t="str">
        <f>IFERROR(INDEX('Storehouse Replenishment Schedu'!$CR$4:$CR$30,MATCH(8,'Item Purchases'!$AL$4:$AL$30,0)),"")</f>
        <v/>
      </c>
      <c r="W46" s="348"/>
      <c r="X46" s="348" t="str">
        <f>IFERROR(INDEX('Storehouse Replenishment Schedu'!$CT$4:$CT$30,MATCH(8,'Item Purchases'!$AL$4:$AL$30,0)),"")</f>
        <v/>
      </c>
      <c r="Y46" s="348"/>
      <c r="AA46" s="333"/>
      <c r="AB46" s="130" t="str">
        <f t="shared" si="21"/>
        <v>Munchy Oat Krunch - Strawber</v>
      </c>
      <c r="AC46" s="139">
        <f t="shared" si="22"/>
        <v>0</v>
      </c>
      <c r="AD46" s="139">
        <f t="shared" si="23"/>
        <v>4.4725274725274717</v>
      </c>
      <c r="AE46" s="139">
        <f t="shared" si="24"/>
        <v>0</v>
      </c>
      <c r="AF46" s="139">
        <f t="shared" si="25"/>
        <v>0</v>
      </c>
      <c r="AP46" s="129" t="s">
        <v>96</v>
      </c>
      <c r="AQ46" s="129" t="s">
        <v>29</v>
      </c>
      <c r="CG46" s="166">
        <f>INDEX('Storehouse Replenishment Schedu'!$D$2:$CO$2,1,88)</f>
        <v>46295</v>
      </c>
      <c r="CH46" s="165" t="str">
        <f t="shared" si="9"/>
        <v>30 Sep</v>
      </c>
      <c r="CI46" s="165">
        <f>SUMPRODUCT(INDEX('Storehouse Replenishment Schedu'!$D$4:$CO$30,0,88)*('Item Purchases'!$W$4:$W$30=1))</f>
        <v>240</v>
      </c>
      <c r="CJ46" s="165">
        <f>SUMPRODUCT(INDEX('Storehouse Replenishment Schedu'!$D$4:$CO$30,0,89)*('Item Purchases'!$W$4:$W$30=1))</f>
        <v>309</v>
      </c>
      <c r="CK46" s="165">
        <f>IF(CG46="",0,SUMIFS('Daily Data'!$G$2:$G$1000,'Daily Data'!$A$2:$A$1000,CG46))</f>
        <v>240</v>
      </c>
      <c r="CL46" s="165">
        <f>SUMPRODUCT(INDEX('Storehouse Replenishment Schedu'!$D$4:$CO$30,0,88))-CK46</f>
        <v>0</v>
      </c>
      <c r="CM46" s="165">
        <f t="shared" si="10"/>
        <v>0</v>
      </c>
    </row>
    <row r="47" spans="2:124" x14ac:dyDescent="0.25">
      <c r="R47" s="358" t="s">
        <v>97</v>
      </c>
      <c r="S47" s="359"/>
      <c r="T47" s="359"/>
      <c r="U47" s="359"/>
      <c r="V47" s="359"/>
      <c r="W47" s="359"/>
      <c r="X47" s="359"/>
      <c r="Y47" s="359"/>
      <c r="AA47" s="333"/>
      <c r="AB47" s="130" t="str">
        <f t="shared" si="21"/>
        <v>Oat Side Original 200ml</v>
      </c>
      <c r="AC47" s="139">
        <f t="shared" si="22"/>
        <v>0</v>
      </c>
      <c r="AD47" s="139">
        <f t="shared" si="23"/>
        <v>4.666666666666667</v>
      </c>
      <c r="AE47" s="139">
        <f t="shared" si="24"/>
        <v>0</v>
      </c>
      <c r="AF47" s="139">
        <f t="shared" si="25"/>
        <v>0</v>
      </c>
      <c r="AP47" s="165" t="str">
        <f>IFERROR(IF(INDEX($AQ$17:$AQ$43,MATCH(1,$AR$17:$AR$43,0))=0,"",LEFT(INDEX($AP$17:$AP$43,MATCH(1,$AR$17:$AR$43,0)),30)),"")</f>
        <v>Spritzer sparkling water (orig</v>
      </c>
      <c r="AQ47" s="166">
        <f>IFERROR(INDEX($AQ$17:$AQ$43,MATCH(1,$AR$17:$AR$43,0)),0)</f>
        <v>528</v>
      </c>
    </row>
    <row r="48" spans="2:124" ht="8.1" customHeight="1" x14ac:dyDescent="0.25">
      <c r="R48" s="359"/>
      <c r="S48" s="359"/>
      <c r="T48" s="359"/>
      <c r="U48" s="359"/>
      <c r="V48" s="359"/>
      <c r="W48" s="359"/>
      <c r="X48" s="359"/>
      <c r="Y48" s="359"/>
      <c r="AA48" s="333"/>
      <c r="AB48" s="130" t="str">
        <f t="shared" si="21"/>
        <v>Lays Potato Chips (Original)</v>
      </c>
      <c r="AC48" s="139">
        <f t="shared" si="22"/>
        <v>0</v>
      </c>
      <c r="AD48" s="139">
        <f t="shared" si="23"/>
        <v>5.1764705882352944</v>
      </c>
      <c r="AE48" s="139">
        <f t="shared" si="24"/>
        <v>0</v>
      </c>
      <c r="AF48" s="139">
        <f t="shared" si="25"/>
        <v>0</v>
      </c>
      <c r="AP48" s="165" t="str">
        <f>IFERROR(IF(INDEX($AQ$17:$AQ$43,MATCH(2,$AR$17:$AR$43,0))=0,"",LEFT(INDEX($AP$17:$AP$43,MATCH(2,$AR$17:$AR$43,0)),30)),"")</f>
        <v>COWA Coconut Water 330 ml</v>
      </c>
      <c r="AQ48" s="166">
        <f>IFERROR(INDEX($AQ$17:$AQ$43,MATCH(2,$AR$17:$AR$43,0)),0)</f>
        <v>416</v>
      </c>
    </row>
    <row r="49" spans="2:124" ht="21.95" customHeight="1" x14ac:dyDescent="0.25">
      <c r="B49" s="123" t="s">
        <v>98</v>
      </c>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AA49" s="333"/>
      <c r="AP49" s="165" t="str">
        <f>IFERROR(IF(INDEX($AQ$17:$AQ$43,MATCH(3,$AR$17:$AR$43,0))=0,"",LEFT(INDEX($AP$17:$AP$43,MATCH(3,$AR$17:$AR$43,0)),30)),"")</f>
        <v>Ayataka Tea 300ml</v>
      </c>
      <c r="AQ49" s="166">
        <f>IFERROR(INDEX($AQ$17:$AQ$43,MATCH(3,$AR$17:$AR$43,0)),0)</f>
        <v>407</v>
      </c>
      <c r="CV49" s="385" t="s">
        <v>363</v>
      </c>
      <c r="CW49" s="385"/>
      <c r="CX49" s="385"/>
      <c r="CY49" s="385"/>
      <c r="CZ49" s="385"/>
      <c r="DA49" s="385"/>
      <c r="DB49" s="385"/>
      <c r="DC49" s="385"/>
      <c r="DD49" s="385"/>
      <c r="DE49" s="385"/>
      <c r="DF49" s="385"/>
      <c r="DG49" s="385"/>
      <c r="DH49" s="385"/>
      <c r="DI49" s="385"/>
      <c r="DJ49" s="385"/>
      <c r="DK49" s="385"/>
      <c r="DL49" s="385"/>
      <c r="DM49" s="385"/>
      <c r="DN49" s="385"/>
      <c r="DO49" s="385"/>
      <c r="DP49" s="385"/>
      <c r="DQ49" s="385"/>
      <c r="DR49" s="385"/>
      <c r="DS49" s="385"/>
    </row>
    <row r="50" spans="2:124" ht="20.100000000000001" customHeight="1" x14ac:dyDescent="0.25">
      <c r="B50" s="339" t="s">
        <v>99</v>
      </c>
      <c r="C50" s="339"/>
      <c r="D50" s="339"/>
      <c r="E50" s="339"/>
      <c r="F50" s="339" t="s">
        <v>100</v>
      </c>
      <c r="G50" s="339"/>
      <c r="H50" s="339"/>
      <c r="I50" s="339"/>
      <c r="J50" s="339" t="s">
        <v>101</v>
      </c>
      <c r="K50" s="339"/>
      <c r="L50" s="339"/>
      <c r="M50" s="339"/>
      <c r="N50" s="339" t="s">
        <v>102</v>
      </c>
      <c r="O50" s="339"/>
      <c r="P50" s="339"/>
      <c r="Q50" s="339"/>
      <c r="R50" s="339" t="s">
        <v>103</v>
      </c>
      <c r="S50" s="339"/>
      <c r="T50" s="339"/>
      <c r="U50" s="339"/>
      <c r="V50" s="339" t="s">
        <v>104</v>
      </c>
      <c r="W50" s="339"/>
      <c r="X50" s="339"/>
      <c r="Y50" s="339"/>
      <c r="AA50" s="333"/>
      <c r="AP50" s="165" t="str">
        <f>IFERROR(IF(INDEX($AQ$17:$AQ$43,MATCH(4,$AR$17:$AR$43,0))=0,"",LEFT(INDEX($AP$17:$AP$43,MATCH(4,$AR$17:$AR$43,0)),30)),"")</f>
        <v>Oat Side Chocolate 200ml</v>
      </c>
      <c r="AQ50" s="166">
        <f>IFERROR(INDEX($AQ$17:$AQ$43,MATCH(4,$AR$17:$AR$43,0)),0)</f>
        <v>383</v>
      </c>
      <c r="CV50" s="127" t="str">
        <f>IF(COUNTIF($CM$17:$CM$46,"&gt;0")=0,"Daily check (all items): stock out equals pantry stock-in on every day.","Daily check (all items): "&amp;COUNTIF($CM$17:$CM$46,"&gt;0")&amp;" day(s) differ; largest gap "&amp;TEXT(INDEX($CL$17:$CL$46,MATCH(MAX($CM$17:$CM$46),$CM$17:$CM$46,0)),"+0;-0")&amp;" units on "&amp;INDEX($CH$17:$CH$46,MATCH(MAX($CM$17:$CM$46),$CM$17:$CM$46,0))&amp;". Total gap "&amp;SUM($CL$17:$CL$46)&amp;" unit(s) vs "&amp;SUM('Storehouse Replenishment Schedu'!$CX$4:$CX$30)&amp;" recorded as spoiled / damaged"&amp;IF(SUM($CL$17:$CL$46)=SUM('Storehouse Replenishment Schedu'!$CX$4:$CX$30)," - fully explained."," - the rest is unexplained."))</f>
        <v>Daily check (all items): 1 day(s) differ; largest gap +2 units on 18 Sep. Total gap 2 unit(s) vs 2 recorded as spoiled / damaged - fully explained.</v>
      </c>
    </row>
    <row r="51" spans="2:124" ht="42" customHeight="1" x14ac:dyDescent="0.25">
      <c r="B51" s="340">
        <f>SUMIFS('Daily Data'!$I$2:$I$1000,'Daily Data'!$M$2:$M$1000,1)</f>
        <v>5172</v>
      </c>
      <c r="C51" s="340"/>
      <c r="D51" s="340"/>
      <c r="E51" s="340"/>
      <c r="F51" s="340">
        <f>SUMIFS('Daily Data'!$G$2:$G$1000,'Daily Data'!$M$2:$M$1000,1)</f>
        <v>5567</v>
      </c>
      <c r="G51" s="340"/>
      <c r="H51" s="340"/>
      <c r="I51" s="340"/>
      <c r="J51" s="340">
        <f>SUMIFS('Daily Data'!$K$2:$K$1000,'Daily Data'!$M$2:$M$1000,1)</f>
        <v>10290.18499999999</v>
      </c>
      <c r="K51" s="340"/>
      <c r="L51" s="340"/>
      <c r="M51" s="340"/>
      <c r="N51" s="353">
        <f>COUNTIF($AK$17:$AK$41,"&gt;0")</f>
        <v>22</v>
      </c>
      <c r="O51" s="353"/>
      <c r="P51" s="353"/>
      <c r="Q51" s="353"/>
      <c r="R51" s="351">
        <f>IF(N51=0,0,B51/N51)</f>
        <v>235.09090909090909</v>
      </c>
      <c r="S51" s="351"/>
      <c r="T51" s="351"/>
      <c r="U51" s="351"/>
      <c r="V51" s="353">
        <f>COUNTIF($AQ$17:$AQ$43,"&gt;0")</f>
        <v>23</v>
      </c>
      <c r="W51" s="353"/>
      <c r="X51" s="353"/>
      <c r="Y51" s="353"/>
      <c r="AA51" s="333"/>
      <c r="AP51" s="165" t="str">
        <f>IFERROR(IF(INDEX($AQ$17:$AQ$43,MATCH(5,$AR$17:$AR$43,0))=0,"",LEFT(INDEX($AP$17:$AP$43,MATCH(5,$AR$17:$AR$43,0)),30)),"")</f>
        <v>BBMG 90G</v>
      </c>
      <c r="AQ51" s="166">
        <f>IFERROR(INDEX($AQ$17:$AQ$43,MATCH(5,$AR$17:$AR$43,0)),0)</f>
        <v>362</v>
      </c>
      <c r="CV51" s="133" t="s">
        <v>72</v>
      </c>
      <c r="CW51" s="342" t="s">
        <v>37</v>
      </c>
      <c r="CX51" s="342"/>
      <c r="CY51" s="342"/>
      <c r="CZ51" s="342"/>
      <c r="DA51" s="342" t="s">
        <v>345</v>
      </c>
      <c r="DB51" s="342"/>
      <c r="DC51" s="342" t="s">
        <v>341</v>
      </c>
      <c r="DD51" s="342"/>
      <c r="DE51" s="342" t="s">
        <v>364</v>
      </c>
      <c r="DF51" s="342"/>
      <c r="DG51" s="342" t="s">
        <v>336</v>
      </c>
      <c r="DH51" s="342"/>
      <c r="DI51" s="342" t="s">
        <v>365</v>
      </c>
      <c r="DJ51" s="342"/>
      <c r="DK51" s="342"/>
      <c r="DL51" s="342"/>
      <c r="DM51" s="342"/>
      <c r="DN51" s="342"/>
      <c r="DO51" s="342"/>
      <c r="DP51" s="342"/>
      <c r="DQ51" s="342"/>
      <c r="DR51" s="342"/>
      <c r="DS51" s="342"/>
    </row>
    <row r="52" spans="2:124" ht="15" customHeight="1" x14ac:dyDescent="0.25">
      <c r="B52" s="127" t="s">
        <v>105</v>
      </c>
      <c r="AA52" s="333"/>
      <c r="AP52" s="165" t="str">
        <f>IFERROR(IF(INDEX($AQ$17:$AQ$43,MATCH(6,$AR$17:$AR$43,0))=0,"",LEFT(INDEX($AP$17:$AP$43,MATCH(6,$AR$17:$AR$43,0)),30)),"")</f>
        <v>Oolong Tea 300ml</v>
      </c>
      <c r="AQ52" s="166">
        <f>IFERROR(INDEX($AQ$17:$AQ$43,MATCH(6,$AR$17:$AR$43,0)),0)</f>
        <v>331</v>
      </c>
      <c r="CV52" s="134">
        <f>IF($DT52="","",1)</f>
        <v>1</v>
      </c>
      <c r="CW52" s="336" t="str">
        <f>IF($DT52&lt;&gt;"",INDEX($BM$17:$BM$43,$DT52),IF(SUM($CA$17:$CA$43)=0,"All items reconcile",""))</f>
        <v xml:space="preserve">Lays Double Crunch - Seaweed Flav (50g) </v>
      </c>
      <c r="CX52" s="336"/>
      <c r="CY52" s="336"/>
      <c r="CZ52" s="336"/>
      <c r="DA52" s="334">
        <f>IF($DT52="","",INDEX($BU$17:$BU$43,$DT52))</f>
        <v>332</v>
      </c>
      <c r="DB52" s="334"/>
      <c r="DC52" s="334">
        <f>IF($DT52="","",INDEX($CB$17:$CB$43,$DT52))</f>
        <v>2</v>
      </c>
      <c r="DD52" s="334"/>
      <c r="DE52" s="334">
        <f>IF($DT52="","",INDEX($BV$17:$BV$43,$DT52))</f>
        <v>330</v>
      </c>
      <c r="DF52" s="334"/>
      <c r="DG52" s="334">
        <f>IF($DT52="","",INDEX($BW$17:$BW$43,$DT52))</f>
        <v>0</v>
      </c>
      <c r="DH52" s="334"/>
      <c r="DI52" s="336" t="str">
        <f>IF($DT52="",IF(AND(1=1,SUM($CA$17:$CA$43)=0),"Stock out less spoilage equals pantry stock-in for every item shown.",""),IF(INDEX($BW$17:$BW$43,$DT52)&gt;0,"Unexplained gap - check the pantry entry, a missing delivery or unrecorded spoilage.",IF(INDEX($BW$17:$BW$43,$DT52)&lt;0,"Pantry recorded more than released - check the storehouse stock-out entry.","Reconciles - explained by "&amp;INDEX($CB$17:$CB$43,$DT52)&amp;" spoiled / damaged unit(s)"&amp;IF(INDEX($CD$17:$CD$43,$DT52)="","",": "&amp;INDEX($CD$17:$CD$43,$DT52))&amp;".")))</f>
        <v>Reconciles - explained by 2 spoiled / damaged unit(s).</v>
      </c>
      <c r="DJ52" s="336"/>
      <c r="DK52" s="336"/>
      <c r="DL52" s="336"/>
      <c r="DM52" s="336"/>
      <c r="DN52" s="336"/>
      <c r="DO52" s="336"/>
      <c r="DP52" s="336"/>
      <c r="DQ52" s="336"/>
      <c r="DR52" s="336"/>
      <c r="DS52" s="336"/>
      <c r="DT52" s="165">
        <f>IFERROR(MATCH(1,$BZ$17:$BZ$43,0),"")</f>
        <v>9</v>
      </c>
    </row>
    <row r="53" spans="2:124" ht="15" customHeight="1" x14ac:dyDescent="0.25">
      <c r="AA53" s="333"/>
      <c r="AP53" s="165" t="str">
        <f>IFERROR(IF(INDEX($AQ$17:$AQ$43,MATCH(7,$AR$17:$AR$43,0))=0,"",LEFT(INDEX($AP$17:$AP$43,MATCH(7,$AR$17:$AR$43,0)),30)),"")</f>
        <v>Lays Double Crunch - Seaweed F</v>
      </c>
      <c r="AQ53" s="166">
        <f>IFERROR(INDEX($AQ$17:$AQ$43,MATCH(7,$AR$17:$AR$43,0)),0)</f>
        <v>315</v>
      </c>
      <c r="CV53" s="134" t="str">
        <f>IF($DT53="","",2)</f>
        <v/>
      </c>
      <c r="CW53" s="336" t="str">
        <f>IF($DT53="","",INDEX($BM$17:$BM$43,$DT53))</f>
        <v/>
      </c>
      <c r="CX53" s="336"/>
      <c r="CY53" s="336"/>
      <c r="CZ53" s="336"/>
      <c r="DA53" s="334" t="str">
        <f>IF($DT53="","",INDEX($BU$17:$BU$43,$DT53))</f>
        <v/>
      </c>
      <c r="DB53" s="334"/>
      <c r="DC53" s="334" t="str">
        <f>IF($DT53="","",INDEX($CB$17:$CB$43,$DT53))</f>
        <v/>
      </c>
      <c r="DD53" s="334"/>
      <c r="DE53" s="334" t="str">
        <f>IF($DT53="","",INDEX($BV$17:$BV$43,$DT53))</f>
        <v/>
      </c>
      <c r="DF53" s="334"/>
      <c r="DG53" s="334" t="str">
        <f>IF($DT53="","",INDEX($BW$17:$BW$43,$DT53))</f>
        <v/>
      </c>
      <c r="DH53" s="334"/>
      <c r="DI53" s="336" t="str">
        <f>IF($DT53="",IF(AND(2=1,SUM($CA$17:$CA$43)=0),"Stock out less spoilage equals pantry stock-in for every item shown.",""),IF(INDEX($BW$17:$BW$43,$DT53)&gt;0,"Unexplained gap - check the pantry entry, a missing delivery or unrecorded spoilage.",IF(INDEX($BW$17:$BW$43,$DT53)&lt;0,"Pantry recorded more than released - check the storehouse stock-out entry.","Reconciles - explained by "&amp;INDEX($CB$17:$CB$43,$DT53)&amp;" spoiled / damaged unit(s)"&amp;IF(INDEX($CD$17:$CD$43,$DT53)="","",": "&amp;INDEX($CD$17:$CD$43,$DT53))&amp;".")))</f>
        <v/>
      </c>
      <c r="DJ53" s="336"/>
      <c r="DK53" s="336"/>
      <c r="DL53" s="336"/>
      <c r="DM53" s="336"/>
      <c r="DN53" s="336"/>
      <c r="DO53" s="336"/>
      <c r="DP53" s="336"/>
      <c r="DQ53" s="336"/>
      <c r="DR53" s="336"/>
      <c r="DS53" s="336"/>
      <c r="DT53" s="165" t="str">
        <f>IFERROR(MATCH(2,$BZ$17:$BZ$43,0),"")</f>
        <v/>
      </c>
    </row>
    <row r="54" spans="2:124" ht="15" customHeight="1" x14ac:dyDescent="0.25">
      <c r="AA54" s="333"/>
      <c r="AP54" s="165" t="str">
        <f>IFERROR(IF(INDEX($AQ$17:$AQ$43,MATCH(8,$AR$17:$AR$43,0))=0,"",LEFT(INDEX($AP$17:$AP$43,MATCH(8,$AR$17:$AR$43,0)),30)),"")</f>
        <v>Oat Side Original 200ml</v>
      </c>
      <c r="AQ54" s="166">
        <f>IFERROR(INDEX($AQ$17:$AQ$43,MATCH(8,$AR$17:$AR$43,0)),0)</f>
        <v>297</v>
      </c>
      <c r="CV54" s="134" t="str">
        <f>IF($DT54="","",3)</f>
        <v/>
      </c>
      <c r="CW54" s="336" t="str">
        <f>IF($DT54="","",INDEX($BM$17:$BM$43,$DT54))</f>
        <v/>
      </c>
      <c r="CX54" s="336"/>
      <c r="CY54" s="336"/>
      <c r="CZ54" s="336"/>
      <c r="DA54" s="334" t="str">
        <f>IF($DT54="","",INDEX($BU$17:$BU$43,$DT54))</f>
        <v/>
      </c>
      <c r="DB54" s="334"/>
      <c r="DC54" s="334" t="str">
        <f>IF($DT54="","",INDEX($CB$17:$CB$43,$DT54))</f>
        <v/>
      </c>
      <c r="DD54" s="334"/>
      <c r="DE54" s="334" t="str">
        <f>IF($DT54="","",INDEX($BV$17:$BV$43,$DT54))</f>
        <v/>
      </c>
      <c r="DF54" s="334"/>
      <c r="DG54" s="334" t="str">
        <f>IF($DT54="","",INDEX($BW$17:$BW$43,$DT54))</f>
        <v/>
      </c>
      <c r="DH54" s="334"/>
      <c r="DI54" s="336" t="str">
        <f>IF($DT54="",IF(AND(3=1,SUM($CA$17:$CA$43)=0),"Stock out less spoilage equals pantry stock-in for every item shown.",""),IF(INDEX($BW$17:$BW$43,$DT54)&gt;0,"Unexplained gap - check the pantry entry, a missing delivery or unrecorded spoilage.",IF(INDEX($BW$17:$BW$43,$DT54)&lt;0,"Pantry recorded more than released - check the storehouse stock-out entry.","Reconciles - explained by "&amp;INDEX($CB$17:$CB$43,$DT54)&amp;" spoiled / damaged unit(s)"&amp;IF(INDEX($CD$17:$CD$43,$DT54)="","",": "&amp;INDEX($CD$17:$CD$43,$DT54))&amp;".")))</f>
        <v/>
      </c>
      <c r="DJ54" s="336"/>
      <c r="DK54" s="336"/>
      <c r="DL54" s="336"/>
      <c r="DM54" s="336"/>
      <c r="DN54" s="336"/>
      <c r="DO54" s="336"/>
      <c r="DP54" s="336"/>
      <c r="DQ54" s="336"/>
      <c r="DR54" s="336"/>
      <c r="DS54" s="336"/>
      <c r="DT54" s="165" t="str">
        <f>IFERROR(MATCH(3,$BZ$17:$BZ$43,0),"")</f>
        <v/>
      </c>
    </row>
    <row r="55" spans="2:124" ht="15" customHeight="1" x14ac:dyDescent="0.25">
      <c r="AA55" s="333"/>
      <c r="AP55" s="165" t="str">
        <f>IFERROR(IF(INDEX($AQ$17:$AQ$43,MATCH(9,$AR$17:$AR$43,0))=0,"",LEFT(INDEX($AP$17:$AP$43,MATCH(9,$AR$17:$AR$43,0)),30)),"")</f>
        <v>Munchy Oat Krunch - Dark Choco</v>
      </c>
      <c r="AQ55" s="166">
        <f>IFERROR(INDEX($AQ$17:$AQ$43,MATCH(9,$AR$17:$AR$43,0)),0)</f>
        <v>285</v>
      </c>
      <c r="CV55" s="134" t="str">
        <f>IF($DT55="","",4)</f>
        <v/>
      </c>
      <c r="CW55" s="336" t="str">
        <f>IF($DT55="","",INDEX($BM$17:$BM$43,$DT55))</f>
        <v/>
      </c>
      <c r="CX55" s="336"/>
      <c r="CY55" s="336"/>
      <c r="CZ55" s="336"/>
      <c r="DA55" s="334" t="str">
        <f>IF($DT55="","",INDEX($BU$17:$BU$43,$DT55))</f>
        <v/>
      </c>
      <c r="DB55" s="334"/>
      <c r="DC55" s="334" t="str">
        <f>IF($DT55="","",INDEX($CB$17:$CB$43,$DT55))</f>
        <v/>
      </c>
      <c r="DD55" s="334"/>
      <c r="DE55" s="334" t="str">
        <f>IF($DT55="","",INDEX($BV$17:$BV$43,$DT55))</f>
        <v/>
      </c>
      <c r="DF55" s="334"/>
      <c r="DG55" s="334" t="str">
        <f>IF($DT55="","",INDEX($BW$17:$BW$43,$DT55))</f>
        <v/>
      </c>
      <c r="DH55" s="334"/>
      <c r="DI55" s="336" t="str">
        <f>IF($DT55="",IF(AND(4=1,SUM($CA$17:$CA$43)=0),"Stock out less spoilage equals pantry stock-in for every item shown.",""),IF(INDEX($BW$17:$BW$43,$DT55)&gt;0,"Unexplained gap - check the pantry entry, a missing delivery or unrecorded spoilage.",IF(INDEX($BW$17:$BW$43,$DT55)&lt;0,"Pantry recorded more than released - check the storehouse stock-out entry.","Reconciles - explained by "&amp;INDEX($CB$17:$CB$43,$DT55)&amp;" spoiled / damaged unit(s)"&amp;IF(INDEX($CD$17:$CD$43,$DT55)="","",": "&amp;INDEX($CD$17:$CD$43,$DT55))&amp;".")))</f>
        <v/>
      </c>
      <c r="DJ55" s="336"/>
      <c r="DK55" s="336"/>
      <c r="DL55" s="336"/>
      <c r="DM55" s="336"/>
      <c r="DN55" s="336"/>
      <c r="DO55" s="336"/>
      <c r="DP55" s="336"/>
      <c r="DQ55" s="336"/>
      <c r="DR55" s="336"/>
      <c r="DS55" s="336"/>
      <c r="DT55" s="165" t="str">
        <f>IFERROR(MATCH(4,$BZ$17:$BZ$43,0),"")</f>
        <v/>
      </c>
    </row>
    <row r="56" spans="2:124" ht="15" customHeight="1" x14ac:dyDescent="0.25">
      <c r="AA56" s="333"/>
      <c r="AP56" s="165" t="str">
        <f>IFERROR(IF(INDEX($AQ$17:$AQ$43,MATCH(10,$AR$17:$AR$43,0))=0,"",LEFT(INDEX($AP$17:$AP$43,MATCH(10,$AR$17:$AR$43,0)),30)),"")</f>
        <v>Vsoy Soya Bean  250ml</v>
      </c>
      <c r="AQ56" s="166">
        <f>IFERROR(INDEX($AQ$17:$AQ$43,MATCH(10,$AR$17:$AR$43,0)),0)</f>
        <v>271</v>
      </c>
      <c r="CV56" s="134" t="str">
        <f>IF($DT56="","",5)</f>
        <v/>
      </c>
      <c r="CW56" s="336" t="str">
        <f>IF($DT56="","",INDEX($BM$17:$BM$43,$DT56))</f>
        <v/>
      </c>
      <c r="CX56" s="336"/>
      <c r="CY56" s="336"/>
      <c r="CZ56" s="336"/>
      <c r="DA56" s="334" t="str">
        <f>IF($DT56="","",INDEX($BU$17:$BU$43,$DT56))</f>
        <v/>
      </c>
      <c r="DB56" s="334"/>
      <c r="DC56" s="334" t="str">
        <f>IF($DT56="","",INDEX($CB$17:$CB$43,$DT56))</f>
        <v/>
      </c>
      <c r="DD56" s="334"/>
      <c r="DE56" s="334" t="str">
        <f>IF($DT56="","",INDEX($BV$17:$BV$43,$DT56))</f>
        <v/>
      </c>
      <c r="DF56" s="334"/>
      <c r="DG56" s="334" t="str">
        <f>IF($DT56="","",INDEX($BW$17:$BW$43,$DT56))</f>
        <v/>
      </c>
      <c r="DH56" s="334"/>
      <c r="DI56" s="336" t="str">
        <f>IF($DT56="",IF(AND(5=1,SUM($CA$17:$CA$43)=0),"Stock out less spoilage equals pantry stock-in for every item shown.",""),IF(INDEX($BW$17:$BW$43,$DT56)&gt;0,"Unexplained gap - check the pantry entry, a missing delivery or unrecorded spoilage.",IF(INDEX($BW$17:$BW$43,$DT56)&lt;0,"Pantry recorded more than released - check the storehouse stock-out entry.","Reconciles - explained by "&amp;INDEX($CB$17:$CB$43,$DT56)&amp;" spoiled / damaged unit(s)"&amp;IF(INDEX($CD$17:$CD$43,$DT56)="","",": "&amp;INDEX($CD$17:$CD$43,$DT56))&amp;".")))</f>
        <v/>
      </c>
      <c r="DJ56" s="336"/>
      <c r="DK56" s="336"/>
      <c r="DL56" s="336"/>
      <c r="DM56" s="336"/>
      <c r="DN56" s="336"/>
      <c r="DO56" s="336"/>
      <c r="DP56" s="336"/>
      <c r="DQ56" s="336"/>
      <c r="DR56" s="336"/>
      <c r="DS56" s="336"/>
      <c r="DT56" s="165" t="str">
        <f>IFERROR(MATCH(5,$BZ$17:$BZ$43,0),"")</f>
        <v/>
      </c>
    </row>
    <row r="57" spans="2:124" ht="15" customHeight="1" x14ac:dyDescent="0.25">
      <c r="AA57" s="333"/>
    </row>
    <row r="58" spans="2:124" ht="15" customHeight="1" x14ac:dyDescent="0.25">
      <c r="AA58" s="333"/>
    </row>
    <row r="59" spans="2:124" ht="15" customHeight="1" x14ac:dyDescent="0.25">
      <c r="AA59" s="333"/>
    </row>
    <row r="60" spans="2:124" ht="15" customHeight="1" x14ac:dyDescent="0.25">
      <c r="AA60" s="333"/>
    </row>
    <row r="61" spans="2:124" ht="15" customHeight="1" x14ac:dyDescent="0.25">
      <c r="AA61" s="333"/>
    </row>
    <row r="62" spans="2:124" ht="15" customHeight="1" x14ac:dyDescent="0.25">
      <c r="AA62" s="333"/>
    </row>
    <row r="63" spans="2:124" ht="15" customHeight="1" x14ac:dyDescent="0.25">
      <c r="AA63" s="333"/>
    </row>
    <row r="64" spans="2:124" ht="15" customHeight="1" x14ac:dyDescent="0.25">
      <c r="AA64" s="333"/>
    </row>
    <row r="65" spans="18:124" ht="15" customHeight="1" x14ac:dyDescent="0.25">
      <c r="AA65" s="333"/>
    </row>
    <row r="66" spans="18:124" ht="15" customHeight="1" x14ac:dyDescent="0.25">
      <c r="AA66" s="333"/>
    </row>
    <row r="67" spans="18:124" ht="15" customHeight="1" x14ac:dyDescent="0.25">
      <c r="AA67" s="333"/>
    </row>
    <row r="68" spans="18:124" ht="15" customHeight="1" x14ac:dyDescent="0.25">
      <c r="AA68" s="333"/>
    </row>
    <row r="69" spans="18:124" ht="15" customHeight="1" x14ac:dyDescent="0.25">
      <c r="AA69" s="333"/>
    </row>
    <row r="70" spans="18:124" ht="15" customHeight="1" x14ac:dyDescent="0.25">
      <c r="R70" s="364" t="s">
        <v>106</v>
      </c>
      <c r="S70" s="364"/>
      <c r="T70" s="364"/>
      <c r="U70" s="364"/>
      <c r="V70" s="364"/>
      <c r="W70" s="364"/>
      <c r="X70" s="364"/>
      <c r="Y70" s="364"/>
      <c r="AA70" s="333"/>
      <c r="CV70" s="385" t="s">
        <v>366</v>
      </c>
      <c r="CW70" s="385"/>
      <c r="CX70" s="385"/>
      <c r="CY70" s="385"/>
      <c r="CZ70" s="385"/>
      <c r="DA70" s="385"/>
      <c r="DB70" s="385"/>
      <c r="DC70" s="385"/>
      <c r="DD70" s="385"/>
      <c r="DE70" s="385"/>
      <c r="DF70" s="385"/>
      <c r="DG70" s="385"/>
      <c r="DH70" s="385"/>
      <c r="DI70" s="385"/>
      <c r="DJ70" s="385"/>
      <c r="DK70" s="385"/>
      <c r="DL70" s="385"/>
      <c r="DM70" s="385"/>
      <c r="DN70" s="385"/>
      <c r="DO70" s="385"/>
      <c r="DP70" s="385"/>
      <c r="DQ70" s="385"/>
      <c r="DR70" s="385"/>
      <c r="DS70" s="385"/>
    </row>
    <row r="71" spans="18:124" ht="30.75" customHeight="1" x14ac:dyDescent="0.25">
      <c r="R71" s="342" t="s">
        <v>42</v>
      </c>
      <c r="S71" s="342"/>
      <c r="T71" s="342" t="s">
        <v>45</v>
      </c>
      <c r="U71" s="342"/>
      <c r="V71" s="342" t="s">
        <v>46</v>
      </c>
      <c r="W71" s="342"/>
      <c r="X71" s="342" t="s">
        <v>107</v>
      </c>
      <c r="Y71" s="342"/>
      <c r="AA71" s="333"/>
      <c r="CV71" s="339" t="s">
        <v>367</v>
      </c>
      <c r="CW71" s="339"/>
      <c r="CX71" s="339"/>
      <c r="CY71" s="339"/>
      <c r="CZ71" s="339"/>
      <c r="DA71" s="339"/>
      <c r="DB71" s="339" t="s">
        <v>368</v>
      </c>
      <c r="DC71" s="339"/>
      <c r="DD71" s="339"/>
      <c r="DE71" s="339"/>
      <c r="DF71" s="339"/>
      <c r="DG71" s="339"/>
      <c r="DH71" s="339" t="s">
        <v>369</v>
      </c>
      <c r="DI71" s="339"/>
      <c r="DJ71" s="339"/>
      <c r="DK71" s="339"/>
      <c r="DL71" s="339"/>
      <c r="DM71" s="339"/>
      <c r="DN71" s="339" t="s">
        <v>370</v>
      </c>
      <c r="DO71" s="339"/>
      <c r="DP71" s="339"/>
      <c r="DQ71" s="339"/>
      <c r="DR71" s="339"/>
      <c r="DS71" s="339"/>
    </row>
    <row r="72" spans="18:124" ht="30.75" customHeight="1" x14ac:dyDescent="0.25">
      <c r="R72" s="354" t="s">
        <v>50</v>
      </c>
      <c r="S72" s="354"/>
      <c r="T72" s="347">
        <f>BG17</f>
        <v>11</v>
      </c>
      <c r="U72" s="347"/>
      <c r="V72" s="344">
        <f>BH17</f>
        <v>0.80748285866580649</v>
      </c>
      <c r="W72" s="344"/>
      <c r="X72" s="363" t="str">
        <f>"first "&amp;TEXT('Item Purchases'!$E$49,"0%")</f>
        <v>first 80%</v>
      </c>
      <c r="Y72" s="363"/>
      <c r="AA72" s="333"/>
      <c r="CV72" s="340">
        <f>SUMPRODUCT(('Item Purchases'!$W$4:$W$30=1)*('Item Purchases'!$AS$4:$AS$30="PHASE OUT"))</f>
        <v>5</v>
      </c>
      <c r="CW72" s="340"/>
      <c r="CX72" s="340"/>
      <c r="CY72" s="340"/>
      <c r="CZ72" s="340"/>
      <c r="DA72" s="340"/>
      <c r="DB72" s="340">
        <f>SUMPRODUCT(('Item Purchases'!$W$4:$W$30=1)*('Item Purchases'!$AS$4:$AS$30="REVIEW"))</f>
        <v>3</v>
      </c>
      <c r="DC72" s="340"/>
      <c r="DD72" s="340"/>
      <c r="DE72" s="340"/>
      <c r="DF72" s="340"/>
      <c r="DG72" s="340"/>
      <c r="DH72" s="340">
        <f>SUMPRODUCT(('Item Purchases'!$W$4:$W$30=1)*('Item Purchases'!$AS$4:$AS$30="DISCONTINUED"))</f>
        <v>0</v>
      </c>
      <c r="DI72" s="340"/>
      <c r="DJ72" s="340"/>
      <c r="DK72" s="340"/>
      <c r="DL72" s="340"/>
      <c r="DM72" s="340"/>
      <c r="DN72" s="340">
        <f>SUMPRODUCT(('Item Purchases'!$W$4:$W$30=1)*(('Item Purchases'!$AS$4:$AS$30="PHASE OUT")+('Item Purchases'!$AS$4:$AS$30="DISCONTINUED"))*'Item Purchases'!$F$4:$F$30)</f>
        <v>134</v>
      </c>
      <c r="DO72" s="340"/>
      <c r="DP72" s="340"/>
      <c r="DQ72" s="340"/>
      <c r="DR72" s="340"/>
      <c r="DS72" s="340"/>
    </row>
    <row r="73" spans="18:124" ht="30.75" customHeight="1" x14ac:dyDescent="0.25">
      <c r="R73" s="354" t="s">
        <v>53</v>
      </c>
      <c r="S73" s="354"/>
      <c r="T73" s="347">
        <f>BG18</f>
        <v>7</v>
      </c>
      <c r="U73" s="347"/>
      <c r="V73" s="344">
        <f>BH18</f>
        <v>0.14419016762089315</v>
      </c>
      <c r="W73" s="344"/>
      <c r="X73" s="363" t="str">
        <f>"up to "&amp;TEXT('Item Purchases'!$E$50,"0%")</f>
        <v>up to 95%</v>
      </c>
      <c r="Y73" s="363"/>
      <c r="AA73" s="333"/>
      <c r="CV73" s="127" t="str">
        <f>"Stock value on hand in phase-out / discontinued items: "&amp;TEXT(SUMPRODUCT(('Item Purchases'!$W$4:$W$30=1)*(('Item Purchases'!$AS$4:$AS$30="PHASE OUT")+('Item Purchases'!$AS$4:$AS$30="DISCONTINUED"))*'Item Purchases'!$AT$4:$AT$30),"#,##0")&amp;".  Mark an item Discontinued in Item Purchases (column AN) to stop purchase estimates and alerts for it; its history stays in the totals."</f>
        <v>Stock value on hand in phase-out / discontinued items: 301.  Mark an item Discontinued in Item Purchases (column AN) to stop purchase estimates and alerts for it; its history stays in the totals.</v>
      </c>
    </row>
    <row r="74" spans="18:124" ht="30.75" customHeight="1" x14ac:dyDescent="0.25">
      <c r="R74" s="354" t="s">
        <v>56</v>
      </c>
      <c r="S74" s="354"/>
      <c r="T74" s="347">
        <f>BG19</f>
        <v>5</v>
      </c>
      <c r="U74" s="347"/>
      <c r="V74" s="344">
        <f>BH19</f>
        <v>4.8326973713300587E-2</v>
      </c>
      <c r="W74" s="344"/>
      <c r="X74" s="363" t="str">
        <f>"the rest"</f>
        <v>the rest</v>
      </c>
      <c r="Y74" s="363"/>
      <c r="AA74" s="333"/>
    </row>
    <row r="75" spans="18:124" ht="15" customHeight="1" x14ac:dyDescent="0.25">
      <c r="R75" s="127" t="s">
        <v>108</v>
      </c>
      <c r="AA75" s="333"/>
    </row>
    <row r="76" spans="18:124" ht="15" customHeight="1" x14ac:dyDescent="0.25">
      <c r="AA76" s="333"/>
      <c r="CV76" s="385" t="s">
        <v>371</v>
      </c>
      <c r="CW76" s="385"/>
      <c r="CX76" s="385"/>
      <c r="CY76" s="385"/>
      <c r="CZ76" s="385"/>
      <c r="DA76" s="385"/>
      <c r="DB76" s="385"/>
      <c r="DC76" s="385"/>
      <c r="DD76" s="385"/>
      <c r="DE76" s="385"/>
      <c r="DF76" s="385"/>
      <c r="DG76" s="385"/>
      <c r="DH76" s="385"/>
      <c r="DI76" s="385"/>
      <c r="DJ76" s="385"/>
      <c r="DK76" s="385"/>
      <c r="DL76" s="385"/>
      <c r="DM76" s="385"/>
      <c r="DN76" s="385"/>
      <c r="DO76" s="385"/>
      <c r="DP76" s="385"/>
      <c r="DQ76" s="385"/>
      <c r="DR76" s="385"/>
      <c r="DS76" s="385"/>
    </row>
    <row r="77" spans="18:124" ht="15" customHeight="1" x14ac:dyDescent="0.25">
      <c r="R77" s="364" t="s">
        <v>109</v>
      </c>
      <c r="S77" s="364"/>
      <c r="T77" s="364"/>
      <c r="U77" s="364"/>
      <c r="V77" s="364"/>
      <c r="W77" s="364"/>
      <c r="X77" s="364"/>
      <c r="Y77" s="364"/>
      <c r="AA77" s="333"/>
      <c r="CV77" s="133" t="s">
        <v>72</v>
      </c>
      <c r="CW77" s="342" t="s">
        <v>37</v>
      </c>
      <c r="CX77" s="342"/>
      <c r="CY77" s="342"/>
      <c r="CZ77" s="342"/>
      <c r="DA77" s="342" t="s">
        <v>372</v>
      </c>
      <c r="DB77" s="342"/>
      <c r="DC77" s="342" t="s">
        <v>373</v>
      </c>
      <c r="DD77" s="342"/>
      <c r="DE77" s="342" t="s">
        <v>374</v>
      </c>
      <c r="DF77" s="342"/>
      <c r="DG77" s="342" t="s">
        <v>40</v>
      </c>
      <c r="DH77" s="342"/>
      <c r="DI77" s="342" t="s">
        <v>375</v>
      </c>
      <c r="DJ77" s="342"/>
      <c r="DK77" s="342" t="s">
        <v>376</v>
      </c>
      <c r="DL77" s="342"/>
      <c r="DM77" s="342" t="s">
        <v>377</v>
      </c>
      <c r="DN77" s="342"/>
      <c r="DO77" s="342" t="s">
        <v>378</v>
      </c>
      <c r="DP77" s="342"/>
      <c r="DQ77" s="342" t="s">
        <v>379</v>
      </c>
      <c r="DR77" s="342"/>
      <c r="DS77" s="342"/>
    </row>
    <row r="78" spans="18:124" ht="20.25" customHeight="1" x14ac:dyDescent="0.25">
      <c r="R78" s="352" t="s">
        <v>37</v>
      </c>
      <c r="S78" s="352"/>
      <c r="T78" s="352"/>
      <c r="U78" s="352"/>
      <c r="V78" s="352"/>
      <c r="W78" s="352"/>
      <c r="X78" s="362" t="s">
        <v>39</v>
      </c>
      <c r="Y78" s="362"/>
      <c r="AA78" s="333"/>
      <c r="CV78" s="134">
        <f>IF($DT78="","",1)</f>
        <v>1</v>
      </c>
      <c r="CW78" s="336" t="str">
        <f>IF($DT78="","",INDEX('Item Purchases'!$B$4:$B$30,$DT78))</f>
        <v xml:space="preserve">NV PROTEIN - SALTED CARAMEL 40G </v>
      </c>
      <c r="CX78" s="336"/>
      <c r="CY78" s="336"/>
      <c r="CZ78" s="336"/>
      <c r="DA78" s="363" t="str">
        <f>IF($DT78="","",INDEX('Item Purchases'!$AM$4:$AM$30,$DT78))</f>
        <v>Snacks</v>
      </c>
      <c r="DB78" s="363"/>
      <c r="DC78" s="363" t="str">
        <f>IF($DT78="","",INDEX('Item Purchases'!$S$4:$S$30,$DT78))</f>
        <v>Sweet</v>
      </c>
      <c r="DD78" s="363"/>
      <c r="DE78" s="382">
        <f>IF($DT78="","",INDEX('Item Purchases'!$C$4:$C$30,$DT78))</f>
        <v>0</v>
      </c>
      <c r="DF78" s="382"/>
      <c r="DG78" s="344">
        <f>IF($DT78="","",INDEX('Item Purchases'!$AO$4:$AO$30,$DT78))</f>
        <v>0</v>
      </c>
      <c r="DH78" s="344"/>
      <c r="DI78" s="383">
        <f>IF($DT78="","",INDEX('Item Purchases'!$AQ$4:$AQ$30,$DT78))</f>
        <v>0</v>
      </c>
      <c r="DJ78" s="383"/>
      <c r="DK78" s="384" t="str">
        <f>IF($DT78="","",IF(ISNUMBER(INDEX('Item Purchases'!$AR$4:$AR$30,$DT78)),INDEX('Item Purchases'!$AR$4:$AR$30,$DT78),"n/a"))</f>
        <v>n/a</v>
      </c>
      <c r="DL78" s="384"/>
      <c r="DM78" s="334">
        <f>IF($DT78="","",INDEX('Item Purchases'!$F$4:$F$30,$DT78))</f>
        <v>0</v>
      </c>
      <c r="DN78" s="334"/>
      <c r="DO78" s="382" t="str">
        <f>IF($DT78="","",INDEX('Item Purchases'!$G$4:$G$30,$DT78))</f>
        <v/>
      </c>
      <c r="DP78" s="382"/>
      <c r="DQ78" s="337" t="str">
        <f>IF($DT78="","",INDEX('Item Purchases'!$AS$4:$AS$30,$DT78))</f>
        <v>PHASE OUT</v>
      </c>
      <c r="DR78" s="337"/>
      <c r="DS78" s="337"/>
      <c r="DT78" s="165">
        <f>IFERROR(MATCH(1,$CU$17:$CU$43,0),"")</f>
        <v>6</v>
      </c>
    </row>
    <row r="79" spans="18:124" ht="20.25" customHeight="1" x14ac:dyDescent="0.25">
      <c r="R79" s="346" t="str">
        <f t="shared" ref="R79:R87" si="26">BJ17</f>
        <v xml:space="preserve">Lays Double Crunch - Seaweed Flav (50g) </v>
      </c>
      <c r="S79" s="346"/>
      <c r="T79" s="346"/>
      <c r="U79" s="346"/>
      <c r="V79" s="346"/>
      <c r="W79" s="346"/>
      <c r="X79" s="361">
        <f>BK17</f>
        <v>1260</v>
      </c>
      <c r="Y79" s="361"/>
      <c r="AA79" s="333"/>
      <c r="CV79" s="134">
        <f>IF($DT79="","",2)</f>
        <v>2</v>
      </c>
      <c r="CW79" s="336" t="str">
        <f>IF($DT79="","",INDEX('Item Purchases'!$B$4:$B$30,$DT79))</f>
        <v>KARTA Coconut Water 330 ml</v>
      </c>
      <c r="CX79" s="336"/>
      <c r="CY79" s="336"/>
      <c r="CZ79" s="336"/>
      <c r="DA79" s="363" t="str">
        <f>IF($DT79="","",INDEX('Item Purchases'!$AM$4:$AM$30,$DT79))</f>
        <v>Beverages</v>
      </c>
      <c r="DB79" s="363"/>
      <c r="DC79" s="363" t="str">
        <f>IF($DT79="","",INDEX('Item Purchases'!$S$4:$S$30,$DT79))</f>
        <v>Other</v>
      </c>
      <c r="DD79" s="363"/>
      <c r="DE79" s="382">
        <f>IF($DT79="","",INDEX('Item Purchases'!$C$4:$C$30,$DT79))</f>
        <v>0</v>
      </c>
      <c r="DF79" s="382"/>
      <c r="DG79" s="344">
        <f>IF($DT79="","",INDEX('Item Purchases'!$AO$4:$AO$30,$DT79))</f>
        <v>0</v>
      </c>
      <c r="DH79" s="344"/>
      <c r="DI79" s="383">
        <f>IF($DT79="","",INDEX('Item Purchases'!$AQ$4:$AQ$30,$DT79))</f>
        <v>0</v>
      </c>
      <c r="DJ79" s="383"/>
      <c r="DK79" s="384" t="str">
        <f>IF($DT79="","",IF(ISNUMBER(INDEX('Item Purchases'!$AR$4:$AR$30,$DT79)),INDEX('Item Purchases'!$AR$4:$AR$30,$DT79),"n/a"))</f>
        <v>n/a</v>
      </c>
      <c r="DL79" s="384"/>
      <c r="DM79" s="334">
        <f>IF($DT79="","",INDEX('Item Purchases'!$F$4:$F$30,$DT79))</f>
        <v>72</v>
      </c>
      <c r="DN79" s="334"/>
      <c r="DO79" s="382" t="str">
        <f>IF($DT79="","",INDEX('Item Purchases'!$G$4:$G$30,$DT79))</f>
        <v/>
      </c>
      <c r="DP79" s="382"/>
      <c r="DQ79" s="337" t="str">
        <f>IF($DT79="","",INDEX('Item Purchases'!$AS$4:$AS$30,$DT79))</f>
        <v>PHASE OUT</v>
      </c>
      <c r="DR79" s="337"/>
      <c r="DS79" s="337"/>
      <c r="DT79" s="165">
        <f>IFERROR(MATCH(2,$CU$17:$CU$43,0),"")</f>
        <v>17</v>
      </c>
    </row>
    <row r="80" spans="18:124" ht="20.25" customHeight="1" x14ac:dyDescent="0.25">
      <c r="R80" s="346" t="str">
        <f t="shared" si="26"/>
        <v>COWA Coconut Water 330 ml</v>
      </c>
      <c r="S80" s="346"/>
      <c r="T80" s="346"/>
      <c r="U80" s="346"/>
      <c r="V80" s="346"/>
      <c r="W80" s="346"/>
      <c r="X80" s="361">
        <f t="shared" ref="X80:X87" si="27">BK18</f>
        <v>1248</v>
      </c>
      <c r="Y80" s="361"/>
      <c r="AA80" s="333"/>
      <c r="CV80" s="134">
        <f>IF($DT80="","",3)</f>
        <v>3</v>
      </c>
      <c r="CW80" s="336" t="str">
        <f>IF($DT80="","",INDEX('Item Purchases'!$B$4:$B$30,$DT80))</f>
        <v>Fuze Tea by Heaven and Earth Jasmine Tea</v>
      </c>
      <c r="CX80" s="336"/>
      <c r="CY80" s="336"/>
      <c r="CZ80" s="336"/>
      <c r="DA80" s="363" t="str">
        <f>IF($DT80="","",INDEX('Item Purchases'!$AM$4:$AM$30,$DT80))</f>
        <v>Beverages</v>
      </c>
      <c r="DB80" s="363"/>
      <c r="DC80" s="363" t="str">
        <f>IF($DT80="","",INDEX('Item Purchases'!$S$4:$S$30,$DT80))</f>
        <v>Tea</v>
      </c>
      <c r="DD80" s="363"/>
      <c r="DE80" s="382">
        <f>IF($DT80="","",INDEX('Item Purchases'!$C$4:$C$30,$DT80))</f>
        <v>0</v>
      </c>
      <c r="DF80" s="382"/>
      <c r="DG80" s="344">
        <f>IF($DT80="","",INDEX('Item Purchases'!$AO$4:$AO$30,$DT80))</f>
        <v>0</v>
      </c>
      <c r="DH80" s="344"/>
      <c r="DI80" s="383">
        <f>IF($DT80="","",INDEX('Item Purchases'!$AQ$4:$AQ$30,$DT80))</f>
        <v>0</v>
      </c>
      <c r="DJ80" s="383"/>
      <c r="DK80" s="384" t="str">
        <f>IF($DT80="","",IF(ISNUMBER(INDEX('Item Purchases'!$AR$4:$AR$30,$DT80)),INDEX('Item Purchases'!$AR$4:$AR$30,$DT80),"n/a"))</f>
        <v>n/a</v>
      </c>
      <c r="DL80" s="384"/>
      <c r="DM80" s="334">
        <f>IF($DT80="","",INDEX('Item Purchases'!$F$4:$F$30,$DT80))</f>
        <v>0</v>
      </c>
      <c r="DN80" s="334"/>
      <c r="DO80" s="382" t="str">
        <f>IF($DT80="","",INDEX('Item Purchases'!$G$4:$G$30,$DT80))</f>
        <v/>
      </c>
      <c r="DP80" s="382"/>
      <c r="DQ80" s="337" t="str">
        <f>IF($DT80="","",INDEX('Item Purchases'!$AS$4:$AS$30,$DT80))</f>
        <v>PHASE OUT</v>
      </c>
      <c r="DR80" s="337"/>
      <c r="DS80" s="337"/>
      <c r="DT80" s="165">
        <f>IFERROR(MATCH(3,$CU$17:$CU$43,0),"")</f>
        <v>23</v>
      </c>
    </row>
    <row r="81" spans="2:124" ht="20.25" customHeight="1" x14ac:dyDescent="0.25">
      <c r="R81" s="346" t="str">
        <f t="shared" si="26"/>
        <v>Oat Side Chocolate 200ml</v>
      </c>
      <c r="S81" s="346"/>
      <c r="T81" s="346"/>
      <c r="U81" s="346"/>
      <c r="V81" s="346"/>
      <c r="W81" s="346"/>
      <c r="X81" s="361">
        <f t="shared" si="27"/>
        <v>1149</v>
      </c>
      <c r="Y81" s="361"/>
      <c r="AA81" s="333"/>
      <c r="CV81" s="134">
        <f>IF($DT81="","",4)</f>
        <v>4</v>
      </c>
      <c r="CW81" s="336" t="str">
        <f>IF($DT81="","",INDEX('Item Purchases'!$B$4:$B$30,$DT81))</f>
        <v>Nescafe Latte 240ml</v>
      </c>
      <c r="CX81" s="336"/>
      <c r="CY81" s="336"/>
      <c r="CZ81" s="336"/>
      <c r="DA81" s="363" t="str">
        <f>IF($DT81="","",INDEX('Item Purchases'!$AM$4:$AM$30,$DT81))</f>
        <v>Beverages</v>
      </c>
      <c r="DB81" s="363"/>
      <c r="DC81" s="363" t="str">
        <f>IF($DT81="","",INDEX('Item Purchases'!$S$4:$S$30,$DT81))</f>
        <v>Coffee</v>
      </c>
      <c r="DD81" s="363"/>
      <c r="DE81" s="382">
        <f>IF($DT81="","",INDEX('Item Purchases'!$C$4:$C$30,$DT81))</f>
        <v>1.8636363636363635</v>
      </c>
      <c r="DF81" s="382"/>
      <c r="DG81" s="344">
        <f>IF($DT81="","",INDEX('Item Purchases'!$AO$4:$AO$30,$DT81))</f>
        <v>9.5179260992187525E-3</v>
      </c>
      <c r="DH81" s="344"/>
      <c r="DI81" s="383">
        <f>IF($DT81="","",INDEX('Item Purchases'!$AQ$4:$AQ$30,$DT81))</f>
        <v>0.14276889148828129</v>
      </c>
      <c r="DJ81" s="383"/>
      <c r="DK81" s="384">
        <f>IF($DT81="","",IF(ISNUMBER(INDEX('Item Purchases'!$AR$4:$AR$30,$DT81)),INDEX('Item Purchases'!$AR$4:$AR$30,$DT81),"n/a"))</f>
        <v>-0.29166666666666663</v>
      </c>
      <c r="DL81" s="384"/>
      <c r="DM81" s="334">
        <f>IF($DT81="","",INDEX('Item Purchases'!$F$4:$F$30,$DT81))</f>
        <v>62</v>
      </c>
      <c r="DN81" s="334"/>
      <c r="DO81" s="382">
        <f>IF($DT81="","",INDEX('Item Purchases'!$G$4:$G$30,$DT81))</f>
        <v>33.268292682926834</v>
      </c>
      <c r="DP81" s="382"/>
      <c r="DQ81" s="337" t="str">
        <f>IF($DT81="","",INDEX('Item Purchases'!$AS$4:$AS$30,$DT81))</f>
        <v>PHASE OUT</v>
      </c>
      <c r="DR81" s="337"/>
      <c r="DS81" s="337"/>
      <c r="DT81" s="165">
        <f>IFERROR(MATCH(4,$CU$17:$CU$43,0),"")</f>
        <v>14</v>
      </c>
    </row>
    <row r="82" spans="2:124" ht="20.25" customHeight="1" x14ac:dyDescent="0.25">
      <c r="R82" s="346" t="str">
        <f t="shared" si="26"/>
        <v>Oat Side Original 200ml</v>
      </c>
      <c r="S82" s="346"/>
      <c r="T82" s="346"/>
      <c r="U82" s="346"/>
      <c r="V82" s="346"/>
      <c r="W82" s="346"/>
      <c r="X82" s="361">
        <f t="shared" si="27"/>
        <v>891</v>
      </c>
      <c r="Y82" s="361"/>
      <c r="AA82" s="333"/>
      <c r="CV82" s="134">
        <f>IF($DT82="","",5)</f>
        <v>5</v>
      </c>
      <c r="CW82" s="336" t="str">
        <f>IF($DT82="","",INDEX('Item Purchases'!$B$4:$B$30,$DT82))</f>
        <v>Julies Butter Waffles</v>
      </c>
      <c r="CX82" s="336"/>
      <c r="CY82" s="336"/>
      <c r="CZ82" s="336"/>
      <c r="DA82" s="363" t="str">
        <f>IF($DT82="","",INDEX('Item Purchases'!$AM$4:$AM$30,$DT82))</f>
        <v>Snacks</v>
      </c>
      <c r="DB82" s="363"/>
      <c r="DC82" s="363" t="str">
        <f>IF($DT82="","",INDEX('Item Purchases'!$S$4:$S$30,$DT82))</f>
        <v>Sweet</v>
      </c>
      <c r="DD82" s="363"/>
      <c r="DE82" s="382">
        <f>IF($DT82="","",INDEX('Item Purchases'!$C$4:$C$30,$DT82))</f>
        <v>1.6842105263157894</v>
      </c>
      <c r="DF82" s="382"/>
      <c r="DG82" s="344">
        <f>IF($DT82="","",INDEX('Item Purchases'!$AO$4:$AO$30,$DT82))</f>
        <v>1.4969635455354761E-2</v>
      </c>
      <c r="DH82" s="344"/>
      <c r="DI82" s="383">
        <f>IF($DT82="","",INDEX('Item Purchases'!$AQ$4:$AQ$30,$DT82))</f>
        <v>0.16466599000890239</v>
      </c>
      <c r="DJ82" s="383"/>
      <c r="DK82" s="384">
        <f>IF($DT82="","",IF(ISNUMBER(INDEX('Item Purchases'!$AR$4:$AR$30,$DT82)),INDEX('Item Purchases'!$AR$4:$AR$30,$DT82),"n/a"))</f>
        <v>-0.51875000000000004</v>
      </c>
      <c r="DL82" s="384"/>
      <c r="DM82" s="334">
        <f>IF($DT82="","",INDEX('Item Purchases'!$F$4:$F$30,$DT82))</f>
        <v>0</v>
      </c>
      <c r="DN82" s="334"/>
      <c r="DO82" s="382">
        <f>IF($DT82="","",INDEX('Item Purchases'!$G$4:$G$30,$DT82))</f>
        <v>0</v>
      </c>
      <c r="DP82" s="382"/>
      <c r="DQ82" s="337" t="str">
        <f>IF($DT82="","",INDEX('Item Purchases'!$AS$4:$AS$30,$DT82))</f>
        <v>PHASE OUT</v>
      </c>
      <c r="DR82" s="337"/>
      <c r="DS82" s="337"/>
      <c r="DT82" s="165">
        <f>IFERROR(MATCH(5,$CU$17:$CU$43,0),"")</f>
        <v>2</v>
      </c>
    </row>
    <row r="83" spans="2:124" ht="20.25" customHeight="1" x14ac:dyDescent="0.25">
      <c r="R83" s="346" t="str">
        <f t="shared" si="26"/>
        <v>Spritzer sparkling water (original) 400ml</v>
      </c>
      <c r="S83" s="346"/>
      <c r="T83" s="346"/>
      <c r="U83" s="346"/>
      <c r="V83" s="346"/>
      <c r="W83" s="346"/>
      <c r="X83" s="361">
        <f t="shared" si="27"/>
        <v>853.59999999999991</v>
      </c>
      <c r="Y83" s="361"/>
      <c r="AA83" s="333"/>
      <c r="CV83" s="134">
        <f>IF($DT83="","",6)</f>
        <v>6</v>
      </c>
      <c r="CW83" s="336" t="str">
        <f>IF($DT83="","",INDEX('Item Purchases'!$B$4:$B$30,$DT83))</f>
        <v>Nescafe original 240ml</v>
      </c>
      <c r="CX83" s="336"/>
      <c r="CY83" s="336"/>
      <c r="CZ83" s="336"/>
      <c r="DA83" s="363" t="str">
        <f>IF($DT83="","",INDEX('Item Purchases'!$AM$4:$AM$30,$DT83))</f>
        <v>Beverages</v>
      </c>
      <c r="DB83" s="363"/>
      <c r="DC83" s="363" t="str">
        <f>IF($DT83="","",INDEX('Item Purchases'!$S$4:$S$30,$DT83))</f>
        <v>Coffee</v>
      </c>
      <c r="DD83" s="363"/>
      <c r="DE83" s="382">
        <f>IF($DT83="","",INDEX('Item Purchases'!$C$4:$C$30,$DT83))</f>
        <v>2.8636363636363638</v>
      </c>
      <c r="DF83" s="382"/>
      <c r="DG83" s="344">
        <f>IF($DT83="","",INDEX('Item Purchases'!$AO$4:$AO$30,$DT83))</f>
        <v>1.4625105957336133E-2</v>
      </c>
      <c r="DH83" s="344"/>
      <c r="DI83" s="383">
        <f>IF($DT83="","",INDEX('Item Purchases'!$AQ$4:$AQ$30,$DT83))</f>
        <v>0.21937658936004198</v>
      </c>
      <c r="DJ83" s="383"/>
      <c r="DK83" s="384">
        <f>IF($DT83="","",IF(ISNUMBER(INDEX('Item Purchases'!$AR$4:$AR$30,$DT83)),INDEX('Item Purchases'!$AR$4:$AR$30,$DT83),"n/a"))</f>
        <v>0.1724137931034484</v>
      </c>
      <c r="DL83" s="384"/>
      <c r="DM83" s="334">
        <f>IF($DT83="","",INDEX('Item Purchases'!$F$4:$F$30,$DT83))</f>
        <v>63</v>
      </c>
      <c r="DN83" s="334"/>
      <c r="DO83" s="382">
        <f>IF($DT83="","",INDEX('Item Purchases'!$G$4:$G$30,$DT83))</f>
        <v>22</v>
      </c>
      <c r="DP83" s="382"/>
      <c r="DQ83" s="337" t="str">
        <f>IF($DT83="","",INDEX('Item Purchases'!$AS$4:$AS$30,$DT83))</f>
        <v>REVIEW</v>
      </c>
      <c r="DR83" s="337"/>
      <c r="DS83" s="337"/>
      <c r="DT83" s="165">
        <f>IFERROR(MATCH(6,$CU$17:$CU$43,0),"")</f>
        <v>15</v>
      </c>
    </row>
    <row r="84" spans="2:124" ht="20.25" customHeight="1" x14ac:dyDescent="0.25">
      <c r="R84" s="346" t="str">
        <f t="shared" si="26"/>
        <v>Ayataka Tea 300ml</v>
      </c>
      <c r="S84" s="346"/>
      <c r="T84" s="346"/>
      <c r="U84" s="346"/>
      <c r="V84" s="346"/>
      <c r="W84" s="346"/>
      <c r="X84" s="361">
        <f t="shared" si="27"/>
        <v>712.25</v>
      </c>
      <c r="Y84" s="361"/>
      <c r="AA84" s="333"/>
      <c r="CV84" s="134">
        <f>IF($DT84="","",7)</f>
        <v>7</v>
      </c>
      <c r="CW84" s="336" t="str">
        <f>IF($DT84="","",INDEX('Item Purchases'!$B$4:$B$30,$DT84))</f>
        <v>Lays Potato Chips (Original) 50g</v>
      </c>
      <c r="CX84" s="336"/>
      <c r="CY84" s="336"/>
      <c r="CZ84" s="336"/>
      <c r="DA84" s="363" t="str">
        <f>IF($DT84="","",INDEX('Item Purchases'!$AM$4:$AM$30,$DT84))</f>
        <v>Snacks</v>
      </c>
      <c r="DB84" s="363"/>
      <c r="DC84" s="363" t="str">
        <f>IF($DT84="","",INDEX('Item Purchases'!$S$4:$S$30,$DT84))</f>
        <v>Savoury</v>
      </c>
      <c r="DD84" s="363"/>
      <c r="DE84" s="382">
        <f>IF($DT84="","",INDEX('Item Purchases'!$C$4:$C$30,$DT84))</f>
        <v>3.8636363636363638</v>
      </c>
      <c r="DF84" s="382"/>
      <c r="DG84" s="344">
        <f>IF($DT84="","",INDEX('Item Purchases'!$AO$4:$AO$30,$DT84))</f>
        <v>3.4340854063065258E-2</v>
      </c>
      <c r="DH84" s="344"/>
      <c r="DI84" s="383">
        <f>IF($DT84="","",INDEX('Item Purchases'!$AQ$4:$AQ$30,$DT84))</f>
        <v>0.37774939469371788</v>
      </c>
      <c r="DJ84" s="383"/>
      <c r="DK84" s="384">
        <f>IF($DT84="","",IF(ISNUMBER(INDEX('Item Purchases'!$AR$4:$AR$30,$DT84)),INDEX('Item Purchases'!$AR$4:$AR$30,$DT84),"n/a"))</f>
        <v>2.3809523809523725E-2</v>
      </c>
      <c r="DL84" s="384"/>
      <c r="DM84" s="334">
        <f>IF($DT84="","",INDEX('Item Purchases'!$F$4:$F$30,$DT84))</f>
        <v>20</v>
      </c>
      <c r="DN84" s="334"/>
      <c r="DO84" s="382">
        <f>IF($DT84="","",INDEX('Item Purchases'!$G$4:$G$30,$DT84))</f>
        <v>5.1764705882352944</v>
      </c>
      <c r="DP84" s="382"/>
      <c r="DQ84" s="337" t="str">
        <f>IF($DT84="","",INDEX('Item Purchases'!$AS$4:$AS$30,$DT84))</f>
        <v>REVIEW</v>
      </c>
      <c r="DR84" s="337"/>
      <c r="DS84" s="337"/>
      <c r="DT84" s="165">
        <f>IFERROR(MATCH(7,$CU$17:$CU$43,0),"")</f>
        <v>8</v>
      </c>
    </row>
    <row r="85" spans="2:124" ht="20.25" customHeight="1" x14ac:dyDescent="0.25">
      <c r="R85" s="346" t="str">
        <f t="shared" si="26"/>
        <v>Oolong Tea 300ml</v>
      </c>
      <c r="S85" s="346"/>
      <c r="T85" s="346"/>
      <c r="U85" s="346"/>
      <c r="V85" s="346"/>
      <c r="W85" s="346"/>
      <c r="X85" s="361">
        <f t="shared" si="27"/>
        <v>579.25</v>
      </c>
      <c r="Y85" s="361"/>
      <c r="AA85" s="333"/>
      <c r="CV85" s="134">
        <f>IF($DT85="","",8)</f>
        <v>8</v>
      </c>
      <c r="CW85" s="336" t="str">
        <f>IF($DT85="","",INDEX('Item Purchases'!$B$4:$B$30,$DT85))</f>
        <v>BingRae Banana Milk 200ml</v>
      </c>
      <c r="CX85" s="336"/>
      <c r="CY85" s="336"/>
      <c r="CZ85" s="336"/>
      <c r="DA85" s="363" t="str">
        <f>IF($DT85="","",INDEX('Item Purchases'!$AM$4:$AM$30,$DT85))</f>
        <v>Beverages</v>
      </c>
      <c r="DB85" s="363"/>
      <c r="DC85" s="363" t="str">
        <f>IF($DT85="","",INDEX('Item Purchases'!$S$4:$S$30,$DT85))</f>
        <v>Other</v>
      </c>
      <c r="DD85" s="363"/>
      <c r="DE85" s="382">
        <f>IF($DT85="","",INDEX('Item Purchases'!$C$4:$C$30,$DT85))</f>
        <v>7.6875</v>
      </c>
      <c r="DF85" s="382"/>
      <c r="DG85" s="344">
        <f>IF($DT85="","",INDEX('Item Purchases'!$AO$4:$AO$30,$DT85))</f>
        <v>3.9261445159277354E-2</v>
      </c>
      <c r="DH85" s="344"/>
      <c r="DI85" s="383">
        <f>IF($DT85="","",INDEX('Item Purchases'!$AQ$4:$AQ$30,$DT85))</f>
        <v>0.58892167738916035</v>
      </c>
      <c r="DJ85" s="383"/>
      <c r="DK85" s="384">
        <f>IF($DT85="","",IF(ISNUMBER(INDEX('Item Purchases'!$AR$4:$AR$30,$DT85)),INDEX('Item Purchases'!$AR$4:$AR$30,$DT85),"n/a"))</f>
        <v>0.15094339622641506</v>
      </c>
      <c r="DL85" s="384"/>
      <c r="DM85" s="334">
        <f>IF($DT85="","",INDEX('Item Purchases'!$F$4:$F$30,$DT85))</f>
        <v>44</v>
      </c>
      <c r="DN85" s="334"/>
      <c r="DO85" s="382">
        <f>IF($DT85="","",INDEX('Item Purchases'!$G$4:$G$30,$DT85))</f>
        <v>5.7235772357723578</v>
      </c>
      <c r="DP85" s="382"/>
      <c r="DQ85" s="337" t="str">
        <f>IF($DT85="","",INDEX('Item Purchases'!$AS$4:$AS$30,$DT85))</f>
        <v>KEEP</v>
      </c>
      <c r="DR85" s="337"/>
      <c r="DS85" s="337"/>
      <c r="DT85" s="165">
        <f>IFERROR(MATCH(8,$CU$17:$CU$43,0),"")</f>
        <v>22</v>
      </c>
    </row>
    <row r="86" spans="2:124" ht="20.25" customHeight="1" x14ac:dyDescent="0.25">
      <c r="R86" s="346" t="str">
        <f t="shared" si="26"/>
        <v>Milo 200ml</v>
      </c>
      <c r="S86" s="346"/>
      <c r="T86" s="346"/>
      <c r="U86" s="346"/>
      <c r="V86" s="346"/>
      <c r="W86" s="346"/>
      <c r="X86" s="361">
        <f t="shared" si="27"/>
        <v>530.88</v>
      </c>
      <c r="Y86" s="361"/>
      <c r="AA86" s="333"/>
      <c r="CV86" s="134">
        <f>IF($DT86="","",9)</f>
        <v>9</v>
      </c>
      <c r="CW86" s="336" t="str">
        <f>IF($DT86="","",INDEX('Item Purchases'!$B$4:$B$30,$DT86))</f>
        <v>Julies Cheese Sandwich (28G)</v>
      </c>
      <c r="CX86" s="336"/>
      <c r="CY86" s="336"/>
      <c r="CZ86" s="336"/>
      <c r="DA86" s="363" t="str">
        <f>IF($DT86="","",INDEX('Item Purchases'!$AM$4:$AM$30,$DT86))</f>
        <v>Snacks</v>
      </c>
      <c r="DB86" s="363"/>
      <c r="DC86" s="363" t="str">
        <f>IF($DT86="","",INDEX('Item Purchases'!$S$4:$S$30,$DT86))</f>
        <v>Savoury</v>
      </c>
      <c r="DD86" s="363"/>
      <c r="DE86" s="382">
        <f>IF($DT86="","",INDEX('Item Purchases'!$C$4:$C$30,$DT86))</f>
        <v>6.45</v>
      </c>
      <c r="DF86" s="382"/>
      <c r="DG86" s="344">
        <f>IF($DT86="","",INDEX('Item Purchases'!$AO$4:$AO$30,$DT86))</f>
        <v>5.7329025782928943E-2</v>
      </c>
      <c r="DH86" s="344"/>
      <c r="DI86" s="383">
        <f>IF($DT86="","",INDEX('Item Purchases'!$AQ$4:$AQ$30,$DT86))</f>
        <v>0.63061928361221842</v>
      </c>
      <c r="DJ86" s="383"/>
      <c r="DK86" s="384">
        <f>IF($DT86="","",IF(ISNUMBER(INDEX('Item Purchases'!$AR$4:$AR$30,$DT86)),INDEX('Item Purchases'!$AR$4:$AR$30,$DT86),"n/a"))</f>
        <v>-9.2063492063492069E-2</v>
      </c>
      <c r="DL86" s="384"/>
      <c r="DM86" s="334">
        <f>IF($DT86="","",INDEX('Item Purchases'!$F$4:$F$30,$DT86))</f>
        <v>54</v>
      </c>
      <c r="DN86" s="334"/>
      <c r="DO86" s="382">
        <f>IF($DT86="","",INDEX('Item Purchases'!$G$4:$G$30,$DT86))</f>
        <v>8.3720930232558128</v>
      </c>
      <c r="DP86" s="382"/>
      <c r="DQ86" s="337" t="str">
        <f>IF($DT86="","",INDEX('Item Purchases'!$AS$4:$AS$30,$DT86))</f>
        <v>KEEP</v>
      </c>
      <c r="DR86" s="337"/>
      <c r="DS86" s="337"/>
      <c r="DT86" s="165">
        <f>IFERROR(MATCH(9,$CU$17:$CU$43,0),"")</f>
        <v>4</v>
      </c>
    </row>
    <row r="87" spans="2:124" ht="20.25" customHeight="1" x14ac:dyDescent="0.25">
      <c r="R87" s="346" t="str">
        <f t="shared" si="26"/>
        <v>BingRae Banana Milk 200ml</v>
      </c>
      <c r="S87" s="346"/>
      <c r="T87" s="346"/>
      <c r="U87" s="346"/>
      <c r="V87" s="346"/>
      <c r="W87" s="346"/>
      <c r="X87" s="361">
        <f t="shared" si="27"/>
        <v>407.86799999999999</v>
      </c>
      <c r="Y87" s="361"/>
      <c r="AA87" s="333"/>
      <c r="CV87" s="134">
        <f>IF($DT87="","",10)</f>
        <v>10</v>
      </c>
      <c r="CW87" s="336" t="str">
        <f>IF($DT87="","",INDEX('Item Purchases'!$B$4:$B$30,$DT87))</f>
        <v>COKE ZERO  325ML</v>
      </c>
      <c r="CX87" s="336"/>
      <c r="CY87" s="336"/>
      <c r="CZ87" s="336"/>
      <c r="DA87" s="363" t="str">
        <f>IF($DT87="","",INDEX('Item Purchases'!$AM$4:$AM$30,$DT87))</f>
        <v>Beverages</v>
      </c>
      <c r="DB87" s="363"/>
      <c r="DC87" s="363" t="str">
        <f>IF($DT87="","",INDEX('Item Purchases'!$S$4:$S$30,$DT87))</f>
        <v>Other</v>
      </c>
      <c r="DD87" s="363"/>
      <c r="DE87" s="382">
        <f>IF($DT87="","",INDEX('Item Purchases'!$C$4:$C$30,$DT87))</f>
        <v>8.4090909090909083</v>
      </c>
      <c r="DF87" s="382"/>
      <c r="DG87" s="344">
        <f>IF($DT87="","",INDEX('Item Purchases'!$AO$4:$AO$30,$DT87))</f>
        <v>4.2946739715987052E-2</v>
      </c>
      <c r="DH87" s="344"/>
      <c r="DI87" s="383">
        <f>IF($DT87="","",INDEX('Item Purchases'!$AQ$4:$AQ$30,$DT87))</f>
        <v>0.64420109573980577</v>
      </c>
      <c r="DJ87" s="383"/>
      <c r="DK87" s="384">
        <f>IF($DT87="","",IF(ISNUMBER(INDEX('Item Purchases'!$AR$4:$AR$30,$DT87)),INDEX('Item Purchases'!$AR$4:$AR$30,$DT87),"n/a"))</f>
        <v>-5.2631578947368474E-2</v>
      </c>
      <c r="DL87" s="384"/>
      <c r="DM87" s="334">
        <f>IF($DT87="","",INDEX('Item Purchases'!$F$4:$F$30,$DT87))</f>
        <v>62</v>
      </c>
      <c r="DN87" s="334"/>
      <c r="DO87" s="382">
        <f>IF($DT87="","",INDEX('Item Purchases'!$G$4:$G$30,$DT87))</f>
        <v>7.372972972972974</v>
      </c>
      <c r="DP87" s="382"/>
      <c r="DQ87" s="337" t="str">
        <f>IF($DT87="","",INDEX('Item Purchases'!$AS$4:$AS$30,$DT87))</f>
        <v>KEEP</v>
      </c>
      <c r="DR87" s="337"/>
      <c r="DS87" s="337"/>
      <c r="DT87" s="165">
        <f>IFERROR(MATCH(10,$CU$17:$CU$43,0),"")</f>
        <v>18</v>
      </c>
    </row>
    <row r="88" spans="2:124" ht="15" customHeight="1" x14ac:dyDescent="0.25">
      <c r="AA88" s="333"/>
      <c r="CV88" s="127" t="str">
        <f>"Preference index = average daily use while in stock / average of the active items in the same category (1.0 = average; "&amp;TEXT('Item Purchases'!$E$62,"0.0#")&amp;" or below counts as low). Trend = second half of the counted days vs the first half."</f>
        <v>Preference index = average daily use while in stock / average of the active items in the same category (1.0 = average; 0.5 or below counts as low). Trend = second half of the counted days vs the first half.</v>
      </c>
    </row>
    <row r="89" spans="2:124" x14ac:dyDescent="0.25">
      <c r="AA89" s="333"/>
      <c r="CV89" s="127" t="str">
        <f>"PHASE OUT = low preference and trend at or below "&amp;TEXT('Item Purchases'!$E$63,"0%")&amp;" (or no use at all). REVIEW = low preference or a falling trend. Fewer than "&amp;'Item Purchases'!$E$64&amp;" counted days = NEED MORE DATA. Cut-offs: Item Purchases E62:E64."</f>
        <v>PHASE OUT = low preference and trend at or below -20% (or no use at all). REVIEW = low preference or a falling trend. Fewer than 6 counted days = NEED MORE DATA. Cut-offs: Item Purchases E62:E64.</v>
      </c>
    </row>
    <row r="90" spans="2:124" ht="21.95" customHeight="1" x14ac:dyDescent="0.25">
      <c r="B90" s="123" t="str">
        <f>"DEMAND VARIABILITY &amp; SAFETY STOCK  -  "&amp;'Item Purchases'!$E$51&amp;"-day lead time, "&amp;TEXT('Item Purchases'!$E$52,"0%")&amp;" service level   (settings: Item Purchases E51:E55)"</f>
        <v>DEMAND VARIABILITY &amp; SAFETY STOCK  -  5-day lead time, 95% service level   (settings: Item Purchases E51:E55)</v>
      </c>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AA90" s="333"/>
    </row>
    <row r="91" spans="2:124" ht="15" customHeight="1" x14ac:dyDescent="0.25">
      <c r="B91" s="364" t="s">
        <v>110</v>
      </c>
      <c r="C91" s="364"/>
      <c r="D91" s="364"/>
      <c r="E91" s="364"/>
      <c r="F91" s="364"/>
      <c r="G91" s="364"/>
      <c r="H91" s="364"/>
      <c r="I91" s="364"/>
      <c r="J91" s="364" t="s">
        <v>111</v>
      </c>
      <c r="K91" s="364"/>
      <c r="L91" s="364"/>
      <c r="M91" s="364"/>
      <c r="N91" s="364"/>
      <c r="O91" s="364"/>
      <c r="P91" s="364"/>
      <c r="Q91" s="364"/>
      <c r="R91" s="364"/>
      <c r="S91" s="364"/>
      <c r="T91" s="364"/>
      <c r="U91" s="364"/>
      <c r="V91" s="364"/>
      <c r="W91" s="364"/>
      <c r="X91" s="364"/>
      <c r="Y91" s="364"/>
      <c r="AA91" s="333"/>
    </row>
    <row r="92" spans="2:124" ht="27.95" customHeight="1" x14ac:dyDescent="0.25">
      <c r="B92" s="342" t="s">
        <v>112</v>
      </c>
      <c r="C92" s="342"/>
      <c r="D92" s="342" t="s">
        <v>113</v>
      </c>
      <c r="E92" s="342"/>
      <c r="F92" s="342" t="s">
        <v>114</v>
      </c>
      <c r="G92" s="342"/>
      <c r="H92" s="342" t="s">
        <v>115</v>
      </c>
      <c r="I92" s="342"/>
      <c r="J92" s="133" t="s">
        <v>72</v>
      </c>
      <c r="K92" s="342" t="s">
        <v>37</v>
      </c>
      <c r="L92" s="342"/>
      <c r="M92" s="342"/>
      <c r="N92" s="342"/>
      <c r="O92" s="342"/>
      <c r="P92" s="133" t="s">
        <v>73</v>
      </c>
      <c r="Q92" s="133" t="s">
        <v>116</v>
      </c>
      <c r="R92" s="342" t="s">
        <v>75</v>
      </c>
      <c r="S92" s="342"/>
      <c r="T92" s="342" t="s">
        <v>117</v>
      </c>
      <c r="U92" s="342"/>
      <c r="V92" s="342" t="s">
        <v>118</v>
      </c>
      <c r="W92" s="342"/>
      <c r="X92" s="342" t="s">
        <v>119</v>
      </c>
      <c r="Y92" s="342"/>
      <c r="AA92" s="333"/>
    </row>
    <row r="93" spans="2:124" ht="15" customHeight="1" x14ac:dyDescent="0.25">
      <c r="B93" s="354" t="s">
        <v>50</v>
      </c>
      <c r="C93" s="337"/>
      <c r="D93" s="347">
        <f>COUNTIFS('Item Purchases'!$AC$4:$AC$30,"A",'Item Purchases'!$AF$4:$AF$30,"X",'Item Purchases'!$W$4:$W$30,1)</f>
        <v>7</v>
      </c>
      <c r="E93" s="347"/>
      <c r="F93" s="347">
        <f>COUNTIFS('Item Purchases'!$AC$4:$AC$30,"A",'Item Purchases'!$AF$4:$AF$30,"Y",'Item Purchases'!$W$4:$W$30,1)</f>
        <v>4</v>
      </c>
      <c r="G93" s="347"/>
      <c r="H93" s="347">
        <f>COUNTIFS('Item Purchases'!$AC$4:$AC$30,"A",'Item Purchases'!$AF$4:$AF$30,"Z",'Item Purchases'!$W$4:$W$30,1)</f>
        <v>0</v>
      </c>
      <c r="I93" s="347"/>
      <c r="J93" s="134">
        <v>1</v>
      </c>
      <c r="K93" s="336" t="str">
        <f>IFERROR(INDEX('Item Purchases'!$B$4:$B$30,MATCH(1,'Item Purchases'!$AK$4:$AK$30,0)),"No items below their reorder point")</f>
        <v>Oat Side Chocolate 200ml</v>
      </c>
      <c r="L93" s="336"/>
      <c r="M93" s="336"/>
      <c r="N93" s="336"/>
      <c r="O93" s="336"/>
      <c r="P93" s="135" t="str">
        <f>IFERROR(INDEX('Item Purchases'!$AC$4:$AC$30,MATCH(1,'Item Purchases'!$AK$4:$AK$30,0)),"")</f>
        <v>A</v>
      </c>
      <c r="Q93" s="135" t="str">
        <f>IFERROR(INDEX('Item Purchases'!$AF$4:$AF$30,MATCH(1,'Item Purchases'!$AK$4:$AK$30,0)),"")</f>
        <v>Y</v>
      </c>
      <c r="R93" s="334">
        <f>IFERROR(INDEX('Item Purchases'!$F$4:$F$30,MATCH(1,'Item Purchases'!$AK$4:$AK$30,0)),"")</f>
        <v>19</v>
      </c>
      <c r="S93" s="334"/>
      <c r="T93" s="334">
        <f>IFERROR(INDEX('Item Purchases'!$AH$4:$AH$30,MATCH(1,'Item Purchases'!$AK$4:$AK$30,0)),"")</f>
        <v>144.21904530321251</v>
      </c>
      <c r="U93" s="334"/>
      <c r="V93" s="334">
        <f>IFERROR(INDEX('Item Purchases'!$AG$4:$AG$30,MATCH(1,'Item Purchases'!$AK$4:$AK$30,0)),"")</f>
        <v>43.42957161900199</v>
      </c>
      <c r="W93" s="334"/>
      <c r="X93" s="334">
        <f>IFERROR(INDEX('Item Purchases'!$AJ$4:$AJ$30,MATCH(1,'Item Purchases'!$AK$4:$AK$30,0)),"")</f>
        <v>125.21904530321251</v>
      </c>
      <c r="Y93" s="334"/>
      <c r="AA93" s="333"/>
    </row>
    <row r="94" spans="2:124" ht="15" customHeight="1" x14ac:dyDescent="0.25">
      <c r="B94" s="354" t="s">
        <v>53</v>
      </c>
      <c r="C94" s="337"/>
      <c r="D94" s="347">
        <f>COUNTIFS('Item Purchases'!$AC$4:$AC$30,"B",'Item Purchases'!$AF$4:$AF$30,"X",'Item Purchases'!$W$4:$W$30,1)</f>
        <v>0</v>
      </c>
      <c r="E94" s="347"/>
      <c r="F94" s="347">
        <f>COUNTIFS('Item Purchases'!$AC$4:$AC$30,"B",'Item Purchases'!$AF$4:$AF$30,"Y",'Item Purchases'!$W$4:$W$30,1)</f>
        <v>7</v>
      </c>
      <c r="G94" s="347"/>
      <c r="H94" s="347">
        <f>COUNTIFS('Item Purchases'!$AC$4:$AC$30,"B",'Item Purchases'!$AF$4:$AF$30,"Z",'Item Purchases'!$W$4:$W$30,1)</f>
        <v>0</v>
      </c>
      <c r="I94" s="347"/>
      <c r="J94" s="134">
        <v>2</v>
      </c>
      <c r="K94" s="336" t="str">
        <f>IFERROR(INDEX('Item Purchases'!$B$4:$B$30,MATCH(2,'Item Purchases'!$AK$4:$AK$30,0)),"")</f>
        <v>Ayataka Tea 300ml</v>
      </c>
      <c r="L94" s="336"/>
      <c r="M94" s="336"/>
      <c r="N94" s="336"/>
      <c r="O94" s="336"/>
      <c r="P94" s="135" t="str">
        <f>IFERROR(INDEX('Item Purchases'!$AC$4:$AC$30,MATCH(2,'Item Purchases'!$AK$4:$AK$30,0)),"")</f>
        <v>A</v>
      </c>
      <c r="Q94" s="135" t="str">
        <f>IFERROR(INDEX('Item Purchases'!$AF$4:$AF$30,MATCH(2,'Item Purchases'!$AK$4:$AK$30,0)),"")</f>
        <v>X</v>
      </c>
      <c r="R94" s="334">
        <f>IFERROR(INDEX('Item Purchases'!$F$4:$F$30,MATCH(2,'Item Purchases'!$AK$4:$AK$30,0)),"")</f>
        <v>85</v>
      </c>
      <c r="S94" s="334"/>
      <c r="T94" s="334">
        <f>IFERROR(INDEX('Item Purchases'!$AH$4:$AH$30,MATCH(2,'Item Purchases'!$AK$4:$AK$30,0)),"")</f>
        <v>208.68317528171542</v>
      </c>
      <c r="U94" s="334"/>
      <c r="V94" s="334">
        <f>IFERROR(INDEX('Item Purchases'!$AG$4:$AG$30,MATCH(2,'Item Purchases'!$AK$4:$AK$30,0)),"")</f>
        <v>52.14471374325386</v>
      </c>
      <c r="W94" s="334"/>
      <c r="X94" s="334">
        <f>IFERROR(INDEX('Item Purchases'!$AJ$4:$AJ$30,MATCH(2,'Item Purchases'!$AK$4:$AK$30,0)),"")</f>
        <v>123.68317528171542</v>
      </c>
      <c r="Y94" s="334"/>
      <c r="AA94" s="333"/>
    </row>
    <row r="95" spans="2:124" ht="15" customHeight="1" x14ac:dyDescent="0.25">
      <c r="B95" s="354" t="s">
        <v>56</v>
      </c>
      <c r="C95" s="337"/>
      <c r="D95" s="347">
        <f>COUNTIFS('Item Purchases'!$AC$4:$AC$30,"C",'Item Purchases'!$AF$4:$AF$30,"X",'Item Purchases'!$W$4:$W$30,1)</f>
        <v>1</v>
      </c>
      <c r="E95" s="347"/>
      <c r="F95" s="347">
        <f>COUNTIFS('Item Purchases'!$AC$4:$AC$30,"C",'Item Purchases'!$AF$4:$AF$30,"Y",'Item Purchases'!$W$4:$W$30,1)</f>
        <v>4</v>
      </c>
      <c r="G95" s="347"/>
      <c r="H95" s="347">
        <f>COUNTIFS('Item Purchases'!$AC$4:$AC$30,"C",'Item Purchases'!$AF$4:$AF$30,"Z",'Item Purchases'!$W$4:$W$30,1)</f>
        <v>0</v>
      </c>
      <c r="I95" s="347"/>
      <c r="J95" s="134">
        <v>3</v>
      </c>
      <c r="K95" s="336" t="str">
        <f>IFERROR(INDEX('Item Purchases'!$B$4:$B$30,MATCH(3,'Item Purchases'!$AK$4:$AK$30,0)),"")</f>
        <v>Munchy Oat Krunch - Dark Choco</v>
      </c>
      <c r="L95" s="336"/>
      <c r="M95" s="336"/>
      <c r="N95" s="336"/>
      <c r="O95" s="336"/>
      <c r="P95" s="135" t="str">
        <f>IFERROR(INDEX('Item Purchases'!$AC$4:$AC$30,MATCH(3,'Item Purchases'!$AK$4:$AK$30,0)),"")</f>
        <v>B</v>
      </c>
      <c r="Q95" s="135" t="str">
        <f>IFERROR(INDEX('Item Purchases'!$AF$4:$AF$30,MATCH(3,'Item Purchases'!$AK$4:$AK$30,0)),"")</f>
        <v>Y</v>
      </c>
      <c r="R95" s="334">
        <f>IFERROR(INDEX('Item Purchases'!$F$4:$F$30,MATCH(3,'Item Purchases'!$AK$4:$AK$30,0)),"")</f>
        <v>45</v>
      </c>
      <c r="S95" s="334"/>
      <c r="T95" s="334">
        <f>IFERROR(INDEX('Item Purchases'!$AH$4:$AH$30,MATCH(3,'Item Purchases'!$AK$4:$AK$30,0)),"")</f>
        <v>123.30672730051366</v>
      </c>
      <c r="U95" s="334"/>
      <c r="V95" s="334">
        <f>IFERROR(INDEX('Item Purchases'!$AG$4:$AG$30,MATCH(3,'Item Purchases'!$AK$4:$AK$30,0)),"")</f>
        <v>44.140060633846986</v>
      </c>
      <c r="W95" s="334"/>
      <c r="X95" s="334">
        <f>IFERROR(INDEX('Item Purchases'!$AJ$4:$AJ$30,MATCH(3,'Item Purchases'!$AK$4:$AK$30,0)),"")</f>
        <v>78.306727300513657</v>
      </c>
      <c r="Y95" s="334"/>
      <c r="AA95" s="333"/>
    </row>
    <row r="96" spans="2:124" ht="15" customHeight="1" x14ac:dyDescent="0.25">
      <c r="B96" s="358" t="str">
        <f>"XYZ by variability (CV = std dev / average daily use):  X &lt;= "&amp;TEXT('Item Purchases'!$E$53,"0.0")&amp;",  Y &lt;= "&amp;TEXT('Item Purchases'!$E$54,"0.0")&amp;",  Z above.  AZ = high value and unpredictable - hold extra stock."</f>
        <v>XYZ by variability (CV = std dev / average daily use):  X &lt;= 0.5,  Y &lt;= 1.0,  Z above.  AZ = high value and unpredictable - hold extra stock.</v>
      </c>
      <c r="C96" s="359"/>
      <c r="D96" s="359"/>
      <c r="E96" s="359"/>
      <c r="F96" s="359"/>
      <c r="G96" s="359"/>
      <c r="H96" s="359"/>
      <c r="I96" s="359"/>
      <c r="J96" s="134">
        <v>4</v>
      </c>
      <c r="K96" s="336" t="str">
        <f>IFERROR(INDEX('Item Purchases'!$B$4:$B$30,MATCH(4,'Item Purchases'!$AK$4:$AK$30,0)),"")</f>
        <v>Vsoy Soya Bean  250ml</v>
      </c>
      <c r="L96" s="336"/>
      <c r="M96" s="336"/>
      <c r="N96" s="336"/>
      <c r="O96" s="336"/>
      <c r="P96" s="135" t="str">
        <f>IFERROR(INDEX('Item Purchases'!$AC$4:$AC$30,MATCH(4,'Item Purchases'!$AK$4:$AK$30,0)),"")</f>
        <v>A</v>
      </c>
      <c r="Q96" s="135" t="str">
        <f>IFERROR(INDEX('Item Purchases'!$AF$4:$AF$30,MATCH(4,'Item Purchases'!$AK$4:$AK$30,0)),"")</f>
        <v>X</v>
      </c>
      <c r="R96" s="334">
        <f>IFERROR(INDEX('Item Purchases'!$F$4:$F$30,MATCH(4,'Item Purchases'!$AK$4:$AK$30,0)),"")</f>
        <v>27</v>
      </c>
      <c r="S96" s="334"/>
      <c r="T96" s="334">
        <f>IFERROR(INDEX('Item Purchases'!$AH$4:$AH$30,MATCH(4,'Item Purchases'!$AK$4:$AK$30,0)),"")</f>
        <v>101.57696054823009</v>
      </c>
      <c r="U96" s="334"/>
      <c r="V96" s="334">
        <f>IFERROR(INDEX('Item Purchases'!$AG$4:$AG$30,MATCH(4,'Item Purchases'!$AK$4:$AK$30,0)),"")</f>
        <v>21.871078195288923</v>
      </c>
      <c r="W96" s="334"/>
      <c r="X96" s="334">
        <f>IFERROR(INDEX('Item Purchases'!$AJ$4:$AJ$30,MATCH(4,'Item Purchases'!$AK$4:$AK$30,0)),"")</f>
        <v>74.57696054823009</v>
      </c>
      <c r="Y96" s="334"/>
      <c r="AA96" s="333"/>
    </row>
    <row r="97" spans="2:27" ht="15" customHeight="1" x14ac:dyDescent="0.25">
      <c r="B97" s="359"/>
      <c r="C97" s="359"/>
      <c r="D97" s="359"/>
      <c r="E97" s="359"/>
      <c r="F97" s="359"/>
      <c r="G97" s="359"/>
      <c r="H97" s="359"/>
      <c r="I97" s="359"/>
      <c r="J97" s="134">
        <v>5</v>
      </c>
      <c r="K97" s="336" t="str">
        <f>IFERROR(INDEX('Item Purchases'!$B$4:$B$30,MATCH(5,'Item Purchases'!$AK$4:$AK$30,0)),"")</f>
        <v>Milo 200ml</v>
      </c>
      <c r="L97" s="336"/>
      <c r="M97" s="336"/>
      <c r="N97" s="336"/>
      <c r="O97" s="336"/>
      <c r="P97" s="135" t="str">
        <f>IFERROR(INDEX('Item Purchases'!$AC$4:$AC$30,MATCH(5,'Item Purchases'!$AK$4:$AK$30,0)),"")</f>
        <v>A</v>
      </c>
      <c r="Q97" s="135" t="str">
        <f>IFERROR(INDEX('Item Purchases'!$AF$4:$AF$30,MATCH(5,'Item Purchases'!$AK$4:$AK$30,0)),"")</f>
        <v>Y</v>
      </c>
      <c r="R97" s="334">
        <f>IFERROR(INDEX('Item Purchases'!$F$4:$F$30,MATCH(5,'Item Purchases'!$AK$4:$AK$30,0)),"")</f>
        <v>51</v>
      </c>
      <c r="S97" s="334"/>
      <c r="T97" s="334">
        <f>IFERROR(INDEX('Item Purchases'!$AH$4:$AH$30,MATCH(5,'Item Purchases'!$AK$4:$AK$30,0)),"")</f>
        <v>100.76873001894758</v>
      </c>
      <c r="U97" s="334"/>
      <c r="V97" s="334">
        <f>IFERROR(INDEX('Item Purchases'!$AG$4:$AG$30,MATCH(5,'Item Purchases'!$AK$4:$AK$30,0)),"")</f>
        <v>30.768730018947583</v>
      </c>
      <c r="W97" s="334"/>
      <c r="X97" s="334">
        <f>IFERROR(INDEX('Item Purchases'!$AJ$4:$AJ$30,MATCH(5,'Item Purchases'!$AK$4:$AK$30,0)),"")</f>
        <v>49.768730018947579</v>
      </c>
      <c r="Y97" s="334"/>
      <c r="AA97" s="333"/>
    </row>
    <row r="98" spans="2:27" ht="20.100000000000001" customHeight="1" x14ac:dyDescent="0.25">
      <c r="B98" s="339" t="s">
        <v>120</v>
      </c>
      <c r="C98" s="339"/>
      <c r="D98" s="339" t="s">
        <v>121</v>
      </c>
      <c r="E98" s="339"/>
      <c r="F98" s="339"/>
      <c r="G98" s="339" t="s">
        <v>122</v>
      </c>
      <c r="H98" s="339"/>
      <c r="I98" s="339"/>
      <c r="J98" s="134">
        <v>6</v>
      </c>
      <c r="K98" s="336" t="str">
        <f>IFERROR(INDEX('Item Purchases'!$B$4:$B$30,MATCH(6,'Item Purchases'!$AK$4:$AK$30,0)),"")</f>
        <v>NV OATS &amp; DARK CHOC 42GX5</v>
      </c>
      <c r="L98" s="336"/>
      <c r="M98" s="336"/>
      <c r="N98" s="336"/>
      <c r="O98" s="336"/>
      <c r="P98" s="135" t="str">
        <f>IFERROR(INDEX('Item Purchases'!$AC$4:$AC$30,MATCH(6,'Item Purchases'!$AK$4:$AK$30,0)),"")</f>
        <v>C</v>
      </c>
      <c r="Q98" s="135" t="str">
        <f>IFERROR(INDEX('Item Purchases'!$AF$4:$AF$30,MATCH(6,'Item Purchases'!$AK$4:$AK$30,0)),"")</f>
        <v>X</v>
      </c>
      <c r="R98" s="334">
        <f>IFERROR(INDEX('Item Purchases'!$F$4:$F$30,MATCH(6,'Item Purchases'!$AK$4:$AK$30,0)),"")</f>
        <v>0</v>
      </c>
      <c r="S98" s="334"/>
      <c r="T98" s="334">
        <f>IFERROR(INDEX('Item Purchases'!$AH$4:$AH$30,MATCH(6,'Item Purchases'!$AK$4:$AK$30,0)),"")</f>
        <v>35.302225818133358</v>
      </c>
      <c r="U98" s="334"/>
      <c r="V98" s="334">
        <f>IFERROR(INDEX('Item Purchases'!$AG$4:$AG$30,MATCH(6,'Item Purchases'!$AK$4:$AK$30,0)),"")</f>
        <v>7.8022258181333575</v>
      </c>
      <c r="W98" s="334"/>
      <c r="X98" s="334">
        <f>IFERROR(INDEX('Item Purchases'!$AJ$4:$AJ$30,MATCH(6,'Item Purchases'!$AK$4:$AK$30,0)),"")</f>
        <v>35.302225818133358</v>
      </c>
      <c r="Y98" s="334"/>
      <c r="AA98" s="333"/>
    </row>
    <row r="99" spans="2:27" ht="36" customHeight="1" x14ac:dyDescent="0.25">
      <c r="B99" s="353">
        <f>COUNTIFS('Item Purchases'!$AI$4:$AI$30,"BELOW ROP",'Item Purchases'!$W$4:$W$30,1)</f>
        <v>13</v>
      </c>
      <c r="C99" s="353"/>
      <c r="D99" s="340">
        <f>SUMIFS('Item Purchases'!$AG$4:$AG$30,'Item Purchases'!$W$4:$W$30,1)</f>
        <v>605.33336571561915</v>
      </c>
      <c r="E99" s="340"/>
      <c r="F99" s="340"/>
      <c r="G99" s="340">
        <f>SUMPRODUCT(('Item Purchases'!$W$4:$W$30=1)*'Item Purchases'!$AG$4:$AG$30*'Item Purchases'!$Q$4:$Q$30)</f>
        <v>1120.5911669610093</v>
      </c>
      <c r="H99" s="340"/>
      <c r="I99" s="340"/>
      <c r="J99" s="134">
        <v>7</v>
      </c>
      <c r="K99" s="336" t="str">
        <f>IFERROR(INDEX('Item Purchases'!$B$4:$B$30,MATCH(7,'Item Purchases'!$AK$4:$AK$30,0)),"")</f>
        <v>Oat Side Original 200ml</v>
      </c>
      <c r="L99" s="336"/>
      <c r="M99" s="336"/>
      <c r="N99" s="336"/>
      <c r="O99" s="336"/>
      <c r="P99" s="135" t="str">
        <f>IFERROR(INDEX('Item Purchases'!$AC$4:$AC$30,MATCH(7,'Item Purchases'!$AK$4:$AK$30,0)),"")</f>
        <v>A</v>
      </c>
      <c r="Q99" s="135" t="str">
        <f>IFERROR(INDEX('Item Purchases'!$AF$4:$AF$30,MATCH(7,'Item Purchases'!$AK$4:$AK$30,0)),"")</f>
        <v>X</v>
      </c>
      <c r="R99" s="334">
        <f>IFERROR(INDEX('Item Purchases'!$F$4:$F$30,MATCH(7,'Item Purchases'!$AK$4:$AK$30,0)),"")</f>
        <v>63</v>
      </c>
      <c r="S99" s="334"/>
      <c r="T99" s="334">
        <f>IFERROR(INDEX('Item Purchases'!$AH$4:$AH$30,MATCH(7,'Item Purchases'!$AK$4:$AK$30,0)),"")</f>
        <v>88.39090534721042</v>
      </c>
      <c r="U99" s="334"/>
      <c r="V99" s="334">
        <f>IFERROR(INDEX('Item Purchases'!$AG$4:$AG$30,MATCH(7,'Item Purchases'!$AK$4:$AK$30,0)),"")</f>
        <v>20.89090534721042</v>
      </c>
      <c r="W99" s="334"/>
      <c r="X99" s="334">
        <f>IFERROR(INDEX('Item Purchases'!$AJ$4:$AJ$30,MATCH(7,'Item Purchases'!$AK$4:$AK$30,0)),"")</f>
        <v>25.39090534721042</v>
      </c>
      <c r="Y99" s="334"/>
      <c r="AA99" s="333"/>
    </row>
    <row r="100" spans="2:27" ht="15" customHeight="1" x14ac:dyDescent="0.25">
      <c r="J100" s="134">
        <v>8</v>
      </c>
      <c r="K100" s="336" t="str">
        <f>IFERROR(INDEX('Item Purchases'!$B$4:$B$30,MATCH(8,'Item Purchases'!$AK$4:$AK$30,0)),"")</f>
        <v>Munchy Oat Krunch - Strawberry &amp; Blackcurrant</v>
      </c>
      <c r="L100" s="336"/>
      <c r="M100" s="336"/>
      <c r="N100" s="336"/>
      <c r="O100" s="336"/>
      <c r="P100" s="135" t="str">
        <f>IFERROR(INDEX('Item Purchases'!$AC$4:$AC$30,MATCH(8,'Item Purchases'!$AK$4:$AK$30,0)),"")</f>
        <v>C</v>
      </c>
      <c r="Q100" s="135" t="str">
        <f>IFERROR(INDEX('Item Purchases'!$AF$4:$AF$30,MATCH(8,'Item Purchases'!$AK$4:$AK$30,0)),"")</f>
        <v>Y</v>
      </c>
      <c r="R100" s="334">
        <f>IFERROR(INDEX('Item Purchases'!$F$4:$F$30,MATCH(8,'Item Purchases'!$AK$4:$AK$30,0)),"")</f>
        <v>37</v>
      </c>
      <c r="S100" s="334"/>
      <c r="T100" s="334">
        <f>IFERROR(INDEX('Item Purchases'!$AH$4:$AH$30,MATCH(8,'Item Purchases'!$AK$4:$AK$30,0)),"")</f>
        <v>58.991102613628001</v>
      </c>
      <c r="U100" s="334"/>
      <c r="V100" s="334">
        <f>IFERROR(INDEX('Item Purchases'!$AG$4:$AG$30,MATCH(8,'Item Purchases'!$AK$4:$AK$30,0)),"")</f>
        <v>17.627466249991631</v>
      </c>
      <c r="W100" s="334"/>
      <c r="X100" s="334">
        <f>IFERROR(INDEX('Item Purchases'!$AJ$4:$AJ$30,MATCH(8,'Item Purchases'!$AK$4:$AK$30,0)),"")</f>
        <v>21.991102613628001</v>
      </c>
      <c r="Y100" s="334"/>
      <c r="AA100" s="333"/>
    </row>
    <row r="101" spans="2:27" ht="15" customHeight="1" x14ac:dyDescent="0.25">
      <c r="J101" s="127" t="s">
        <v>123</v>
      </c>
      <c r="AA101" s="333"/>
    </row>
    <row r="102" spans="2:27" ht="15" customHeight="1" x14ac:dyDescent="0.25">
      <c r="AA102" s="333"/>
    </row>
    <row r="103" spans="2:27" ht="15" customHeight="1" x14ac:dyDescent="0.25">
      <c r="AA103" s="333"/>
    </row>
    <row r="104" spans="2:27" ht="15" customHeight="1" x14ac:dyDescent="0.25">
      <c r="AA104" s="333"/>
    </row>
    <row r="105" spans="2:27" ht="15" customHeight="1" x14ac:dyDescent="0.25">
      <c r="AA105" s="333"/>
    </row>
    <row r="106" spans="2:27" ht="15" customHeight="1" x14ac:dyDescent="0.25">
      <c r="AA106" s="333"/>
    </row>
    <row r="107" spans="2:27" ht="15" customHeight="1" x14ac:dyDescent="0.25">
      <c r="AA107" s="333"/>
    </row>
    <row r="108" spans="2:27" ht="15" customHeight="1" x14ac:dyDescent="0.25">
      <c r="AA108" s="333"/>
    </row>
    <row r="109" spans="2:27" ht="15" customHeight="1" x14ac:dyDescent="0.25">
      <c r="AA109" s="333"/>
    </row>
    <row r="110" spans="2:27" x14ac:dyDescent="0.25">
      <c r="AA110" s="333"/>
    </row>
    <row r="111" spans="2:27" x14ac:dyDescent="0.25">
      <c r="AA111" s="333"/>
    </row>
    <row r="112" spans="2:27" x14ac:dyDescent="0.25">
      <c r="AA112" s="333"/>
    </row>
    <row r="113" spans="27:27" x14ac:dyDescent="0.25">
      <c r="AA113" s="333"/>
    </row>
    <row r="114" spans="27:27" x14ac:dyDescent="0.25">
      <c r="AA114" s="333"/>
    </row>
    <row r="115" spans="27:27" x14ac:dyDescent="0.25">
      <c r="AA115" s="333"/>
    </row>
    <row r="116" spans="27:27" x14ac:dyDescent="0.25">
      <c r="AA116" s="333"/>
    </row>
    <row r="117" spans="27:27" x14ac:dyDescent="0.25">
      <c r="AA117" s="333"/>
    </row>
    <row r="118" spans="27:27" x14ac:dyDescent="0.25">
      <c r="AA118" s="333"/>
    </row>
  </sheetData>
  <mergeCells count="538">
    <mergeCell ref="B7:Y7"/>
    <mergeCell ref="CV7:DS7"/>
    <mergeCell ref="CV8:CX8"/>
    <mergeCell ref="CY8:DA8"/>
    <mergeCell ref="DB8:DD8"/>
    <mergeCell ref="DE8:DG8"/>
    <mergeCell ref="DH8:DJ8"/>
    <mergeCell ref="DK8:DM8"/>
    <mergeCell ref="DN8:DP8"/>
    <mergeCell ref="DQ8:DS8"/>
    <mergeCell ref="R8:S8"/>
    <mergeCell ref="V8:W8"/>
    <mergeCell ref="X8:Y8"/>
    <mergeCell ref="CV9:CX9"/>
    <mergeCell ref="CY9:DA9"/>
    <mergeCell ref="DB9:DD9"/>
    <mergeCell ref="DE9:DG9"/>
    <mergeCell ref="DH9:DJ9"/>
    <mergeCell ref="DK9:DM9"/>
    <mergeCell ref="DN9:DP9"/>
    <mergeCell ref="DQ9:DS9"/>
    <mergeCell ref="CV11:DS11"/>
    <mergeCell ref="CV31:DS31"/>
    <mergeCell ref="CW32:CZ32"/>
    <mergeCell ref="DA32:DB32"/>
    <mergeCell ref="DC32:DD32"/>
    <mergeCell ref="DE32:DF32"/>
    <mergeCell ref="DG32:DH32"/>
    <mergeCell ref="DI32:DJ32"/>
    <mergeCell ref="DK32:DL32"/>
    <mergeCell ref="DM32:DN32"/>
    <mergeCell ref="DO32:DP32"/>
    <mergeCell ref="DQ32:DS32"/>
    <mergeCell ref="DQ33:DS33"/>
    <mergeCell ref="CW34:CZ34"/>
    <mergeCell ref="DA34:DB34"/>
    <mergeCell ref="DC34:DD34"/>
    <mergeCell ref="DE34:DF34"/>
    <mergeCell ref="DG34:DH34"/>
    <mergeCell ref="DI34:DJ34"/>
    <mergeCell ref="DK34:DL34"/>
    <mergeCell ref="DM34:DN34"/>
    <mergeCell ref="DO34:DP34"/>
    <mergeCell ref="DQ34:DS34"/>
    <mergeCell ref="CW33:CZ33"/>
    <mergeCell ref="DA33:DB33"/>
    <mergeCell ref="DC33:DD33"/>
    <mergeCell ref="DE33:DF33"/>
    <mergeCell ref="DG33:DH33"/>
    <mergeCell ref="DI33:DJ33"/>
    <mergeCell ref="DK33:DL33"/>
    <mergeCell ref="DM33:DN33"/>
    <mergeCell ref="DO33:DP33"/>
    <mergeCell ref="DQ35:DS35"/>
    <mergeCell ref="CW36:CZ36"/>
    <mergeCell ref="DA36:DB36"/>
    <mergeCell ref="DC36:DD36"/>
    <mergeCell ref="DE36:DF36"/>
    <mergeCell ref="DG36:DH36"/>
    <mergeCell ref="DI36:DJ36"/>
    <mergeCell ref="DK36:DL36"/>
    <mergeCell ref="DM36:DN36"/>
    <mergeCell ref="DO36:DP36"/>
    <mergeCell ref="DQ36:DS36"/>
    <mergeCell ref="CW35:CZ35"/>
    <mergeCell ref="DA35:DB35"/>
    <mergeCell ref="DC35:DD35"/>
    <mergeCell ref="DE35:DF35"/>
    <mergeCell ref="DG35:DH35"/>
    <mergeCell ref="DI35:DJ35"/>
    <mergeCell ref="DK35:DL35"/>
    <mergeCell ref="DM35:DN35"/>
    <mergeCell ref="DO35:DP35"/>
    <mergeCell ref="DQ37:DS37"/>
    <mergeCell ref="CW38:CZ38"/>
    <mergeCell ref="DA38:DB38"/>
    <mergeCell ref="DC38:DD38"/>
    <mergeCell ref="DE38:DF38"/>
    <mergeCell ref="DG38:DH38"/>
    <mergeCell ref="DI38:DJ38"/>
    <mergeCell ref="DK38:DL38"/>
    <mergeCell ref="DM38:DN38"/>
    <mergeCell ref="DO38:DP38"/>
    <mergeCell ref="DQ38:DS38"/>
    <mergeCell ref="CW37:CZ37"/>
    <mergeCell ref="DA37:DB37"/>
    <mergeCell ref="DC37:DD37"/>
    <mergeCell ref="DE37:DF37"/>
    <mergeCell ref="DG37:DH37"/>
    <mergeCell ref="DI37:DJ37"/>
    <mergeCell ref="DK37:DL37"/>
    <mergeCell ref="DM37:DN37"/>
    <mergeCell ref="DO37:DP37"/>
    <mergeCell ref="DQ39:DS39"/>
    <mergeCell ref="CW40:CZ40"/>
    <mergeCell ref="DA40:DB40"/>
    <mergeCell ref="DC40:DD40"/>
    <mergeCell ref="DE40:DF40"/>
    <mergeCell ref="DG40:DH40"/>
    <mergeCell ref="DI40:DJ40"/>
    <mergeCell ref="DK40:DL40"/>
    <mergeCell ref="DM40:DN40"/>
    <mergeCell ref="DO40:DP40"/>
    <mergeCell ref="DQ40:DS40"/>
    <mergeCell ref="CW39:CZ39"/>
    <mergeCell ref="DA39:DB39"/>
    <mergeCell ref="DC39:DD39"/>
    <mergeCell ref="DE39:DF39"/>
    <mergeCell ref="DG39:DH39"/>
    <mergeCell ref="DI39:DJ39"/>
    <mergeCell ref="DK39:DL39"/>
    <mergeCell ref="DM39:DN39"/>
    <mergeCell ref="DO39:DP39"/>
    <mergeCell ref="DQ41:DS41"/>
    <mergeCell ref="CW42:CZ42"/>
    <mergeCell ref="DA42:DB42"/>
    <mergeCell ref="DC42:DD42"/>
    <mergeCell ref="DE42:DF42"/>
    <mergeCell ref="DG42:DH42"/>
    <mergeCell ref="DI42:DJ42"/>
    <mergeCell ref="DK42:DL42"/>
    <mergeCell ref="DM42:DN42"/>
    <mergeCell ref="DO42:DP42"/>
    <mergeCell ref="DQ42:DS42"/>
    <mergeCell ref="CW41:CZ41"/>
    <mergeCell ref="DA41:DB41"/>
    <mergeCell ref="DC41:DD41"/>
    <mergeCell ref="DE41:DF41"/>
    <mergeCell ref="DG41:DH41"/>
    <mergeCell ref="DI41:DJ41"/>
    <mergeCell ref="DK41:DL41"/>
    <mergeCell ref="DM41:DN41"/>
    <mergeCell ref="DO41:DP41"/>
    <mergeCell ref="CV49:DS49"/>
    <mergeCell ref="CW51:CZ51"/>
    <mergeCell ref="DA51:DB51"/>
    <mergeCell ref="DC51:DD51"/>
    <mergeCell ref="DE51:DF51"/>
    <mergeCell ref="DG51:DH51"/>
    <mergeCell ref="DI51:DS51"/>
    <mergeCell ref="CW52:CZ52"/>
    <mergeCell ref="DA52:DB52"/>
    <mergeCell ref="DC52:DD52"/>
    <mergeCell ref="DE52:DF52"/>
    <mergeCell ref="DG52:DH52"/>
    <mergeCell ref="DI52:DS52"/>
    <mergeCell ref="CW53:CZ53"/>
    <mergeCell ref="DA53:DB53"/>
    <mergeCell ref="DC53:DD53"/>
    <mergeCell ref="DE53:DF53"/>
    <mergeCell ref="DG53:DH53"/>
    <mergeCell ref="DI53:DS53"/>
    <mergeCell ref="CW54:CZ54"/>
    <mergeCell ref="DA54:DB54"/>
    <mergeCell ref="DC54:DD54"/>
    <mergeCell ref="DE54:DF54"/>
    <mergeCell ref="DG54:DH54"/>
    <mergeCell ref="DI54:DS54"/>
    <mergeCell ref="CW55:CZ55"/>
    <mergeCell ref="DA55:DB55"/>
    <mergeCell ref="DC55:DD55"/>
    <mergeCell ref="DE55:DF55"/>
    <mergeCell ref="DG55:DH55"/>
    <mergeCell ref="DI55:DS55"/>
    <mergeCell ref="CW56:CZ56"/>
    <mergeCell ref="DA56:DB56"/>
    <mergeCell ref="DC56:DD56"/>
    <mergeCell ref="DE56:DF56"/>
    <mergeCell ref="DG56:DH56"/>
    <mergeCell ref="DI56:DS56"/>
    <mergeCell ref="CV70:DS70"/>
    <mergeCell ref="CV71:DA71"/>
    <mergeCell ref="DB71:DG71"/>
    <mergeCell ref="DH71:DM71"/>
    <mergeCell ref="DN71:DS71"/>
    <mergeCell ref="CV72:DA72"/>
    <mergeCell ref="DB72:DG72"/>
    <mergeCell ref="DH72:DM72"/>
    <mergeCell ref="DN72:DS72"/>
    <mergeCell ref="CV76:DS76"/>
    <mergeCell ref="CW77:CZ77"/>
    <mergeCell ref="DA77:DB77"/>
    <mergeCell ref="DC77:DD77"/>
    <mergeCell ref="DE77:DF77"/>
    <mergeCell ref="DG77:DH77"/>
    <mergeCell ref="DI77:DJ77"/>
    <mergeCell ref="DK77:DL77"/>
    <mergeCell ref="DM77:DN77"/>
    <mergeCell ref="DO77:DP77"/>
    <mergeCell ref="DQ77:DS77"/>
    <mergeCell ref="DQ78:DS78"/>
    <mergeCell ref="CW79:CZ79"/>
    <mergeCell ref="DA79:DB79"/>
    <mergeCell ref="DC79:DD79"/>
    <mergeCell ref="DE79:DF79"/>
    <mergeCell ref="DG79:DH79"/>
    <mergeCell ref="DI79:DJ79"/>
    <mergeCell ref="DK79:DL79"/>
    <mergeCell ref="DM79:DN79"/>
    <mergeCell ref="DO79:DP79"/>
    <mergeCell ref="DQ79:DS79"/>
    <mergeCell ref="CW78:CZ78"/>
    <mergeCell ref="DA78:DB78"/>
    <mergeCell ref="DC78:DD78"/>
    <mergeCell ref="DE78:DF78"/>
    <mergeCell ref="DG78:DH78"/>
    <mergeCell ref="DI78:DJ78"/>
    <mergeCell ref="DK78:DL78"/>
    <mergeCell ref="DM78:DN78"/>
    <mergeCell ref="DO78:DP78"/>
    <mergeCell ref="DQ80:DS80"/>
    <mergeCell ref="CW81:CZ81"/>
    <mergeCell ref="DA81:DB81"/>
    <mergeCell ref="DC81:DD81"/>
    <mergeCell ref="DE81:DF81"/>
    <mergeCell ref="DG81:DH81"/>
    <mergeCell ref="DI81:DJ81"/>
    <mergeCell ref="DK81:DL81"/>
    <mergeCell ref="DM81:DN81"/>
    <mergeCell ref="DO81:DP81"/>
    <mergeCell ref="DQ81:DS81"/>
    <mergeCell ref="CW80:CZ80"/>
    <mergeCell ref="DA80:DB80"/>
    <mergeCell ref="DC80:DD80"/>
    <mergeCell ref="DE80:DF80"/>
    <mergeCell ref="DG80:DH80"/>
    <mergeCell ref="DI80:DJ80"/>
    <mergeCell ref="DK80:DL80"/>
    <mergeCell ref="DM80:DN80"/>
    <mergeCell ref="DO80:DP80"/>
    <mergeCell ref="DQ82:DS82"/>
    <mergeCell ref="CW83:CZ83"/>
    <mergeCell ref="DA83:DB83"/>
    <mergeCell ref="DC83:DD83"/>
    <mergeCell ref="DE83:DF83"/>
    <mergeCell ref="DG83:DH83"/>
    <mergeCell ref="DI83:DJ83"/>
    <mergeCell ref="DK83:DL83"/>
    <mergeCell ref="DM83:DN83"/>
    <mergeCell ref="DO83:DP83"/>
    <mergeCell ref="DQ83:DS83"/>
    <mergeCell ref="CW82:CZ82"/>
    <mergeCell ref="DA82:DB82"/>
    <mergeCell ref="DC82:DD82"/>
    <mergeCell ref="DE82:DF82"/>
    <mergeCell ref="DG82:DH82"/>
    <mergeCell ref="DI82:DJ82"/>
    <mergeCell ref="DK82:DL82"/>
    <mergeCell ref="DM82:DN82"/>
    <mergeCell ref="DO82:DP82"/>
    <mergeCell ref="DQ84:DS84"/>
    <mergeCell ref="CW85:CZ85"/>
    <mergeCell ref="DA85:DB85"/>
    <mergeCell ref="DC85:DD85"/>
    <mergeCell ref="DE85:DF85"/>
    <mergeCell ref="DG85:DH85"/>
    <mergeCell ref="DI85:DJ85"/>
    <mergeCell ref="DK85:DL85"/>
    <mergeCell ref="DM85:DN85"/>
    <mergeCell ref="DO85:DP85"/>
    <mergeCell ref="DQ85:DS85"/>
    <mergeCell ref="CW84:CZ84"/>
    <mergeCell ref="DA84:DB84"/>
    <mergeCell ref="DC84:DD84"/>
    <mergeCell ref="DE84:DF84"/>
    <mergeCell ref="DG84:DH84"/>
    <mergeCell ref="DI84:DJ84"/>
    <mergeCell ref="DK84:DL84"/>
    <mergeCell ref="DM84:DN84"/>
    <mergeCell ref="DO84:DP84"/>
    <mergeCell ref="DQ86:DS86"/>
    <mergeCell ref="CW87:CZ87"/>
    <mergeCell ref="DA87:DB87"/>
    <mergeCell ref="DC87:DD87"/>
    <mergeCell ref="DE87:DF87"/>
    <mergeCell ref="DG87:DH87"/>
    <mergeCell ref="DI87:DJ87"/>
    <mergeCell ref="DK87:DL87"/>
    <mergeCell ref="DM87:DN87"/>
    <mergeCell ref="DO87:DP87"/>
    <mergeCell ref="DQ87:DS87"/>
    <mergeCell ref="CW86:CZ86"/>
    <mergeCell ref="DA86:DB86"/>
    <mergeCell ref="DC86:DD86"/>
    <mergeCell ref="DE86:DF86"/>
    <mergeCell ref="DG86:DH86"/>
    <mergeCell ref="DI86:DJ86"/>
    <mergeCell ref="DK86:DL86"/>
    <mergeCell ref="DM86:DN86"/>
    <mergeCell ref="DO86:DP86"/>
    <mergeCell ref="B4:D4"/>
    <mergeCell ref="B5:D5"/>
    <mergeCell ref="E4:G4"/>
    <mergeCell ref="E5:G5"/>
    <mergeCell ref="H4:J4"/>
    <mergeCell ref="H5:J5"/>
    <mergeCell ref="K4:M4"/>
    <mergeCell ref="K5:M5"/>
    <mergeCell ref="N4:P4"/>
    <mergeCell ref="N5:P5"/>
    <mergeCell ref="Q4:T4"/>
    <mergeCell ref="Q5:T5"/>
    <mergeCell ref="U4:Y4"/>
    <mergeCell ref="U5:Y5"/>
    <mergeCell ref="D8:E8"/>
    <mergeCell ref="X93:Y93"/>
    <mergeCell ref="L34:M34"/>
    <mergeCell ref="X81:Y81"/>
    <mergeCell ref="R77:Y77"/>
    <mergeCell ref="H33:I33"/>
    <mergeCell ref="P42:Q42"/>
    <mergeCell ref="R79:W79"/>
    <mergeCell ref="R93:S93"/>
    <mergeCell ref="V71:W71"/>
    <mergeCell ref="H8:I8"/>
    <mergeCell ref="L36:M36"/>
    <mergeCell ref="X9:Y9"/>
    <mergeCell ref="J8:K8"/>
    <mergeCell ref="R50:U50"/>
    <mergeCell ref="R39:U39"/>
    <mergeCell ref="W35:X35"/>
    <mergeCell ref="X41:Y41"/>
    <mergeCell ref="P37:Q37"/>
    <mergeCell ref="D9:E9"/>
    <mergeCell ref="D95:E95"/>
    <mergeCell ref="X78:Y78"/>
    <mergeCell ref="F95:G95"/>
    <mergeCell ref="V96:W96"/>
    <mergeCell ref="P8:Q8"/>
    <mergeCell ref="C33:F33"/>
    <mergeCell ref="C42:F42"/>
    <mergeCell ref="B8:C8"/>
    <mergeCell ref="R38:U38"/>
    <mergeCell ref="V40:W40"/>
    <mergeCell ref="T73:U73"/>
    <mergeCell ref="C35:F35"/>
    <mergeCell ref="H32:I32"/>
    <mergeCell ref="R40:U40"/>
    <mergeCell ref="V45:W45"/>
    <mergeCell ref="L41:M41"/>
    <mergeCell ref="R32:V32"/>
    <mergeCell ref="X79:Y79"/>
    <mergeCell ref="L8:M8"/>
    <mergeCell ref="N8:O8"/>
    <mergeCell ref="F8:G8"/>
    <mergeCell ref="T8:U8"/>
    <mergeCell ref="J91:Y91"/>
    <mergeCell ref="V38:W38"/>
    <mergeCell ref="X100:Y100"/>
    <mergeCell ref="H42:I42"/>
    <mergeCell ref="R33:V33"/>
    <mergeCell ref="X84:Y84"/>
    <mergeCell ref="B94:C94"/>
    <mergeCell ref="R9:S9"/>
    <mergeCell ref="D94:E94"/>
    <mergeCell ref="B28:E28"/>
    <mergeCell ref="R42:U42"/>
    <mergeCell ref="H92:I92"/>
    <mergeCell ref="X99:Y99"/>
    <mergeCell ref="V92:W92"/>
    <mergeCell ref="X86:Y86"/>
    <mergeCell ref="P38:Q38"/>
    <mergeCell ref="W33:X33"/>
    <mergeCell ref="C38:F38"/>
    <mergeCell ref="J50:M50"/>
    <mergeCell ref="R83:W83"/>
    <mergeCell ref="K95:O95"/>
    <mergeCell ref="T97:U97"/>
    <mergeCell ref="L37:M37"/>
    <mergeCell ref="R46:U46"/>
    <mergeCell ref="V97:W97"/>
    <mergeCell ref="V50:Y50"/>
    <mergeCell ref="X97:Y97"/>
    <mergeCell ref="X87:Y87"/>
    <mergeCell ref="O27:Q27"/>
    <mergeCell ref="C34:F34"/>
    <mergeCell ref="B98:C98"/>
    <mergeCell ref="R99:S99"/>
    <mergeCell ref="L33:M33"/>
    <mergeCell ref="K99:O99"/>
    <mergeCell ref="V93:W93"/>
    <mergeCell ref="R74:S74"/>
    <mergeCell ref="T74:U74"/>
    <mergeCell ref="T71:U71"/>
    <mergeCell ref="R81:W81"/>
    <mergeCell ref="L35:M35"/>
    <mergeCell ref="B29:I29"/>
    <mergeCell ref="X73:Y73"/>
    <mergeCell ref="L27:N27"/>
    <mergeCell ref="B99:C99"/>
    <mergeCell ref="D93:E93"/>
    <mergeCell ref="X95:Y95"/>
    <mergeCell ref="H38:I38"/>
    <mergeCell ref="W34:X34"/>
    <mergeCell ref="B91:I91"/>
    <mergeCell ref="L32:M32"/>
    <mergeCell ref="V9:W9"/>
    <mergeCell ref="N50:Q50"/>
    <mergeCell ref="V94:W94"/>
    <mergeCell ref="P41:Q41"/>
    <mergeCell ref="J51:M51"/>
    <mergeCell ref="H40:I40"/>
    <mergeCell ref="R86:W86"/>
    <mergeCell ref="F93:G93"/>
    <mergeCell ref="F50:I50"/>
    <mergeCell ref="F9:G9"/>
    <mergeCell ref="R82:W82"/>
    <mergeCell ref="V46:W46"/>
    <mergeCell ref="V39:W39"/>
    <mergeCell ref="P9:Q9"/>
    <mergeCell ref="J28:K28"/>
    <mergeCell ref="C32:F32"/>
    <mergeCell ref="R94:S94"/>
    <mergeCell ref="C37:F37"/>
    <mergeCell ref="H9:I9"/>
    <mergeCell ref="J9:K9"/>
    <mergeCell ref="B92:C92"/>
    <mergeCell ref="D92:E92"/>
    <mergeCell ref="F92:G92"/>
    <mergeCell ref="P40:Q40"/>
    <mergeCell ref="K97:O97"/>
    <mergeCell ref="C40:F40"/>
    <mergeCell ref="R45:U45"/>
    <mergeCell ref="R72:S72"/>
    <mergeCell ref="H95:I95"/>
    <mergeCell ref="T72:U72"/>
    <mergeCell ref="L28:N28"/>
    <mergeCell ref="B95:C95"/>
    <mergeCell ref="T95:U95"/>
    <mergeCell ref="T92:U92"/>
    <mergeCell ref="N51:Q51"/>
    <mergeCell ref="R35:V35"/>
    <mergeCell ref="R70:Y70"/>
    <mergeCell ref="X83:Y83"/>
    <mergeCell ref="T94:U94"/>
    <mergeCell ref="X45:Y45"/>
    <mergeCell ref="X85:Y85"/>
    <mergeCell ref="V42:W42"/>
    <mergeCell ref="X82:Y82"/>
    <mergeCell ref="R47:Y48"/>
    <mergeCell ref="K94:O94"/>
    <mergeCell ref="L42:M42"/>
    <mergeCell ref="P36:Q36"/>
    <mergeCell ref="X71:Y71"/>
    <mergeCell ref="V95:W95"/>
    <mergeCell ref="R71:S71"/>
    <mergeCell ref="F28:I28"/>
    <mergeCell ref="B9:C9"/>
    <mergeCell ref="L9:M9"/>
    <mergeCell ref="N9:O9"/>
    <mergeCell ref="B96:I97"/>
    <mergeCell ref="T9:U9"/>
    <mergeCell ref="W32:X32"/>
    <mergeCell ref="O28:Q28"/>
    <mergeCell ref="C36:F36"/>
    <mergeCell ref="X42:Y42"/>
    <mergeCell ref="L38:M38"/>
    <mergeCell ref="P32:Q32"/>
    <mergeCell ref="X80:Y80"/>
    <mergeCell ref="X38:Y38"/>
    <mergeCell ref="X94:Y94"/>
    <mergeCell ref="L40:M40"/>
    <mergeCell ref="R96:S96"/>
    <mergeCell ref="T96:U96"/>
    <mergeCell ref="X72:Y72"/>
    <mergeCell ref="T93:U93"/>
    <mergeCell ref="P34:Q34"/>
    <mergeCell ref="X74:Y74"/>
    <mergeCell ref="T99:U99"/>
    <mergeCell ref="P33:Q33"/>
    <mergeCell ref="R51:U51"/>
    <mergeCell ref="R84:W84"/>
    <mergeCell ref="R98:S98"/>
    <mergeCell ref="R78:W78"/>
    <mergeCell ref="V51:Y51"/>
    <mergeCell ref="T98:U98"/>
    <mergeCell ref="K93:O93"/>
    <mergeCell ref="R87:W87"/>
    <mergeCell ref="X96:Y96"/>
    <mergeCell ref="R41:U41"/>
    <mergeCell ref="V43:W43"/>
    <mergeCell ref="X43:Y43"/>
    <mergeCell ref="R73:S73"/>
    <mergeCell ref="P35:Q35"/>
    <mergeCell ref="X40:Y40"/>
    <mergeCell ref="R80:W80"/>
    <mergeCell ref="X98:Y98"/>
    <mergeCell ref="R43:U43"/>
    <mergeCell ref="P39:Q39"/>
    <mergeCell ref="X92:Y92"/>
    <mergeCell ref="R95:S95"/>
    <mergeCell ref="K96:O96"/>
    <mergeCell ref="H39:I39"/>
    <mergeCell ref="R34:V34"/>
    <mergeCell ref="V72:W72"/>
    <mergeCell ref="R44:U44"/>
    <mergeCell ref="H94:I94"/>
    <mergeCell ref="V44:W44"/>
    <mergeCell ref="L39:M39"/>
    <mergeCell ref="H37:I37"/>
    <mergeCell ref="C41:F41"/>
    <mergeCell ref="R37:Y37"/>
    <mergeCell ref="X44:Y44"/>
    <mergeCell ref="X46:Y46"/>
    <mergeCell ref="X39:Y39"/>
    <mergeCell ref="R85:W85"/>
    <mergeCell ref="F51:I51"/>
    <mergeCell ref="V41:W41"/>
    <mergeCell ref="V74:W74"/>
    <mergeCell ref="F94:G94"/>
    <mergeCell ref="H41:I41"/>
    <mergeCell ref="B51:E51"/>
    <mergeCell ref="H93:I93"/>
    <mergeCell ref="B93:C93"/>
    <mergeCell ref="V100:W100"/>
    <mergeCell ref="J29:Q29"/>
    <mergeCell ref="R97:S97"/>
    <mergeCell ref="K98:O98"/>
    <mergeCell ref="K100:O100"/>
    <mergeCell ref="V99:W99"/>
    <mergeCell ref="H36:I36"/>
    <mergeCell ref="B27:E27"/>
    <mergeCell ref="R100:S100"/>
    <mergeCell ref="T100:U100"/>
    <mergeCell ref="G98:I98"/>
    <mergeCell ref="D99:F99"/>
    <mergeCell ref="V98:W98"/>
    <mergeCell ref="D98:F98"/>
    <mergeCell ref="G99:I99"/>
    <mergeCell ref="H34:I34"/>
    <mergeCell ref="B50:E50"/>
    <mergeCell ref="J27:K27"/>
    <mergeCell ref="R92:S92"/>
    <mergeCell ref="H35:I35"/>
    <mergeCell ref="F27:I27"/>
    <mergeCell ref="K92:O92"/>
    <mergeCell ref="C39:F39"/>
    <mergeCell ref="V73:W73"/>
  </mergeCells>
  <conditionalFormatting sqref="B93:B95">
    <cfRule type="expression" dxfId="86" priority="17">
      <formula>$B93="A"</formula>
    </cfRule>
    <cfRule type="expression" dxfId="85" priority="18">
      <formula>$B93="B"</formula>
    </cfRule>
    <cfRule type="expression" dxfId="84" priority="19">
      <formula>$B93="C"</formula>
    </cfRule>
  </conditionalFormatting>
  <conditionalFormatting sqref="B99">
    <cfRule type="cellIs" dxfId="83" priority="21" operator="greaterThan">
      <formula>0</formula>
    </cfRule>
  </conditionalFormatting>
  <conditionalFormatting sqref="G33:G42">
    <cfRule type="expression" dxfId="82" priority="9">
      <formula>$G33="A"</formula>
    </cfRule>
    <cfRule type="expression" dxfId="81" priority="10">
      <formula>$G33="B"</formula>
    </cfRule>
    <cfRule type="expression" dxfId="80" priority="11">
      <formula>$G33="C"</formula>
    </cfRule>
  </conditionalFormatting>
  <conditionalFormatting sqref="H33:H42">
    <cfRule type="expression" dxfId="79" priority="2">
      <formula>$H33="OUT OF STOCK"</formula>
    </cfRule>
    <cfRule type="expression" dxfId="78" priority="3">
      <formula>$H33="CRITICAL"</formula>
    </cfRule>
    <cfRule type="expression" dxfId="77" priority="4">
      <formula>$H33="LOW"</formula>
    </cfRule>
    <cfRule type="expression" dxfId="76" priority="5">
      <formula>$H33="WATCH"</formula>
    </cfRule>
    <cfRule type="expression" dxfId="75" priority="6">
      <formula>$H33="HEALTHY"</formula>
    </cfRule>
    <cfRule type="expression" dxfId="74" priority="7">
      <formula>$H33="NO USAGE"</formula>
    </cfRule>
  </conditionalFormatting>
  <conditionalFormatting sqref="H93:I93">
    <cfRule type="cellIs" dxfId="73" priority="20" operator="greaterThan">
      <formula>0</formula>
    </cfRule>
  </conditionalFormatting>
  <conditionalFormatting sqref="N33:N42">
    <cfRule type="cellIs" dxfId="72" priority="8" operator="greaterThan">
      <formula>0</formula>
    </cfRule>
  </conditionalFormatting>
  <conditionalFormatting sqref="P93:P100">
    <cfRule type="expression" dxfId="71" priority="22">
      <formula>$P93="A"</formula>
    </cfRule>
    <cfRule type="expression" dxfId="70" priority="23">
      <formula>$P93="B"</formula>
    </cfRule>
    <cfRule type="expression" dxfId="69" priority="24">
      <formula>$P93="C"</formula>
    </cfRule>
  </conditionalFormatting>
  <conditionalFormatting sqref="Q93:Q100">
    <cfRule type="expression" dxfId="68" priority="25">
      <formula>$Q93="Z"</formula>
    </cfRule>
  </conditionalFormatting>
  <conditionalFormatting sqref="R72:R74">
    <cfRule type="expression" dxfId="67" priority="14">
      <formula>$R72="A"</formula>
    </cfRule>
    <cfRule type="expression" dxfId="66" priority="15">
      <formula>$R72="B"</formula>
    </cfRule>
    <cfRule type="expression" dxfId="65" priority="16">
      <formula>$R72="C"</formula>
    </cfRule>
  </conditionalFormatting>
  <conditionalFormatting sqref="X9">
    <cfRule type="cellIs" dxfId="64" priority="1" operator="greaterThan">
      <formula>0</formula>
    </cfRule>
  </conditionalFormatting>
  <conditionalFormatting sqref="X39:X46">
    <cfRule type="cellIs" dxfId="63" priority="12" operator="lessThan">
      <formula>0</formula>
    </cfRule>
    <cfRule type="cellIs" dxfId="62" priority="13" operator="greaterThan">
      <formula>0</formula>
    </cfRule>
  </conditionalFormatting>
  <conditionalFormatting sqref="X93:X100">
    <cfRule type="cellIs" dxfId="61" priority="26" operator="greaterThan">
      <formula>0</formula>
    </cfRule>
  </conditionalFormatting>
  <conditionalFormatting sqref="CV72:DA72">
    <cfRule type="expression" dxfId="60" priority="137">
      <formula>N(CV72)&gt;0</formula>
    </cfRule>
  </conditionalFormatting>
  <conditionalFormatting sqref="DB9:DD9">
    <cfRule type="expression" dxfId="59" priority="131">
      <formula>N(DB9)&gt;0</formula>
    </cfRule>
  </conditionalFormatting>
  <conditionalFormatting sqref="DB72:DG72">
    <cfRule type="expression" dxfId="58" priority="138">
      <formula>N(DB72)&gt;0</formula>
    </cfRule>
  </conditionalFormatting>
  <conditionalFormatting sqref="DG52:DH56">
    <cfRule type="expression" dxfId="57" priority="132">
      <formula>AND(ISNUMBER($DG52),$DG52&lt;&gt;0)</formula>
    </cfRule>
  </conditionalFormatting>
  <conditionalFormatting sqref="DK9:DM9 DQ9:DS9">
    <cfRule type="expression" dxfId="56" priority="130">
      <formula>N(DK9)&gt;0</formula>
    </cfRule>
  </conditionalFormatting>
  <conditionalFormatting sqref="DQ33:DS42">
    <cfRule type="expression" dxfId="55" priority="127">
      <formula>OR($DQ33="EMPTY - ORDER NOW",$DQ33="ORDER NOW")</formula>
    </cfRule>
    <cfRule type="expression" dxfId="54" priority="128">
      <formula>OR($DQ33="EMPTY - PLAN ORDER",$DQ33="TRANSFER TO PANTRY",$DQ33="WATCH")</formula>
    </cfRule>
    <cfRule type="expression" dxfId="53" priority="129">
      <formula>$DQ33="OK"</formula>
    </cfRule>
  </conditionalFormatting>
  <conditionalFormatting sqref="DQ78:DS87">
    <cfRule type="expression" dxfId="52" priority="133">
      <formula>$DQ78="PHASE OUT"</formula>
    </cfRule>
    <cfRule type="expression" dxfId="51" priority="134">
      <formula>$DQ78="REVIEW"</formula>
    </cfRule>
    <cfRule type="expression" dxfId="50" priority="135">
      <formula>$DQ78="KEEP"</formula>
    </cfRule>
    <cfRule type="expression" dxfId="49" priority="136">
      <formula>OR($DQ78="NEED MORE DATA",$DQ78="DISCONTINUED")</formula>
    </cfRule>
  </conditionalFormatting>
  <dataValidations count="7">
    <dataValidation type="list" allowBlank="1" showErrorMessage="1" errorTitle="Filter" error="Pick a value from the list (or All)." sqref="B5" xr:uid="{00000000-0002-0000-0000-000000000000}">
      <formula1>lstWeek</formula1>
    </dataValidation>
    <dataValidation type="list" allowBlank="1" showErrorMessage="1" errorTitle="Filter" error="Pick a value from the list (or All)." sqref="E5" xr:uid="{00000000-0002-0000-0000-000001000000}">
      <formula1>lstCategory</formula1>
    </dataValidation>
    <dataValidation type="list" allowBlank="1" showErrorMessage="1" errorTitle="Filter" error="Pick a value from the list (or All)." sqref="H5" xr:uid="{00000000-0002-0000-0000-000002000000}">
      <formula1>lstFlavor</formula1>
    </dataValidation>
    <dataValidation type="list" allowBlank="1" showErrorMessage="1" errorTitle="Filter" error="Pick a value from the list (or All)." sqref="K5" xr:uid="{00000000-0002-0000-0000-000003000000}">
      <formula1>lstDate</formula1>
    </dataValidation>
    <dataValidation type="list" allowBlank="1" showErrorMessage="1" errorTitle="Filter" error="Pick a value from the list (or All)." sqref="N5" xr:uid="{00000000-0002-0000-0000-000004000000}">
      <formula1>lstDay</formula1>
    </dataValidation>
    <dataValidation type="list" allowBlank="1" showErrorMessage="1" errorTitle="Filter" error="Pick a value from the list (or All)." sqref="Q5" xr:uid="{00000000-0002-0000-0000-000005000000}">
      <formula1>lstBrand</formula1>
    </dataValidation>
    <dataValidation type="list" allowBlank="1" showErrorMessage="1" errorTitle="Filter" error="Pick a value from the list (or All)." sqref="U5" xr:uid="{00000000-0002-0000-0000-000006000000}">
      <formula1>lstItem</formula1>
    </dataValidation>
  </dataValidations>
  <printOptions horizontalCentered="1"/>
  <pageMargins left="0.4" right="0.4" top="0.5" bottom="0.5" header="0.5" footer="0.5"/>
  <pageSetup paperSize="8" fitToHeight="0" orientation="landscape"/>
  <rowBreaks count="3" manualBreakCount="3">
    <brk id="30" max="16383" man="1"/>
    <brk id="48" max="16383" man="1"/>
    <brk id="89" max="16383"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162"/>
  <sheetViews>
    <sheetView workbookViewId="0">
      <pane xSplit="2" topLeftCell="W1" activePane="topRight" state="frozen"/>
      <selection pane="topRight" activeCell="A2" sqref="A2"/>
    </sheetView>
  </sheetViews>
  <sheetFormatPr defaultRowHeight="15" x14ac:dyDescent="0.25"/>
  <cols>
    <col min="1" max="1" width="16.42578125" customWidth="1"/>
    <col min="2" max="2" width="60.42578125" customWidth="1"/>
    <col min="3" max="3" width="12" bestFit="1" customWidth="1"/>
    <col min="4" max="4" width="9.140625" customWidth="1"/>
    <col min="5" max="5" width="10.5703125" customWidth="1"/>
    <col min="6" max="6" width="13" customWidth="1"/>
    <col min="7" max="7" width="8.140625" customWidth="1"/>
    <col min="8" max="8" width="11.42578125" customWidth="1"/>
    <col min="9" max="9" width="12.85546875" customWidth="1"/>
    <col min="10" max="10" width="9.140625" customWidth="1"/>
    <col min="11" max="11" width="10.5703125" customWidth="1"/>
    <col min="12" max="12" width="12.85546875" customWidth="1"/>
    <col min="13" max="13" width="9.5703125" bestFit="1" customWidth="1"/>
    <col min="14" max="14" width="11.42578125" bestFit="1" customWidth="1"/>
    <col min="15" max="15" width="12.85546875" bestFit="1" customWidth="1"/>
    <col min="16" max="16" width="9.5703125" bestFit="1" customWidth="1"/>
    <col min="17" max="17" width="11.42578125" bestFit="1" customWidth="1"/>
    <col min="18" max="18" width="13" bestFit="1" customWidth="1"/>
    <col min="19" max="19" width="9.28515625" bestFit="1" customWidth="1"/>
    <col min="20" max="20" width="10.7109375" bestFit="1" customWidth="1"/>
    <col min="21" max="21" width="13" bestFit="1" customWidth="1"/>
    <col min="26" max="26" width="46.5703125" bestFit="1" customWidth="1"/>
    <col min="27" max="27" width="9.5703125" bestFit="1" customWidth="1"/>
    <col min="29" max="29" width="14.5703125" bestFit="1" customWidth="1"/>
    <col min="30" max="30" width="9.140625" customWidth="1"/>
    <col min="31" max="32" width="11.42578125" bestFit="1" customWidth="1"/>
    <col min="33" max="33" width="9.140625" style="115" customWidth="1"/>
    <col min="34" max="34" width="18.28515625" bestFit="1" customWidth="1"/>
    <col min="35" max="35" width="9" bestFit="1" customWidth="1"/>
    <col min="36" max="36" width="9.85546875" bestFit="1" customWidth="1"/>
    <col min="37" max="37" width="12.28515625" bestFit="1" customWidth="1"/>
    <col min="38" max="44" width="9.140625" customWidth="1"/>
  </cols>
  <sheetData>
    <row r="1" spans="1:37" ht="21" customHeight="1" x14ac:dyDescent="0.35">
      <c r="A1" s="30" t="s">
        <v>485</v>
      </c>
      <c r="B1" s="117"/>
      <c r="Z1" s="142" t="str">
        <f ca="1">IF(COUNTIF(C5:U161,"&lt;0")=0,"Data check: no negative stock or consumption values","Data check: "&amp;COUNTIF(C5:U161,"&lt;0")&amp;" negative value(s) - highlighted in red")</f>
        <v>Data check: no negative stock or consumption values</v>
      </c>
    </row>
    <row r="2" spans="1:37" ht="23.25" customHeight="1" x14ac:dyDescent="0.35">
      <c r="A2" s="1" t="s">
        <v>124</v>
      </c>
      <c r="B2" s="31"/>
      <c r="C2" s="32">
        <v>46265</v>
      </c>
      <c r="D2" s="390">
        <v>46266</v>
      </c>
      <c r="E2" s="391"/>
      <c r="F2" s="392"/>
      <c r="G2" s="390">
        <v>46267</v>
      </c>
      <c r="H2" s="391"/>
      <c r="I2" s="392"/>
      <c r="J2" s="390">
        <v>46268</v>
      </c>
      <c r="K2" s="391"/>
      <c r="L2" s="392"/>
      <c r="M2" s="390">
        <v>46269</v>
      </c>
      <c r="N2" s="391"/>
      <c r="O2" s="392"/>
      <c r="P2" s="390">
        <v>46272</v>
      </c>
      <c r="Q2" s="391"/>
      <c r="R2" s="392"/>
      <c r="S2" s="2" t="s">
        <v>125</v>
      </c>
      <c r="T2" s="3"/>
      <c r="U2" s="4"/>
    </row>
    <row r="3" spans="1:37" ht="21" customHeight="1" x14ac:dyDescent="0.35">
      <c r="A3" s="47" t="s">
        <v>126</v>
      </c>
      <c r="B3" s="5" t="s">
        <v>127</v>
      </c>
      <c r="C3" s="34" t="s">
        <v>128</v>
      </c>
      <c r="D3" s="35" t="s">
        <v>129</v>
      </c>
      <c r="E3" s="26" t="s">
        <v>130</v>
      </c>
      <c r="F3" s="27" t="s">
        <v>131</v>
      </c>
      <c r="G3" s="35" t="s">
        <v>129</v>
      </c>
      <c r="H3" s="26" t="s">
        <v>130</v>
      </c>
      <c r="I3" s="27" t="s">
        <v>131</v>
      </c>
      <c r="J3" s="35" t="s">
        <v>129</v>
      </c>
      <c r="K3" s="26" t="s">
        <v>130</v>
      </c>
      <c r="L3" s="27" t="s">
        <v>131</v>
      </c>
      <c r="M3" s="35" t="s">
        <v>129</v>
      </c>
      <c r="N3" s="26" t="s">
        <v>130</v>
      </c>
      <c r="O3" s="27" t="s">
        <v>131</v>
      </c>
      <c r="P3" s="35" t="s">
        <v>129</v>
      </c>
      <c r="Q3" s="26" t="s">
        <v>130</v>
      </c>
      <c r="R3" s="27" t="s">
        <v>131</v>
      </c>
      <c r="S3" s="36" t="s">
        <v>132</v>
      </c>
      <c r="T3" s="112" t="s">
        <v>130</v>
      </c>
      <c r="U3" s="113" t="s">
        <v>131</v>
      </c>
      <c r="V3" s="120"/>
      <c r="W3" s="120"/>
      <c r="X3" s="120"/>
      <c r="Y3" s="120"/>
      <c r="Z3" s="19" t="s">
        <v>133</v>
      </c>
      <c r="AH3" s="116"/>
      <c r="AI3" s="116"/>
      <c r="AJ3" s="116"/>
      <c r="AK3" s="116"/>
    </row>
    <row r="4" spans="1:37" x14ac:dyDescent="0.25">
      <c r="A4" s="48"/>
      <c r="B4" s="117"/>
      <c r="C4" s="93"/>
      <c r="D4" s="18"/>
      <c r="E4" s="18"/>
      <c r="F4" s="28"/>
      <c r="G4" s="18"/>
      <c r="H4" s="18"/>
      <c r="I4" s="18"/>
      <c r="J4" s="17"/>
      <c r="K4" s="18"/>
      <c r="L4" s="28"/>
      <c r="M4" s="39"/>
      <c r="N4" s="39"/>
      <c r="O4" s="18"/>
      <c r="P4" s="38"/>
      <c r="Q4" s="39"/>
      <c r="R4" s="28"/>
      <c r="S4" s="10"/>
      <c r="U4" s="29"/>
      <c r="V4" t="s">
        <v>134</v>
      </c>
      <c r="W4" t="s">
        <v>135</v>
      </c>
      <c r="X4" t="s">
        <v>136</v>
      </c>
      <c r="Y4" t="s">
        <v>137</v>
      </c>
      <c r="Z4" s="55" t="s">
        <v>138</v>
      </c>
      <c r="AA4" s="214" t="s">
        <v>29</v>
      </c>
      <c r="AB4" s="215" t="s">
        <v>139</v>
      </c>
      <c r="AC4" s="216" t="s">
        <v>140</v>
      </c>
      <c r="AH4" s="117"/>
      <c r="AI4" s="115"/>
      <c r="AK4" s="118"/>
    </row>
    <row r="5" spans="1:37" ht="15.75" customHeight="1" x14ac:dyDescent="0.25">
      <c r="A5" s="42" t="s">
        <v>141</v>
      </c>
      <c r="B5" s="117" t="s">
        <v>142</v>
      </c>
      <c r="C5" s="40">
        <v>41</v>
      </c>
      <c r="D5" s="9">
        <v>0</v>
      </c>
      <c r="E5" s="9">
        <v>30</v>
      </c>
      <c r="F5" s="80">
        <f t="shared" ref="F5:F15" si="0">C5+D5-E5</f>
        <v>11</v>
      </c>
      <c r="G5" s="9">
        <v>0</v>
      </c>
      <c r="H5" s="9">
        <v>24</v>
      </c>
      <c r="I5" s="80">
        <f t="shared" ref="I5:I15" si="1">E5+G5-H5</f>
        <v>6</v>
      </c>
      <c r="J5" s="41">
        <v>36</v>
      </c>
      <c r="K5" s="9">
        <f>16+36</f>
        <v>52</v>
      </c>
      <c r="L5" s="80">
        <f t="shared" ref="L5:L15" si="2">H5+J5-K5</f>
        <v>8</v>
      </c>
      <c r="M5" s="9">
        <v>0</v>
      </c>
      <c r="N5" s="9">
        <v>33</v>
      </c>
      <c r="O5" s="80">
        <f t="shared" ref="O5:O15" si="3">K5+M5-N5</f>
        <v>19</v>
      </c>
      <c r="P5" s="41">
        <v>0</v>
      </c>
      <c r="Q5" s="102">
        <v>21</v>
      </c>
      <c r="R5" s="80">
        <f t="shared" ref="R5:R15" si="4">N5+P5-Q5</f>
        <v>12</v>
      </c>
      <c r="S5" s="41">
        <f t="shared" ref="S5:S15" si="5">SUMIF($D$3:$R$3,"Stock In",D5:R5)</f>
        <v>36</v>
      </c>
      <c r="T5" s="9">
        <f t="shared" ref="T5:T15" si="6">Q5</f>
        <v>21</v>
      </c>
      <c r="U5" s="81">
        <f t="shared" ref="U5:U15" si="7">SUMIF($D$3:$R$3,"Consumption",D5:R5)</f>
        <v>56</v>
      </c>
      <c r="V5">
        <f t="shared" ref="V5:V15" si="8">COUNTIF(E5,"&gt;0")+COUNTIF(H5,"&gt;0")+COUNTIF(K5,"&gt;0")+COUNTIF(N5,"&gt;0")+COUNTIF(Q5,"&gt;0")</f>
        <v>5</v>
      </c>
      <c r="W5">
        <f t="shared" ref="W5:W15" si="9">V5+V37+V68+V101</f>
        <v>20</v>
      </c>
      <c r="X5" s="23">
        <f t="shared" ref="X5:X15" si="10">U5+U37+U68+F101+I101+L101+O101</f>
        <v>178</v>
      </c>
      <c r="Y5" s="23">
        <f>X5/W5</f>
        <v>8.9</v>
      </c>
      <c r="Z5" s="64" t="s">
        <v>142</v>
      </c>
      <c r="AA5" s="217">
        <f t="shared" ref="AA5:AA15" ca="1" si="11">SUMIF($B$5:$B$161,Z5,$S$5:$S$161)</f>
        <v>192</v>
      </c>
      <c r="AB5" s="65">
        <v>1.083</v>
      </c>
      <c r="AC5" s="218">
        <f t="shared" ref="AC5:AC15" ca="1" si="12">AA5*AB5</f>
        <v>207.93599999999998</v>
      </c>
      <c r="AH5" s="117"/>
      <c r="AI5" s="115"/>
      <c r="AK5" s="118"/>
    </row>
    <row r="6" spans="1:37" ht="15.75" customHeight="1" x14ac:dyDescent="0.25">
      <c r="A6" s="42" t="s">
        <v>141</v>
      </c>
      <c r="B6" s="117" t="s">
        <v>143</v>
      </c>
      <c r="C6" s="40">
        <v>12</v>
      </c>
      <c r="D6" s="9">
        <v>0</v>
      </c>
      <c r="E6" s="9">
        <v>12</v>
      </c>
      <c r="F6" s="80">
        <f t="shared" si="0"/>
        <v>0</v>
      </c>
      <c r="G6" s="9">
        <v>0</v>
      </c>
      <c r="H6" s="9">
        <v>12</v>
      </c>
      <c r="I6" s="80">
        <f t="shared" si="1"/>
        <v>0</v>
      </c>
      <c r="J6" s="41">
        <v>0</v>
      </c>
      <c r="K6" s="9">
        <v>11</v>
      </c>
      <c r="L6" s="80">
        <f t="shared" si="2"/>
        <v>1</v>
      </c>
      <c r="M6" s="9">
        <v>0</v>
      </c>
      <c r="N6" s="9">
        <v>11</v>
      </c>
      <c r="O6" s="80">
        <f t="shared" si="3"/>
        <v>0</v>
      </c>
      <c r="P6" s="41">
        <v>0</v>
      </c>
      <c r="Q6" s="102">
        <v>7</v>
      </c>
      <c r="R6" s="80">
        <f t="shared" si="4"/>
        <v>4</v>
      </c>
      <c r="S6" s="41">
        <f t="shared" si="5"/>
        <v>0</v>
      </c>
      <c r="T6" s="9">
        <f t="shared" si="6"/>
        <v>7</v>
      </c>
      <c r="U6" s="81">
        <f t="shared" si="7"/>
        <v>5</v>
      </c>
      <c r="V6">
        <f t="shared" si="8"/>
        <v>5</v>
      </c>
      <c r="W6">
        <f t="shared" si="9"/>
        <v>19</v>
      </c>
      <c r="X6" s="23">
        <f t="shared" si="10"/>
        <v>27</v>
      </c>
      <c r="Y6" s="23">
        <f>X6/W6</f>
        <v>1.4210526315789473</v>
      </c>
      <c r="Z6" s="8" t="s">
        <v>143</v>
      </c>
      <c r="AA6" s="219">
        <f t="shared" ca="1" si="11"/>
        <v>20</v>
      </c>
      <c r="AB6" s="220">
        <v>5.15</v>
      </c>
      <c r="AC6" s="221">
        <f t="shared" ca="1" si="12"/>
        <v>103</v>
      </c>
      <c r="AH6" s="117"/>
      <c r="AI6" s="115"/>
      <c r="AK6" s="118"/>
    </row>
    <row r="7" spans="1:37" ht="15.75" customHeight="1" x14ac:dyDescent="0.25">
      <c r="A7" s="42" t="s">
        <v>141</v>
      </c>
      <c r="B7" s="117" t="s">
        <v>144</v>
      </c>
      <c r="C7" s="40">
        <v>0</v>
      </c>
      <c r="D7" s="9">
        <v>0</v>
      </c>
      <c r="E7" s="9">
        <v>0</v>
      </c>
      <c r="F7" s="80">
        <f t="shared" si="0"/>
        <v>0</v>
      </c>
      <c r="G7" s="9">
        <v>0</v>
      </c>
      <c r="H7" s="9">
        <v>0</v>
      </c>
      <c r="I7" s="80">
        <f t="shared" si="1"/>
        <v>0</v>
      </c>
      <c r="J7" s="41">
        <v>0</v>
      </c>
      <c r="K7" s="9">
        <v>0</v>
      </c>
      <c r="L7" s="80">
        <f t="shared" si="2"/>
        <v>0</v>
      </c>
      <c r="M7" s="9">
        <v>0</v>
      </c>
      <c r="N7" s="9">
        <v>0</v>
      </c>
      <c r="O7" s="80">
        <f t="shared" si="3"/>
        <v>0</v>
      </c>
      <c r="P7" s="41">
        <v>0</v>
      </c>
      <c r="Q7" s="102">
        <v>0</v>
      </c>
      <c r="R7" s="80">
        <f t="shared" si="4"/>
        <v>0</v>
      </c>
      <c r="S7" s="41">
        <f t="shared" si="5"/>
        <v>0</v>
      </c>
      <c r="T7" s="9">
        <f t="shared" si="6"/>
        <v>0</v>
      </c>
      <c r="U7" s="81">
        <f t="shared" si="7"/>
        <v>0</v>
      </c>
      <c r="V7">
        <f t="shared" si="8"/>
        <v>0</v>
      </c>
      <c r="W7">
        <f t="shared" si="9"/>
        <v>8</v>
      </c>
      <c r="X7" s="23">
        <f t="shared" si="10"/>
        <v>79</v>
      </c>
      <c r="Y7" s="23">
        <f>X7/W7</f>
        <v>9.875</v>
      </c>
      <c r="Z7" s="8" t="s">
        <v>144</v>
      </c>
      <c r="AA7" s="219">
        <f t="shared" ca="1" si="11"/>
        <v>120</v>
      </c>
      <c r="AB7" s="220">
        <v>1.2</v>
      </c>
      <c r="AC7" s="221">
        <f t="shared" ca="1" si="12"/>
        <v>144</v>
      </c>
    </row>
    <row r="8" spans="1:37" ht="15.75" customHeight="1" x14ac:dyDescent="0.25">
      <c r="A8" s="42" t="s">
        <v>141</v>
      </c>
      <c r="B8" s="117" t="s">
        <v>145</v>
      </c>
      <c r="C8" s="40">
        <v>51</v>
      </c>
      <c r="D8" s="9">
        <v>0</v>
      </c>
      <c r="E8" s="9">
        <v>42</v>
      </c>
      <c r="F8" s="80">
        <f t="shared" si="0"/>
        <v>9</v>
      </c>
      <c r="G8" s="9">
        <v>0</v>
      </c>
      <c r="H8" s="9">
        <v>36</v>
      </c>
      <c r="I8" s="80">
        <f t="shared" si="1"/>
        <v>6</v>
      </c>
      <c r="J8" s="41">
        <v>0</v>
      </c>
      <c r="K8" s="9">
        <v>24</v>
      </c>
      <c r="L8" s="80">
        <f t="shared" si="2"/>
        <v>12</v>
      </c>
      <c r="M8" s="9">
        <v>0</v>
      </c>
      <c r="N8" s="9">
        <v>18</v>
      </c>
      <c r="O8" s="80">
        <f t="shared" si="3"/>
        <v>6</v>
      </c>
      <c r="P8" s="41">
        <v>0</v>
      </c>
      <c r="Q8" s="102">
        <v>18</v>
      </c>
      <c r="R8" s="80">
        <f t="shared" si="4"/>
        <v>0</v>
      </c>
      <c r="S8" s="41">
        <f t="shared" si="5"/>
        <v>0</v>
      </c>
      <c r="T8" s="9">
        <f t="shared" si="6"/>
        <v>18</v>
      </c>
      <c r="U8" s="81">
        <f t="shared" si="7"/>
        <v>33</v>
      </c>
      <c r="V8">
        <f t="shared" si="8"/>
        <v>5</v>
      </c>
      <c r="W8">
        <f t="shared" si="9"/>
        <v>18</v>
      </c>
      <c r="X8" s="23">
        <f t="shared" si="10"/>
        <v>111</v>
      </c>
      <c r="Y8" s="23">
        <f>X8/W8</f>
        <v>6.166666666666667</v>
      </c>
      <c r="Z8" s="8" t="s">
        <v>145</v>
      </c>
      <c r="AA8" s="219">
        <f t="shared" ca="1" si="11"/>
        <v>96</v>
      </c>
      <c r="AB8" s="220">
        <v>1.1000000000000001</v>
      </c>
      <c r="AC8" s="221">
        <f t="shared" ca="1" si="12"/>
        <v>105.60000000000001</v>
      </c>
    </row>
    <row r="9" spans="1:37" ht="15.75" customHeight="1" x14ac:dyDescent="0.25">
      <c r="A9" s="42" t="s">
        <v>146</v>
      </c>
      <c r="B9" s="117" t="s">
        <v>147</v>
      </c>
      <c r="C9" s="40">
        <v>11</v>
      </c>
      <c r="D9" s="9">
        <v>0</v>
      </c>
      <c r="E9" s="9">
        <v>6</v>
      </c>
      <c r="F9" s="80">
        <f t="shared" si="0"/>
        <v>5</v>
      </c>
      <c r="G9" s="9">
        <v>0</v>
      </c>
      <c r="H9" s="9">
        <v>4</v>
      </c>
      <c r="I9" s="80">
        <f t="shared" si="1"/>
        <v>2</v>
      </c>
      <c r="J9" s="41">
        <v>0</v>
      </c>
      <c r="K9" s="9">
        <v>0</v>
      </c>
      <c r="L9" s="80">
        <f t="shared" si="2"/>
        <v>4</v>
      </c>
      <c r="M9" s="9">
        <v>0</v>
      </c>
      <c r="N9" s="9">
        <v>0</v>
      </c>
      <c r="O9" s="80">
        <f t="shared" si="3"/>
        <v>0</v>
      </c>
      <c r="P9" s="41">
        <v>0</v>
      </c>
      <c r="Q9" s="102">
        <v>0</v>
      </c>
      <c r="R9" s="80">
        <f t="shared" si="4"/>
        <v>0</v>
      </c>
      <c r="S9" s="41">
        <f t="shared" si="5"/>
        <v>0</v>
      </c>
      <c r="T9" s="9">
        <f t="shared" si="6"/>
        <v>0</v>
      </c>
      <c r="U9" s="81">
        <f t="shared" si="7"/>
        <v>11</v>
      </c>
      <c r="V9">
        <f t="shared" si="8"/>
        <v>2</v>
      </c>
      <c r="W9">
        <f t="shared" si="9"/>
        <v>2</v>
      </c>
      <c r="X9" s="23">
        <f t="shared" si="10"/>
        <v>11</v>
      </c>
      <c r="Y9" s="23">
        <f>X9/W9</f>
        <v>5.5</v>
      </c>
      <c r="Z9" s="8" t="s">
        <v>147</v>
      </c>
      <c r="AA9" s="219">
        <f t="shared" ca="1" si="11"/>
        <v>0</v>
      </c>
      <c r="AB9" s="220">
        <v>2.78</v>
      </c>
      <c r="AC9" s="221">
        <f t="shared" ca="1" si="12"/>
        <v>0</v>
      </c>
    </row>
    <row r="10" spans="1:37" ht="15.75" customHeight="1" x14ac:dyDescent="0.25">
      <c r="A10" s="42" t="s">
        <v>146</v>
      </c>
      <c r="B10" s="117" t="s">
        <v>148</v>
      </c>
      <c r="C10" s="40">
        <v>0</v>
      </c>
      <c r="D10" s="9">
        <v>0</v>
      </c>
      <c r="E10" s="9">
        <v>0</v>
      </c>
      <c r="F10" s="80">
        <f t="shared" si="0"/>
        <v>0</v>
      </c>
      <c r="G10" s="9">
        <v>0</v>
      </c>
      <c r="H10" s="9">
        <v>0</v>
      </c>
      <c r="I10" s="80">
        <f t="shared" si="1"/>
        <v>0</v>
      </c>
      <c r="J10" s="41">
        <v>0</v>
      </c>
      <c r="K10" s="9">
        <v>0</v>
      </c>
      <c r="L10" s="80">
        <f t="shared" si="2"/>
        <v>0</v>
      </c>
      <c r="M10" s="9">
        <v>0</v>
      </c>
      <c r="N10" s="9">
        <v>0</v>
      </c>
      <c r="O10" s="80">
        <f t="shared" si="3"/>
        <v>0</v>
      </c>
      <c r="P10" s="41">
        <v>0</v>
      </c>
      <c r="Q10" s="102">
        <v>0</v>
      </c>
      <c r="R10" s="80">
        <f t="shared" si="4"/>
        <v>0</v>
      </c>
      <c r="S10" s="41">
        <f t="shared" si="5"/>
        <v>0</v>
      </c>
      <c r="T10" s="9">
        <f t="shared" si="6"/>
        <v>0</v>
      </c>
      <c r="U10" s="81">
        <f t="shared" si="7"/>
        <v>0</v>
      </c>
      <c r="V10">
        <f t="shared" si="8"/>
        <v>0</v>
      </c>
      <c r="W10">
        <f t="shared" si="9"/>
        <v>0</v>
      </c>
      <c r="X10" s="23">
        <f t="shared" si="10"/>
        <v>0</v>
      </c>
      <c r="Y10" s="23">
        <v>0</v>
      </c>
      <c r="Z10" s="8" t="s">
        <v>148</v>
      </c>
      <c r="AA10" s="219">
        <f t="shared" ca="1" si="11"/>
        <v>0</v>
      </c>
      <c r="AB10" s="220">
        <v>4.9000000000000004</v>
      </c>
      <c r="AC10" s="221">
        <f t="shared" ca="1" si="12"/>
        <v>0</v>
      </c>
    </row>
    <row r="11" spans="1:37" ht="15.75" customHeight="1" x14ac:dyDescent="0.25">
      <c r="A11" s="42" t="s">
        <v>149</v>
      </c>
      <c r="B11" s="117" t="s">
        <v>150</v>
      </c>
      <c r="C11" s="40">
        <v>0</v>
      </c>
      <c r="D11" s="9">
        <v>0</v>
      </c>
      <c r="E11" s="9">
        <v>0</v>
      </c>
      <c r="F11" s="80">
        <f t="shared" si="0"/>
        <v>0</v>
      </c>
      <c r="G11" s="9">
        <v>0</v>
      </c>
      <c r="H11" s="9">
        <v>0</v>
      </c>
      <c r="I11" s="80">
        <f t="shared" si="1"/>
        <v>0</v>
      </c>
      <c r="J11" s="41">
        <v>0</v>
      </c>
      <c r="K11" s="9">
        <v>0</v>
      </c>
      <c r="L11" s="80">
        <f t="shared" si="2"/>
        <v>0</v>
      </c>
      <c r="M11" s="9">
        <v>0</v>
      </c>
      <c r="N11" s="9">
        <v>0</v>
      </c>
      <c r="O11" s="80">
        <f t="shared" si="3"/>
        <v>0</v>
      </c>
      <c r="P11" s="41">
        <v>0</v>
      </c>
      <c r="Q11" s="102">
        <v>0</v>
      </c>
      <c r="R11" s="80">
        <f t="shared" si="4"/>
        <v>0</v>
      </c>
      <c r="S11" s="41">
        <f t="shared" si="5"/>
        <v>0</v>
      </c>
      <c r="T11" s="9">
        <f t="shared" si="6"/>
        <v>0</v>
      </c>
      <c r="U11" s="81">
        <f t="shared" si="7"/>
        <v>0</v>
      </c>
      <c r="V11">
        <f t="shared" si="8"/>
        <v>0</v>
      </c>
      <c r="W11">
        <f t="shared" si="9"/>
        <v>8</v>
      </c>
      <c r="X11" s="23">
        <f t="shared" si="10"/>
        <v>252</v>
      </c>
      <c r="Y11" s="23">
        <f>X11/W11</f>
        <v>31.5</v>
      </c>
      <c r="Z11" s="8" t="s">
        <v>150</v>
      </c>
      <c r="AA11" s="219">
        <f t="shared" ca="1" si="11"/>
        <v>456</v>
      </c>
      <c r="AB11" s="220">
        <v>0.34300000000000003</v>
      </c>
      <c r="AC11" s="221">
        <f t="shared" ca="1" si="12"/>
        <v>156.40800000000002</v>
      </c>
    </row>
    <row r="12" spans="1:37" ht="15.75" customHeight="1" x14ac:dyDescent="0.25">
      <c r="A12" s="42" t="s">
        <v>151</v>
      </c>
      <c r="B12" s="117" t="s">
        <v>152</v>
      </c>
      <c r="C12" s="40">
        <v>33</v>
      </c>
      <c r="D12" s="9">
        <v>0</v>
      </c>
      <c r="E12" s="9">
        <v>28</v>
      </c>
      <c r="F12" s="80">
        <f t="shared" si="0"/>
        <v>5</v>
      </c>
      <c r="G12" s="9">
        <v>0</v>
      </c>
      <c r="H12" s="9">
        <v>20</v>
      </c>
      <c r="I12" s="80">
        <f t="shared" si="1"/>
        <v>8</v>
      </c>
      <c r="J12" s="41">
        <v>24</v>
      </c>
      <c r="K12" s="9">
        <f>16+24</f>
        <v>40</v>
      </c>
      <c r="L12" s="80">
        <f t="shared" si="2"/>
        <v>4</v>
      </c>
      <c r="M12" s="9">
        <v>0</v>
      </c>
      <c r="N12" s="9">
        <v>36</v>
      </c>
      <c r="O12" s="80">
        <f t="shared" si="3"/>
        <v>4</v>
      </c>
      <c r="P12" s="41">
        <v>0</v>
      </c>
      <c r="Q12" s="102">
        <v>29</v>
      </c>
      <c r="R12" s="80">
        <f t="shared" si="4"/>
        <v>7</v>
      </c>
      <c r="S12" s="41">
        <f t="shared" si="5"/>
        <v>24</v>
      </c>
      <c r="T12" s="9">
        <f t="shared" si="6"/>
        <v>29</v>
      </c>
      <c r="U12" s="81">
        <f t="shared" si="7"/>
        <v>28</v>
      </c>
      <c r="V12">
        <f t="shared" si="8"/>
        <v>5</v>
      </c>
      <c r="W12">
        <f t="shared" si="9"/>
        <v>20</v>
      </c>
      <c r="X12" s="23">
        <f t="shared" si="10"/>
        <v>68</v>
      </c>
      <c r="Y12" s="23">
        <f>X12/W12</f>
        <v>3.4</v>
      </c>
      <c r="Z12" s="8" t="s">
        <v>152</v>
      </c>
      <c r="AA12" s="219">
        <f t="shared" ca="1" si="11"/>
        <v>72</v>
      </c>
      <c r="AB12" s="220">
        <v>3.4580000000000002</v>
      </c>
      <c r="AC12" s="221">
        <f t="shared" ca="1" si="12"/>
        <v>248.976</v>
      </c>
    </row>
    <row r="13" spans="1:37" ht="15.75" customHeight="1" x14ac:dyDescent="0.25">
      <c r="A13" s="42" t="s">
        <v>151</v>
      </c>
      <c r="B13" s="117" t="s">
        <v>153</v>
      </c>
      <c r="C13" s="40">
        <v>24</v>
      </c>
      <c r="D13" s="9">
        <v>24</v>
      </c>
      <c r="E13" s="9">
        <f>0+24</f>
        <v>24</v>
      </c>
      <c r="F13" s="80">
        <f t="shared" si="0"/>
        <v>24</v>
      </c>
      <c r="G13" s="9">
        <v>24</v>
      </c>
      <c r="H13" s="9">
        <f>0+24</f>
        <v>24</v>
      </c>
      <c r="I13" s="80">
        <f t="shared" si="1"/>
        <v>24</v>
      </c>
      <c r="J13" s="41">
        <v>24</v>
      </c>
      <c r="K13" s="9">
        <v>24</v>
      </c>
      <c r="L13" s="80">
        <f t="shared" si="2"/>
        <v>24</v>
      </c>
      <c r="M13" s="9">
        <v>0</v>
      </c>
      <c r="N13" s="9">
        <v>0</v>
      </c>
      <c r="O13" s="80">
        <f t="shared" si="3"/>
        <v>24</v>
      </c>
      <c r="P13" s="41">
        <v>24</v>
      </c>
      <c r="Q13" s="102">
        <v>0</v>
      </c>
      <c r="R13" s="80">
        <f t="shared" si="4"/>
        <v>24</v>
      </c>
      <c r="S13" s="41">
        <f t="shared" si="5"/>
        <v>96</v>
      </c>
      <c r="T13" s="9">
        <f t="shared" si="6"/>
        <v>0</v>
      </c>
      <c r="U13" s="81">
        <f t="shared" si="7"/>
        <v>120</v>
      </c>
      <c r="V13">
        <f t="shared" si="8"/>
        <v>3</v>
      </c>
      <c r="W13">
        <f t="shared" si="9"/>
        <v>18</v>
      </c>
      <c r="X13" s="23">
        <f t="shared" si="10"/>
        <v>271</v>
      </c>
      <c r="Y13" s="23">
        <f>X13/W13</f>
        <v>15.055555555555555</v>
      </c>
      <c r="Z13" s="59" t="s">
        <v>153</v>
      </c>
      <c r="AA13" s="219">
        <f t="shared" ca="1" si="11"/>
        <v>330</v>
      </c>
      <c r="AB13" s="220">
        <v>4</v>
      </c>
      <c r="AC13" s="221">
        <f t="shared" ca="1" si="12"/>
        <v>1320</v>
      </c>
    </row>
    <row r="14" spans="1:37" ht="15.75" customHeight="1" x14ac:dyDescent="0.25">
      <c r="A14" s="42" t="s">
        <v>154</v>
      </c>
      <c r="B14" s="117" t="s">
        <v>155</v>
      </c>
      <c r="C14" s="40">
        <v>45</v>
      </c>
      <c r="D14" s="9">
        <v>30</v>
      </c>
      <c r="E14" s="9">
        <f>30+7</f>
        <v>37</v>
      </c>
      <c r="F14" s="80">
        <f t="shared" si="0"/>
        <v>38</v>
      </c>
      <c r="G14" s="9">
        <v>0</v>
      </c>
      <c r="H14" s="9">
        <v>4</v>
      </c>
      <c r="I14" s="80">
        <f t="shared" si="1"/>
        <v>33</v>
      </c>
      <c r="J14" s="41">
        <v>30</v>
      </c>
      <c r="K14" s="9">
        <v>30</v>
      </c>
      <c r="L14" s="80">
        <f t="shared" si="2"/>
        <v>4</v>
      </c>
      <c r="M14" s="9">
        <v>0</v>
      </c>
      <c r="N14" s="9">
        <v>13</v>
      </c>
      <c r="O14" s="80">
        <f t="shared" si="3"/>
        <v>17</v>
      </c>
      <c r="P14" s="41">
        <v>0</v>
      </c>
      <c r="Q14" s="102">
        <v>0</v>
      </c>
      <c r="R14" s="80">
        <f t="shared" si="4"/>
        <v>13</v>
      </c>
      <c r="S14" s="41">
        <f t="shared" si="5"/>
        <v>60</v>
      </c>
      <c r="T14" s="9">
        <f t="shared" si="6"/>
        <v>0</v>
      </c>
      <c r="U14" s="81">
        <f t="shared" si="7"/>
        <v>105</v>
      </c>
      <c r="V14">
        <f t="shared" si="8"/>
        <v>4</v>
      </c>
      <c r="W14">
        <f t="shared" si="9"/>
        <v>16</v>
      </c>
      <c r="X14" s="23">
        <f t="shared" si="10"/>
        <v>255</v>
      </c>
      <c r="Y14" s="23">
        <f>X14/W14</f>
        <v>15.9375</v>
      </c>
      <c r="Z14" s="59" t="s">
        <v>155</v>
      </c>
      <c r="AA14" s="219">
        <f t="shared" ca="1" si="11"/>
        <v>285</v>
      </c>
      <c r="AB14" s="220">
        <v>0.73</v>
      </c>
      <c r="AC14" s="221">
        <f t="shared" ca="1" si="12"/>
        <v>208.04999999999998</v>
      </c>
    </row>
    <row r="15" spans="1:37" ht="15.75" customHeight="1" x14ac:dyDescent="0.25">
      <c r="A15" s="42" t="s">
        <v>154</v>
      </c>
      <c r="B15" s="117" t="s">
        <v>156</v>
      </c>
      <c r="C15" s="11">
        <v>9</v>
      </c>
      <c r="D15" s="9">
        <v>45</v>
      </c>
      <c r="E15" s="9">
        <f>0+45</f>
        <v>45</v>
      </c>
      <c r="F15" s="80">
        <f t="shared" si="0"/>
        <v>9</v>
      </c>
      <c r="G15" s="9">
        <v>0</v>
      </c>
      <c r="H15" s="9">
        <v>35</v>
      </c>
      <c r="I15" s="80">
        <f t="shared" si="1"/>
        <v>10</v>
      </c>
      <c r="J15" s="41">
        <v>30</v>
      </c>
      <c r="K15" s="9">
        <f>23+30</f>
        <v>53</v>
      </c>
      <c r="L15" s="80">
        <f t="shared" si="2"/>
        <v>12</v>
      </c>
      <c r="M15" s="9">
        <v>0</v>
      </c>
      <c r="N15" s="9">
        <v>48</v>
      </c>
      <c r="O15" s="80">
        <f t="shared" si="3"/>
        <v>5</v>
      </c>
      <c r="P15" s="41">
        <v>0</v>
      </c>
      <c r="Q15" s="102">
        <v>41</v>
      </c>
      <c r="R15" s="80">
        <f t="shared" si="4"/>
        <v>7</v>
      </c>
      <c r="S15" s="41">
        <f t="shared" si="5"/>
        <v>75</v>
      </c>
      <c r="T15" s="9">
        <f t="shared" si="6"/>
        <v>41</v>
      </c>
      <c r="U15" s="81">
        <f t="shared" si="7"/>
        <v>43</v>
      </c>
      <c r="V15">
        <f t="shared" si="8"/>
        <v>5</v>
      </c>
      <c r="W15">
        <f t="shared" si="9"/>
        <v>20</v>
      </c>
      <c r="X15" s="23">
        <f t="shared" si="10"/>
        <v>161</v>
      </c>
      <c r="Y15" s="23">
        <f>X15/W15</f>
        <v>8.0500000000000007</v>
      </c>
      <c r="Z15" s="59" t="s">
        <v>156</v>
      </c>
      <c r="AA15" s="219">
        <f t="shared" ca="1" si="11"/>
        <v>210</v>
      </c>
      <c r="AB15" s="220">
        <v>0.73</v>
      </c>
      <c r="AC15" s="221">
        <f t="shared" ca="1" si="12"/>
        <v>153.29999999999998</v>
      </c>
    </row>
    <row r="16" spans="1:37" ht="15.75" customHeight="1" x14ac:dyDescent="0.25">
      <c r="A16" s="42"/>
      <c r="B16" s="117"/>
      <c r="C16" s="11"/>
      <c r="D16" s="9"/>
      <c r="E16" s="9"/>
      <c r="F16" s="80"/>
      <c r="G16" s="9"/>
      <c r="H16" s="9"/>
      <c r="I16" s="80"/>
      <c r="J16" s="41"/>
      <c r="K16" s="9"/>
      <c r="L16" s="80"/>
      <c r="M16" s="9"/>
      <c r="N16" s="9"/>
      <c r="O16" s="80"/>
      <c r="P16" s="41"/>
      <c r="Q16" s="102"/>
      <c r="R16" s="80"/>
      <c r="S16" s="41"/>
      <c r="T16" s="9"/>
      <c r="U16" s="81"/>
      <c r="X16" s="23"/>
      <c r="Y16" s="23"/>
      <c r="Z16" s="67"/>
      <c r="AA16" s="222"/>
      <c r="AB16" s="223"/>
      <c r="AC16" s="224"/>
    </row>
    <row r="17" spans="1:32" ht="15.75" customHeight="1" x14ac:dyDescent="0.25">
      <c r="A17" s="42" t="s">
        <v>157</v>
      </c>
      <c r="B17" s="117" t="s">
        <v>158</v>
      </c>
      <c r="C17" s="11">
        <v>35</v>
      </c>
      <c r="D17" s="9">
        <v>0</v>
      </c>
      <c r="E17" s="9">
        <v>22</v>
      </c>
      <c r="F17" s="80">
        <f t="shared" ref="F17:F30" si="13">C17+D17-E17</f>
        <v>13</v>
      </c>
      <c r="G17" s="9">
        <v>24</v>
      </c>
      <c r="H17" s="9">
        <f>24+11</f>
        <v>35</v>
      </c>
      <c r="I17" s="80">
        <f t="shared" ref="I17:I30" si="14">E17+G17-H17</f>
        <v>11</v>
      </c>
      <c r="J17" s="41">
        <v>0</v>
      </c>
      <c r="K17" s="9">
        <v>13</v>
      </c>
      <c r="L17" s="80">
        <f t="shared" ref="L17:L30" si="15">H17+J17-K17</f>
        <v>22</v>
      </c>
      <c r="M17" s="9">
        <v>0</v>
      </c>
      <c r="N17" s="9">
        <v>2</v>
      </c>
      <c r="O17" s="80">
        <f t="shared" ref="O17:O30" si="16">K17+M17-N17</f>
        <v>11</v>
      </c>
      <c r="P17" s="41">
        <v>48</v>
      </c>
      <c r="Q17" s="102">
        <f>0+48</f>
        <v>48</v>
      </c>
      <c r="R17" s="80">
        <f t="shared" ref="R17:R30" si="17">N17+P17-Q17</f>
        <v>2</v>
      </c>
      <c r="S17" s="41">
        <f t="shared" ref="S17:S30" si="18">SUMIF($D$3:$R$3,"Stock In",D17:R17)</f>
        <v>72</v>
      </c>
      <c r="T17" s="9">
        <f t="shared" ref="T17:T30" si="19">Q17</f>
        <v>48</v>
      </c>
      <c r="U17" s="81">
        <f t="shared" ref="U17:U30" si="20">SUMIF($D$3:$R$3,"Consumption",D17:R17)</f>
        <v>59</v>
      </c>
      <c r="V17">
        <f t="shared" ref="V17:V30" si="21">COUNTIF(E17,"&gt;0")+COUNTIF(H17,"&gt;0")+COUNTIF(K17,"&gt;0")+COUNTIF(N17,"&gt;0")+COUNTIF(Q17,"&gt;0")</f>
        <v>5</v>
      </c>
      <c r="W17">
        <f>V17+V49+V80+V113</f>
        <v>14</v>
      </c>
      <c r="X17" s="23">
        <f>U17+U49+U80+F113+I113+L113+O113</f>
        <v>179</v>
      </c>
      <c r="Y17" s="23">
        <f t="shared" ref="Y17:Y25" si="22">X17/W17</f>
        <v>12.785714285714286</v>
      </c>
      <c r="Z17" s="8" t="s">
        <v>158</v>
      </c>
      <c r="AA17" s="219">
        <f t="shared" ref="AA17:AA31" ca="1" si="23">SUMIF($B$5:$B$161,Z17,$S$5:$S$161)</f>
        <v>240</v>
      </c>
      <c r="AB17" s="220">
        <v>2.37</v>
      </c>
      <c r="AC17" s="221">
        <f t="shared" ref="AC17:AC31" ca="1" si="24">AA17*AB17</f>
        <v>568.80000000000007</v>
      </c>
      <c r="AF17" s="118"/>
    </row>
    <row r="18" spans="1:32" ht="15.75" customHeight="1" x14ac:dyDescent="0.25">
      <c r="A18" s="42" t="s">
        <v>157</v>
      </c>
      <c r="B18" s="117" t="s">
        <v>159</v>
      </c>
      <c r="C18" s="40">
        <v>31</v>
      </c>
      <c r="D18" s="9">
        <v>0</v>
      </c>
      <c r="E18" s="9">
        <v>29</v>
      </c>
      <c r="F18" s="80">
        <f t="shared" si="13"/>
        <v>2</v>
      </c>
      <c r="G18" s="9">
        <v>0</v>
      </c>
      <c r="H18" s="9">
        <v>27</v>
      </c>
      <c r="I18" s="80">
        <f t="shared" si="14"/>
        <v>2</v>
      </c>
      <c r="J18" s="41">
        <v>0</v>
      </c>
      <c r="K18" s="9">
        <v>26</v>
      </c>
      <c r="L18" s="80">
        <f t="shared" si="15"/>
        <v>1</v>
      </c>
      <c r="M18" s="9">
        <v>0</v>
      </c>
      <c r="N18" s="9">
        <v>23</v>
      </c>
      <c r="O18" s="80">
        <f t="shared" si="16"/>
        <v>3</v>
      </c>
      <c r="P18" s="41">
        <v>0</v>
      </c>
      <c r="Q18" s="102">
        <v>19</v>
      </c>
      <c r="R18" s="80">
        <f t="shared" si="17"/>
        <v>4</v>
      </c>
      <c r="S18" s="41">
        <f t="shared" si="18"/>
        <v>0</v>
      </c>
      <c r="T18" s="9">
        <f t="shared" si="19"/>
        <v>19</v>
      </c>
      <c r="U18" s="81">
        <f t="shared" si="20"/>
        <v>12</v>
      </c>
      <c r="V18">
        <f t="shared" si="21"/>
        <v>5</v>
      </c>
      <c r="W18">
        <f>V18+V50+V81+V114</f>
        <v>20</v>
      </c>
      <c r="X18" s="23">
        <f>U18+U50+U81+F114+I114+L114+O114</f>
        <v>38</v>
      </c>
      <c r="Y18" s="23">
        <f t="shared" si="22"/>
        <v>1.9</v>
      </c>
      <c r="Z18" s="8" t="s">
        <v>159</v>
      </c>
      <c r="AA18" s="219">
        <f t="shared" ca="1" si="23"/>
        <v>48</v>
      </c>
      <c r="AB18" s="220">
        <v>2.1875</v>
      </c>
      <c r="AC18" s="221">
        <f t="shared" ca="1" si="24"/>
        <v>105</v>
      </c>
      <c r="AF18" s="118"/>
    </row>
    <row r="19" spans="1:32" ht="15.75" customHeight="1" x14ac:dyDescent="0.25">
      <c r="A19" s="42" t="s">
        <v>157</v>
      </c>
      <c r="B19" s="117" t="s">
        <v>160</v>
      </c>
      <c r="C19" s="40">
        <v>30</v>
      </c>
      <c r="D19" s="9">
        <v>0</v>
      </c>
      <c r="E19" s="9">
        <v>24</v>
      </c>
      <c r="F19" s="80">
        <f t="shared" si="13"/>
        <v>6</v>
      </c>
      <c r="G19" s="9">
        <v>0</v>
      </c>
      <c r="H19" s="9">
        <v>23</v>
      </c>
      <c r="I19" s="80">
        <f t="shared" si="14"/>
        <v>1</v>
      </c>
      <c r="J19" s="41">
        <v>0</v>
      </c>
      <c r="K19" s="9">
        <v>18</v>
      </c>
      <c r="L19" s="80">
        <f t="shared" si="15"/>
        <v>5</v>
      </c>
      <c r="M19" s="9">
        <v>0</v>
      </c>
      <c r="N19" s="9">
        <v>16</v>
      </c>
      <c r="O19" s="80">
        <f t="shared" si="16"/>
        <v>2</v>
      </c>
      <c r="P19" s="41">
        <v>0</v>
      </c>
      <c r="Q19" s="102">
        <v>14</v>
      </c>
      <c r="R19" s="80">
        <f t="shared" si="17"/>
        <v>2</v>
      </c>
      <c r="S19" s="41">
        <f t="shared" si="18"/>
        <v>0</v>
      </c>
      <c r="T19" s="9">
        <f t="shared" si="19"/>
        <v>14</v>
      </c>
      <c r="U19" s="81">
        <f t="shared" si="20"/>
        <v>16</v>
      </c>
      <c r="V19">
        <f t="shared" si="21"/>
        <v>5</v>
      </c>
      <c r="W19">
        <f>V19+V51+V82+V115</f>
        <v>20</v>
      </c>
      <c r="X19" s="23">
        <f>U19+U51+U82+F115+I115+L115+O115</f>
        <v>55</v>
      </c>
      <c r="Y19" s="23">
        <f t="shared" si="22"/>
        <v>2.75</v>
      </c>
      <c r="Z19" s="8" t="s">
        <v>160</v>
      </c>
      <c r="AA19" s="219">
        <f t="shared" ca="1" si="23"/>
        <v>72</v>
      </c>
      <c r="AB19" s="220">
        <v>2.1875</v>
      </c>
      <c r="AC19" s="221">
        <f t="shared" ca="1" si="24"/>
        <v>157.5</v>
      </c>
      <c r="AF19" s="118"/>
    </row>
    <row r="20" spans="1:32" ht="15.75" customHeight="1" x14ac:dyDescent="0.25">
      <c r="A20" s="42" t="s">
        <v>161</v>
      </c>
      <c r="B20" s="117" t="s">
        <v>162</v>
      </c>
      <c r="C20" s="40">
        <v>0</v>
      </c>
      <c r="D20" s="9">
        <v>0</v>
      </c>
      <c r="E20" s="9">
        <v>0</v>
      </c>
      <c r="F20" s="80">
        <f t="shared" si="13"/>
        <v>0</v>
      </c>
      <c r="G20" s="9">
        <v>0</v>
      </c>
      <c r="H20" s="9">
        <v>0</v>
      </c>
      <c r="I20" s="80">
        <f t="shared" si="14"/>
        <v>0</v>
      </c>
      <c r="J20" s="41">
        <v>0</v>
      </c>
      <c r="K20" s="9">
        <v>0</v>
      </c>
      <c r="L20" s="80">
        <f t="shared" si="15"/>
        <v>0</v>
      </c>
      <c r="M20" s="9">
        <v>0</v>
      </c>
      <c r="N20" s="9">
        <v>0</v>
      </c>
      <c r="O20" s="80">
        <f t="shared" si="16"/>
        <v>0</v>
      </c>
      <c r="P20" s="41">
        <v>72</v>
      </c>
      <c r="Q20" s="102">
        <f>0+36</f>
        <v>36</v>
      </c>
      <c r="R20" s="80">
        <f t="shared" si="17"/>
        <v>36</v>
      </c>
      <c r="S20" s="41">
        <f t="shared" si="18"/>
        <v>72</v>
      </c>
      <c r="T20" s="9">
        <f t="shared" si="19"/>
        <v>36</v>
      </c>
      <c r="U20" s="81">
        <f t="shared" si="20"/>
        <v>36</v>
      </c>
      <c r="V20">
        <f t="shared" si="21"/>
        <v>1</v>
      </c>
      <c r="W20">
        <f>V20+V52+V83+V116</f>
        <v>16</v>
      </c>
      <c r="X20" s="23">
        <f>U20+U52+U83+F116+I116+L116+O116</f>
        <v>366</v>
      </c>
      <c r="Y20" s="23">
        <f t="shared" si="22"/>
        <v>22.875</v>
      </c>
      <c r="Z20" s="8" t="s">
        <v>162</v>
      </c>
      <c r="AA20" s="219">
        <f t="shared" ca="1" si="23"/>
        <v>612</v>
      </c>
      <c r="AB20" s="220">
        <v>3</v>
      </c>
      <c r="AC20" s="221">
        <f t="shared" ca="1" si="24"/>
        <v>1836</v>
      </c>
      <c r="AF20" s="118"/>
    </row>
    <row r="21" spans="1:32" ht="15.75" customHeight="1" x14ac:dyDescent="0.25">
      <c r="A21" s="42" t="s">
        <v>163</v>
      </c>
      <c r="B21" s="117" t="s">
        <v>164</v>
      </c>
      <c r="C21" s="40">
        <v>55</v>
      </c>
      <c r="D21" s="9">
        <v>0</v>
      </c>
      <c r="E21" s="9">
        <v>46</v>
      </c>
      <c r="F21" s="80">
        <f t="shared" si="13"/>
        <v>9</v>
      </c>
      <c r="G21" s="9">
        <v>0</v>
      </c>
      <c r="H21" s="9">
        <v>41</v>
      </c>
      <c r="I21" s="80">
        <f t="shared" si="14"/>
        <v>5</v>
      </c>
      <c r="J21" s="41">
        <v>0</v>
      </c>
      <c r="K21" s="9">
        <v>31</v>
      </c>
      <c r="L21" s="80">
        <f t="shared" si="15"/>
        <v>10</v>
      </c>
      <c r="M21" s="9">
        <v>0</v>
      </c>
      <c r="N21" s="9">
        <v>18</v>
      </c>
      <c r="O21" s="80">
        <f t="shared" si="16"/>
        <v>13</v>
      </c>
      <c r="P21" s="41">
        <v>0</v>
      </c>
      <c r="Q21" s="102">
        <v>5</v>
      </c>
      <c r="R21" s="80">
        <f t="shared" si="17"/>
        <v>13</v>
      </c>
      <c r="S21" s="41">
        <f t="shared" si="18"/>
        <v>0</v>
      </c>
      <c r="T21" s="9">
        <f t="shared" si="19"/>
        <v>5</v>
      </c>
      <c r="U21" s="81">
        <f t="shared" si="20"/>
        <v>50</v>
      </c>
      <c r="V21">
        <f t="shared" si="21"/>
        <v>5</v>
      </c>
      <c r="W21">
        <f>V21+V54+V85+V118</f>
        <v>16</v>
      </c>
      <c r="X21" s="23">
        <f>U21+U53+U84+F118+I118+L118+O118</f>
        <v>155</v>
      </c>
      <c r="Y21" s="23">
        <f t="shared" si="22"/>
        <v>9.6875</v>
      </c>
      <c r="Z21" s="8" t="s">
        <v>165</v>
      </c>
      <c r="AA21" s="219">
        <f t="shared" ca="1" si="23"/>
        <v>0</v>
      </c>
      <c r="AB21" s="220">
        <v>2.2999999999999998</v>
      </c>
      <c r="AC21" s="221">
        <f t="shared" ca="1" si="24"/>
        <v>0</v>
      </c>
      <c r="AD21" s="119"/>
      <c r="AF21" s="118"/>
    </row>
    <row r="22" spans="1:32" ht="15.75" customHeight="1" x14ac:dyDescent="0.25">
      <c r="A22" s="42" t="s">
        <v>163</v>
      </c>
      <c r="B22" s="117" t="s">
        <v>166</v>
      </c>
      <c r="C22" s="40">
        <v>24</v>
      </c>
      <c r="D22" s="9">
        <v>36</v>
      </c>
      <c r="E22" s="9">
        <f>0+36</f>
        <v>36</v>
      </c>
      <c r="F22" s="80">
        <f t="shared" si="13"/>
        <v>24</v>
      </c>
      <c r="G22" s="9">
        <v>0</v>
      </c>
      <c r="H22" s="9">
        <v>0</v>
      </c>
      <c r="I22" s="80">
        <f t="shared" si="14"/>
        <v>36</v>
      </c>
      <c r="J22" s="41">
        <v>0</v>
      </c>
      <c r="K22" s="9">
        <v>0</v>
      </c>
      <c r="L22" s="80">
        <f t="shared" si="15"/>
        <v>0</v>
      </c>
      <c r="M22" s="9">
        <v>0</v>
      </c>
      <c r="N22" s="9">
        <v>0</v>
      </c>
      <c r="O22" s="80">
        <f t="shared" si="16"/>
        <v>0</v>
      </c>
      <c r="P22" s="41">
        <v>0</v>
      </c>
      <c r="Q22" s="102">
        <v>0</v>
      </c>
      <c r="R22" s="80">
        <f t="shared" si="17"/>
        <v>0</v>
      </c>
      <c r="S22" s="41">
        <f t="shared" si="18"/>
        <v>36</v>
      </c>
      <c r="T22" s="9">
        <f t="shared" si="19"/>
        <v>0</v>
      </c>
      <c r="U22" s="81">
        <f t="shared" si="20"/>
        <v>60</v>
      </c>
      <c r="V22">
        <f t="shared" si="21"/>
        <v>1</v>
      </c>
      <c r="W22">
        <f t="shared" ref="W22:W30" si="25">V22+V54+V85+V119</f>
        <v>11</v>
      </c>
      <c r="X22" s="23">
        <f t="shared" ref="X22:X30" si="26">U22+U54+U85+F119</f>
        <v>240</v>
      </c>
      <c r="Y22" s="23">
        <f t="shared" si="22"/>
        <v>21.818181818181817</v>
      </c>
      <c r="Z22" s="8" t="s">
        <v>164</v>
      </c>
      <c r="AA22" s="219">
        <f t="shared" ca="1" si="23"/>
        <v>168</v>
      </c>
      <c r="AB22" s="220">
        <v>1.83</v>
      </c>
      <c r="AC22" s="221">
        <f t="shared" ca="1" si="24"/>
        <v>307.44</v>
      </c>
      <c r="AF22" s="118"/>
    </row>
    <row r="23" spans="1:32" ht="15.75" customHeight="1" x14ac:dyDescent="0.25">
      <c r="A23" s="42" t="s">
        <v>163</v>
      </c>
      <c r="B23" s="117" t="s">
        <v>167</v>
      </c>
      <c r="C23" s="40">
        <v>24</v>
      </c>
      <c r="D23" s="9">
        <v>36</v>
      </c>
      <c r="E23" s="9">
        <f>0+36</f>
        <v>36</v>
      </c>
      <c r="F23" s="80">
        <f t="shared" si="13"/>
        <v>24</v>
      </c>
      <c r="G23" s="9">
        <v>0</v>
      </c>
      <c r="H23" s="9">
        <v>0</v>
      </c>
      <c r="I23" s="80">
        <f t="shared" si="14"/>
        <v>36</v>
      </c>
      <c r="J23" s="41">
        <v>0</v>
      </c>
      <c r="K23" s="9">
        <v>0</v>
      </c>
      <c r="L23" s="80">
        <f t="shared" si="15"/>
        <v>0</v>
      </c>
      <c r="M23" s="9">
        <v>0</v>
      </c>
      <c r="N23" s="9">
        <v>0</v>
      </c>
      <c r="O23" s="80">
        <f t="shared" si="16"/>
        <v>0</v>
      </c>
      <c r="P23" s="41">
        <v>0</v>
      </c>
      <c r="Q23" s="102">
        <v>0</v>
      </c>
      <c r="R23" s="80">
        <f t="shared" si="17"/>
        <v>0</v>
      </c>
      <c r="S23" s="41">
        <f t="shared" si="18"/>
        <v>36</v>
      </c>
      <c r="T23" s="9">
        <f t="shared" si="19"/>
        <v>0</v>
      </c>
      <c r="U23" s="81">
        <f t="shared" si="20"/>
        <v>60</v>
      </c>
      <c r="V23">
        <f t="shared" si="21"/>
        <v>1</v>
      </c>
      <c r="W23">
        <f t="shared" si="25"/>
        <v>12</v>
      </c>
      <c r="X23" s="23">
        <f t="shared" si="26"/>
        <v>202</v>
      </c>
      <c r="Y23" s="23">
        <f t="shared" si="22"/>
        <v>16.833333333333332</v>
      </c>
      <c r="Z23" s="59" t="s">
        <v>166</v>
      </c>
      <c r="AA23" s="219">
        <f t="shared" ca="1" si="23"/>
        <v>420</v>
      </c>
      <c r="AB23" s="220">
        <v>1.75</v>
      </c>
      <c r="AC23" s="221">
        <f t="shared" ca="1" si="24"/>
        <v>735</v>
      </c>
      <c r="AF23" s="118"/>
    </row>
    <row r="24" spans="1:32" ht="15.75" customHeight="1" x14ac:dyDescent="0.25">
      <c r="A24" s="42" t="s">
        <v>168</v>
      </c>
      <c r="B24" s="117" t="s">
        <v>169</v>
      </c>
      <c r="C24" s="11">
        <v>58</v>
      </c>
      <c r="D24" s="9">
        <v>0</v>
      </c>
      <c r="E24" s="9">
        <v>43</v>
      </c>
      <c r="F24" s="80">
        <f t="shared" si="13"/>
        <v>15</v>
      </c>
      <c r="G24" s="9">
        <v>48</v>
      </c>
      <c r="H24" s="9">
        <f>30+48</f>
        <v>78</v>
      </c>
      <c r="I24" s="80">
        <f t="shared" si="14"/>
        <v>13</v>
      </c>
      <c r="J24" s="41">
        <v>0</v>
      </c>
      <c r="K24" s="9">
        <v>52</v>
      </c>
      <c r="L24" s="80">
        <f t="shared" si="15"/>
        <v>26</v>
      </c>
      <c r="M24" s="9">
        <v>0</v>
      </c>
      <c r="N24" s="9">
        <v>34</v>
      </c>
      <c r="O24" s="80">
        <f t="shared" si="16"/>
        <v>18</v>
      </c>
      <c r="P24" s="41">
        <v>48</v>
      </c>
      <c r="Q24" s="102">
        <f>48+18</f>
        <v>66</v>
      </c>
      <c r="R24" s="80">
        <f t="shared" si="17"/>
        <v>16</v>
      </c>
      <c r="S24" s="41">
        <f t="shared" si="18"/>
        <v>96</v>
      </c>
      <c r="T24" s="9">
        <f t="shared" si="19"/>
        <v>66</v>
      </c>
      <c r="U24" s="81">
        <f t="shared" si="20"/>
        <v>88</v>
      </c>
      <c r="V24">
        <f t="shared" si="21"/>
        <v>5</v>
      </c>
      <c r="W24">
        <f t="shared" si="25"/>
        <v>15</v>
      </c>
      <c r="X24" s="23">
        <f t="shared" si="26"/>
        <v>178</v>
      </c>
      <c r="Y24" s="23">
        <f t="shared" si="22"/>
        <v>11.866666666666667</v>
      </c>
      <c r="Z24" s="59" t="s">
        <v>167</v>
      </c>
      <c r="AA24" s="219">
        <f t="shared" ca="1" si="23"/>
        <v>360</v>
      </c>
      <c r="AB24" s="220">
        <v>1.75</v>
      </c>
      <c r="AC24" s="221">
        <f t="shared" ca="1" si="24"/>
        <v>630</v>
      </c>
      <c r="AF24" s="118"/>
    </row>
    <row r="25" spans="1:32" ht="15.75" customHeight="1" x14ac:dyDescent="0.25">
      <c r="A25" s="42" t="s">
        <v>170</v>
      </c>
      <c r="B25" s="117" t="s">
        <v>171</v>
      </c>
      <c r="C25" s="11">
        <v>23</v>
      </c>
      <c r="D25" s="9">
        <v>0</v>
      </c>
      <c r="E25" s="9">
        <v>11</v>
      </c>
      <c r="F25" s="80">
        <f t="shared" si="13"/>
        <v>12</v>
      </c>
      <c r="G25" s="9">
        <v>0</v>
      </c>
      <c r="H25" s="9">
        <v>6</v>
      </c>
      <c r="I25" s="80">
        <f t="shared" si="14"/>
        <v>5</v>
      </c>
      <c r="J25" s="41">
        <v>0</v>
      </c>
      <c r="K25" s="9">
        <v>0</v>
      </c>
      <c r="L25" s="80">
        <f t="shared" si="15"/>
        <v>6</v>
      </c>
      <c r="M25" s="9">
        <v>0</v>
      </c>
      <c r="N25" s="9">
        <v>0</v>
      </c>
      <c r="O25" s="80">
        <f t="shared" si="16"/>
        <v>0</v>
      </c>
      <c r="P25" s="41">
        <v>0</v>
      </c>
      <c r="Q25" s="102">
        <v>0</v>
      </c>
      <c r="R25" s="80">
        <f t="shared" si="17"/>
        <v>0</v>
      </c>
      <c r="S25" s="41">
        <f t="shared" si="18"/>
        <v>0</v>
      </c>
      <c r="T25" s="9">
        <f t="shared" si="19"/>
        <v>0</v>
      </c>
      <c r="U25" s="81">
        <f t="shared" si="20"/>
        <v>23</v>
      </c>
      <c r="V25">
        <f t="shared" si="21"/>
        <v>2</v>
      </c>
      <c r="W25">
        <f t="shared" si="25"/>
        <v>14</v>
      </c>
      <c r="X25" s="23">
        <f t="shared" si="26"/>
        <v>92</v>
      </c>
      <c r="Y25" s="23">
        <f t="shared" si="22"/>
        <v>6.5714285714285712</v>
      </c>
      <c r="Z25" s="8" t="s">
        <v>169</v>
      </c>
      <c r="AA25" s="219">
        <f t="shared" ca="1" si="23"/>
        <v>240</v>
      </c>
      <c r="AB25" s="220">
        <v>1.25</v>
      </c>
      <c r="AC25" s="221">
        <f t="shared" ca="1" si="24"/>
        <v>300</v>
      </c>
      <c r="AF25" s="118"/>
    </row>
    <row r="26" spans="1:32" ht="15.75" customHeight="1" x14ac:dyDescent="0.25">
      <c r="A26" s="42" t="s">
        <v>172</v>
      </c>
      <c r="B26" s="117" t="s">
        <v>173</v>
      </c>
      <c r="C26" s="11">
        <v>0</v>
      </c>
      <c r="D26" s="9">
        <v>0</v>
      </c>
      <c r="E26" s="9">
        <v>0</v>
      </c>
      <c r="F26" s="80">
        <f t="shared" si="13"/>
        <v>0</v>
      </c>
      <c r="G26" s="9">
        <v>0</v>
      </c>
      <c r="H26" s="9">
        <v>0</v>
      </c>
      <c r="I26" s="80">
        <f t="shared" si="14"/>
        <v>0</v>
      </c>
      <c r="J26" s="41">
        <v>0</v>
      </c>
      <c r="K26" s="9">
        <v>0</v>
      </c>
      <c r="L26" s="80">
        <f t="shared" si="15"/>
        <v>0</v>
      </c>
      <c r="M26" s="9">
        <v>0</v>
      </c>
      <c r="N26" s="9">
        <v>0</v>
      </c>
      <c r="O26" s="80">
        <f t="shared" si="16"/>
        <v>0</v>
      </c>
      <c r="P26" s="41">
        <v>0</v>
      </c>
      <c r="Q26" s="102">
        <v>0</v>
      </c>
      <c r="R26" s="80">
        <f t="shared" si="17"/>
        <v>0</v>
      </c>
      <c r="S26" s="41">
        <f t="shared" si="18"/>
        <v>0</v>
      </c>
      <c r="T26" s="9">
        <f t="shared" si="19"/>
        <v>0</v>
      </c>
      <c r="U26" s="81">
        <f t="shared" si="20"/>
        <v>0</v>
      </c>
      <c r="V26">
        <f t="shared" si="21"/>
        <v>0</v>
      </c>
      <c r="W26">
        <f t="shared" si="25"/>
        <v>0</v>
      </c>
      <c r="X26" s="23">
        <f t="shared" si="26"/>
        <v>0</v>
      </c>
      <c r="Y26" s="23">
        <v>0</v>
      </c>
      <c r="Z26" s="8" t="s">
        <v>171</v>
      </c>
      <c r="AA26" s="219">
        <f t="shared" ca="1" si="23"/>
        <v>144</v>
      </c>
      <c r="AB26" s="220">
        <v>3.3159999999999998</v>
      </c>
      <c r="AC26" s="221">
        <f t="shared" ca="1" si="24"/>
        <v>477.50399999999996</v>
      </c>
      <c r="AF26" s="118"/>
    </row>
    <row r="27" spans="1:32" ht="15.75" customHeight="1" x14ac:dyDescent="0.25">
      <c r="A27" s="42" t="s">
        <v>174</v>
      </c>
      <c r="B27" s="117" t="s">
        <v>175</v>
      </c>
      <c r="C27" s="11">
        <v>45</v>
      </c>
      <c r="D27" s="9">
        <v>0</v>
      </c>
      <c r="E27" s="9">
        <v>40</v>
      </c>
      <c r="F27" s="80">
        <f t="shared" si="13"/>
        <v>5</v>
      </c>
      <c r="G27" s="9">
        <v>0</v>
      </c>
      <c r="H27" s="9">
        <v>29</v>
      </c>
      <c r="I27" s="80">
        <f t="shared" si="14"/>
        <v>11</v>
      </c>
      <c r="J27" s="41">
        <v>24</v>
      </c>
      <c r="K27" s="9">
        <f>14+24</f>
        <v>38</v>
      </c>
      <c r="L27" s="80">
        <f t="shared" si="15"/>
        <v>15</v>
      </c>
      <c r="M27" s="9">
        <v>0</v>
      </c>
      <c r="N27" s="9">
        <v>26</v>
      </c>
      <c r="O27" s="80">
        <f t="shared" si="16"/>
        <v>12</v>
      </c>
      <c r="P27" s="41">
        <v>48</v>
      </c>
      <c r="Q27" s="102">
        <f>48+18</f>
        <v>66</v>
      </c>
      <c r="R27" s="80">
        <f t="shared" si="17"/>
        <v>8</v>
      </c>
      <c r="S27" s="41">
        <f t="shared" si="18"/>
        <v>72</v>
      </c>
      <c r="T27" s="9">
        <f t="shared" si="19"/>
        <v>66</v>
      </c>
      <c r="U27" s="81">
        <f t="shared" si="20"/>
        <v>51</v>
      </c>
      <c r="V27">
        <f t="shared" si="21"/>
        <v>5</v>
      </c>
      <c r="W27">
        <f t="shared" si="25"/>
        <v>20</v>
      </c>
      <c r="X27" s="23">
        <f t="shared" si="26"/>
        <v>147</v>
      </c>
      <c r="Y27" s="23">
        <f>X27/W27</f>
        <v>7.35</v>
      </c>
      <c r="Z27" s="8" t="s">
        <v>173</v>
      </c>
      <c r="AA27" s="219">
        <f t="shared" ca="1" si="23"/>
        <v>0</v>
      </c>
      <c r="AB27" s="220">
        <v>1.167</v>
      </c>
      <c r="AC27" s="221">
        <f t="shared" ca="1" si="24"/>
        <v>0</v>
      </c>
      <c r="AF27" s="118"/>
    </row>
    <row r="28" spans="1:32" ht="15.75" customHeight="1" x14ac:dyDescent="0.25">
      <c r="A28" s="42" t="s">
        <v>176</v>
      </c>
      <c r="B28" s="117" t="s">
        <v>177</v>
      </c>
      <c r="C28" s="11">
        <v>24</v>
      </c>
      <c r="D28" s="9">
        <v>48</v>
      </c>
      <c r="E28" s="9">
        <f>0+48</f>
        <v>48</v>
      </c>
      <c r="F28" s="80">
        <f t="shared" si="13"/>
        <v>24</v>
      </c>
      <c r="G28" s="9">
        <v>24</v>
      </c>
      <c r="H28" s="9">
        <f>20+24</f>
        <v>44</v>
      </c>
      <c r="I28" s="80">
        <f t="shared" si="14"/>
        <v>28</v>
      </c>
      <c r="J28" s="41">
        <v>24</v>
      </c>
      <c r="K28" s="9">
        <f>14+24</f>
        <v>38</v>
      </c>
      <c r="L28" s="80">
        <f t="shared" si="15"/>
        <v>30</v>
      </c>
      <c r="M28" s="9">
        <v>0</v>
      </c>
      <c r="N28" s="9">
        <v>17</v>
      </c>
      <c r="O28" s="80">
        <f t="shared" si="16"/>
        <v>21</v>
      </c>
      <c r="P28" s="41">
        <v>48</v>
      </c>
      <c r="Q28" s="102">
        <f>0+48</f>
        <v>48</v>
      </c>
      <c r="R28" s="80">
        <f t="shared" si="17"/>
        <v>17</v>
      </c>
      <c r="S28" s="41">
        <f t="shared" si="18"/>
        <v>144</v>
      </c>
      <c r="T28" s="9">
        <f t="shared" si="19"/>
        <v>48</v>
      </c>
      <c r="U28" s="81">
        <f t="shared" si="20"/>
        <v>120</v>
      </c>
      <c r="V28">
        <f t="shared" si="21"/>
        <v>5</v>
      </c>
      <c r="W28">
        <f t="shared" si="25"/>
        <v>20</v>
      </c>
      <c r="X28" s="23">
        <f t="shared" si="26"/>
        <v>360</v>
      </c>
      <c r="Y28" s="23">
        <f>X28/W28</f>
        <v>18</v>
      </c>
      <c r="Z28" s="8" t="s">
        <v>175</v>
      </c>
      <c r="AA28" s="219">
        <f t="shared" ca="1" si="23"/>
        <v>216</v>
      </c>
      <c r="AB28" s="220">
        <v>1.58</v>
      </c>
      <c r="AC28" s="221">
        <f t="shared" ca="1" si="24"/>
        <v>341.28000000000003</v>
      </c>
      <c r="AF28" s="118"/>
    </row>
    <row r="29" spans="1:32" ht="15.75" customHeight="1" x14ac:dyDescent="0.25">
      <c r="A29" s="42" t="s">
        <v>178</v>
      </c>
      <c r="B29" s="117" t="s">
        <v>179</v>
      </c>
      <c r="C29" s="11">
        <v>24</v>
      </c>
      <c r="D29" s="9">
        <v>24</v>
      </c>
      <c r="E29" s="9">
        <f>0+24</f>
        <v>24</v>
      </c>
      <c r="F29" s="80">
        <f t="shared" si="13"/>
        <v>24</v>
      </c>
      <c r="G29" s="9">
        <v>0</v>
      </c>
      <c r="H29" s="9">
        <v>12</v>
      </c>
      <c r="I29" s="80">
        <f t="shared" si="14"/>
        <v>12</v>
      </c>
      <c r="J29" s="41">
        <v>24</v>
      </c>
      <c r="K29" s="9">
        <v>24</v>
      </c>
      <c r="L29" s="80">
        <f t="shared" si="15"/>
        <v>12</v>
      </c>
      <c r="M29" s="9">
        <v>0</v>
      </c>
      <c r="N29" s="9">
        <v>15</v>
      </c>
      <c r="O29" s="80">
        <f t="shared" si="16"/>
        <v>9</v>
      </c>
      <c r="P29" s="41">
        <v>48</v>
      </c>
      <c r="Q29" s="102">
        <f>0+48</f>
        <v>48</v>
      </c>
      <c r="R29" s="80">
        <f t="shared" si="17"/>
        <v>15</v>
      </c>
      <c r="S29" s="41">
        <f t="shared" si="18"/>
        <v>96</v>
      </c>
      <c r="T29" s="9">
        <f t="shared" si="19"/>
        <v>48</v>
      </c>
      <c r="U29" s="81">
        <f t="shared" si="20"/>
        <v>72</v>
      </c>
      <c r="V29">
        <f t="shared" si="21"/>
        <v>5</v>
      </c>
      <c r="W29">
        <f t="shared" si="25"/>
        <v>20</v>
      </c>
      <c r="X29" s="23">
        <f t="shared" si="26"/>
        <v>201</v>
      </c>
      <c r="Y29" s="23">
        <f>X29/W29</f>
        <v>10.050000000000001</v>
      </c>
      <c r="Z29" s="8" t="s">
        <v>177</v>
      </c>
      <c r="AA29" s="219">
        <f t="shared" ca="1" si="23"/>
        <v>552</v>
      </c>
      <c r="AB29" s="220">
        <v>1.616666666666666</v>
      </c>
      <c r="AC29" s="221">
        <f t="shared" ca="1" si="24"/>
        <v>892.39999999999964</v>
      </c>
    </row>
    <row r="30" spans="1:32" ht="15.75" customHeight="1" x14ac:dyDescent="0.25">
      <c r="A30" s="42" t="s">
        <v>178</v>
      </c>
      <c r="B30" s="117" t="s">
        <v>180</v>
      </c>
      <c r="C30" s="11">
        <v>24</v>
      </c>
      <c r="D30" s="9">
        <v>24</v>
      </c>
      <c r="E30" s="9">
        <f>0+24</f>
        <v>24</v>
      </c>
      <c r="F30" s="80">
        <f t="shared" si="13"/>
        <v>24</v>
      </c>
      <c r="G30" s="9">
        <v>0</v>
      </c>
      <c r="H30" s="9">
        <v>0</v>
      </c>
      <c r="I30" s="80">
        <f t="shared" si="14"/>
        <v>24</v>
      </c>
      <c r="J30" s="41">
        <v>45</v>
      </c>
      <c r="K30" s="9">
        <v>45</v>
      </c>
      <c r="L30" s="80">
        <f t="shared" si="15"/>
        <v>0</v>
      </c>
      <c r="M30" s="9">
        <v>0</v>
      </c>
      <c r="N30" s="9">
        <v>3</v>
      </c>
      <c r="O30" s="80">
        <f t="shared" si="16"/>
        <v>42</v>
      </c>
      <c r="P30" s="41">
        <v>0</v>
      </c>
      <c r="Q30" s="102">
        <v>0</v>
      </c>
      <c r="R30" s="80">
        <f t="shared" si="17"/>
        <v>3</v>
      </c>
      <c r="S30" s="41">
        <f t="shared" si="18"/>
        <v>69</v>
      </c>
      <c r="T30" s="9">
        <f t="shared" si="19"/>
        <v>0</v>
      </c>
      <c r="U30" s="81">
        <f t="shared" si="20"/>
        <v>93</v>
      </c>
      <c r="V30">
        <f t="shared" si="21"/>
        <v>3</v>
      </c>
      <c r="W30">
        <f t="shared" si="25"/>
        <v>17</v>
      </c>
      <c r="X30" s="23">
        <f t="shared" si="26"/>
        <v>272</v>
      </c>
      <c r="Y30" s="23">
        <f>X30/W30</f>
        <v>16</v>
      </c>
      <c r="Z30" s="59" t="s">
        <v>179</v>
      </c>
      <c r="AA30" s="219">
        <f t="shared" ca="1" si="23"/>
        <v>336</v>
      </c>
      <c r="AB30" s="220">
        <v>3</v>
      </c>
      <c r="AC30" s="221">
        <f t="shared" ca="1" si="24"/>
        <v>1008</v>
      </c>
    </row>
    <row r="31" spans="1:32" x14ac:dyDescent="0.25">
      <c r="A31" s="46"/>
      <c r="B31" s="51"/>
      <c r="C31" s="14"/>
      <c r="D31" s="77"/>
      <c r="E31" s="77"/>
      <c r="F31" s="79"/>
      <c r="G31" s="77"/>
      <c r="H31" s="77"/>
      <c r="I31" s="77"/>
      <c r="J31" s="15"/>
      <c r="K31" s="77"/>
      <c r="L31" s="79"/>
      <c r="M31" s="77"/>
      <c r="N31" s="77"/>
      <c r="O31" s="77"/>
      <c r="P31" s="15"/>
      <c r="Q31" s="77"/>
      <c r="R31" s="79"/>
      <c r="S31" s="15"/>
      <c r="T31" s="77"/>
      <c r="U31" s="79"/>
      <c r="W31" s="23"/>
      <c r="Z31" s="59" t="s">
        <v>180</v>
      </c>
      <c r="AA31" s="225">
        <f t="shared" ca="1" si="23"/>
        <v>378</v>
      </c>
      <c r="AB31" s="70">
        <v>3</v>
      </c>
      <c r="AC31" s="221">
        <f t="shared" ca="1" si="24"/>
        <v>1134</v>
      </c>
    </row>
    <row r="32" spans="1:32" ht="18.75" customHeight="1" x14ac:dyDescent="0.3">
      <c r="A32" s="16"/>
      <c r="B32" s="117"/>
      <c r="W32" s="23"/>
      <c r="Z32" s="66"/>
      <c r="AA32" s="226">
        <f ca="1">SUM(AA5:AA31)</f>
        <v>5567</v>
      </c>
      <c r="AB32" s="227" t="s">
        <v>140</v>
      </c>
      <c r="AC32" s="228">
        <f ca="1">SUM(AC5:AC31)</f>
        <v>11140.194</v>
      </c>
    </row>
    <row r="33" spans="1:48" x14ac:dyDescent="0.25">
      <c r="B33" s="117"/>
      <c r="W33" s="23"/>
    </row>
    <row r="34" spans="1:48" ht="23.25" customHeight="1" x14ac:dyDescent="0.35">
      <c r="A34" s="1" t="s">
        <v>181</v>
      </c>
      <c r="B34" s="31"/>
      <c r="C34" s="91">
        <v>46272</v>
      </c>
      <c r="D34" s="390">
        <v>46273</v>
      </c>
      <c r="E34" s="391"/>
      <c r="F34" s="392"/>
      <c r="G34" s="390">
        <v>46274</v>
      </c>
      <c r="H34" s="391"/>
      <c r="I34" s="392"/>
      <c r="J34" s="390">
        <v>46275</v>
      </c>
      <c r="K34" s="391"/>
      <c r="L34" s="392"/>
      <c r="M34" s="390">
        <v>46276</v>
      </c>
      <c r="N34" s="391"/>
      <c r="O34" s="392"/>
      <c r="P34" s="390">
        <v>46279</v>
      </c>
      <c r="Q34" s="391"/>
      <c r="R34" s="392"/>
      <c r="S34" s="2" t="s">
        <v>125</v>
      </c>
      <c r="T34" s="3"/>
      <c r="U34" s="4"/>
      <c r="W34" s="23"/>
    </row>
    <row r="35" spans="1:48" x14ac:dyDescent="0.25">
      <c r="A35" s="33" t="s">
        <v>126</v>
      </c>
      <c r="B35" s="5" t="s">
        <v>127</v>
      </c>
      <c r="C35" s="34" t="s">
        <v>128</v>
      </c>
      <c r="D35" s="35" t="s">
        <v>182</v>
      </c>
      <c r="E35" s="26" t="s">
        <v>130</v>
      </c>
      <c r="F35" s="27" t="s">
        <v>131</v>
      </c>
      <c r="G35" s="82" t="s">
        <v>129</v>
      </c>
      <c r="H35" s="112" t="s">
        <v>130</v>
      </c>
      <c r="I35" s="113" t="s">
        <v>131</v>
      </c>
      <c r="J35" s="82" t="s">
        <v>129</v>
      </c>
      <c r="K35" s="112" t="s">
        <v>130</v>
      </c>
      <c r="L35" s="113" t="s">
        <v>131</v>
      </c>
      <c r="M35" s="82" t="s">
        <v>129</v>
      </c>
      <c r="N35" s="112" t="s">
        <v>130</v>
      </c>
      <c r="O35" s="113" t="s">
        <v>131</v>
      </c>
      <c r="P35" s="82" t="s">
        <v>129</v>
      </c>
      <c r="Q35" s="112" t="s">
        <v>130</v>
      </c>
      <c r="R35" s="113" t="s">
        <v>131</v>
      </c>
      <c r="S35" s="36" t="s">
        <v>132</v>
      </c>
      <c r="T35" s="112" t="s">
        <v>130</v>
      </c>
      <c r="U35" s="113" t="s">
        <v>131</v>
      </c>
      <c r="W35" s="23"/>
      <c r="AV35" t="s">
        <v>183</v>
      </c>
    </row>
    <row r="36" spans="1:48" x14ac:dyDescent="0.25">
      <c r="A36" s="7"/>
      <c r="B36" s="8"/>
      <c r="C36" s="17"/>
      <c r="D36" s="17"/>
      <c r="E36" s="18"/>
      <c r="F36" s="28"/>
      <c r="I36" s="29"/>
      <c r="J36" s="9"/>
      <c r="K36" s="9"/>
      <c r="L36" s="29"/>
      <c r="M36" s="9"/>
      <c r="N36" s="9"/>
      <c r="O36" s="29"/>
      <c r="S36" s="10"/>
      <c r="U36" s="29"/>
      <c r="W36" s="23"/>
    </row>
    <row r="37" spans="1:48" ht="15.75" customHeight="1" x14ac:dyDescent="0.25">
      <c r="A37" s="42" t="s">
        <v>141</v>
      </c>
      <c r="B37" s="117" t="s">
        <v>142</v>
      </c>
      <c r="C37" s="41">
        <f t="shared" ref="C37:C47" si="27">T5</f>
        <v>21</v>
      </c>
      <c r="D37" s="83">
        <v>36</v>
      </c>
      <c r="E37" s="9">
        <f>36+8</f>
        <v>44</v>
      </c>
      <c r="F37" s="84">
        <f t="shared" ref="F37:F47" si="28">C37+D37-E37</f>
        <v>13</v>
      </c>
      <c r="G37" s="9">
        <v>0</v>
      </c>
      <c r="H37" s="9">
        <v>44</v>
      </c>
      <c r="I37" s="84">
        <f t="shared" ref="I37:I47" si="29">E37+G37-H37</f>
        <v>0</v>
      </c>
      <c r="J37" s="9">
        <v>0</v>
      </c>
      <c r="K37" s="9">
        <v>35</v>
      </c>
      <c r="L37" s="84">
        <f t="shared" ref="L37:L47" si="30">H37+J37-K37</f>
        <v>9</v>
      </c>
      <c r="M37" s="9">
        <v>0</v>
      </c>
      <c r="N37" s="9">
        <v>22</v>
      </c>
      <c r="O37" s="84">
        <f t="shared" ref="O37:O47" si="31">K37+M37-N37</f>
        <v>13</v>
      </c>
      <c r="P37" s="9">
        <v>0</v>
      </c>
      <c r="Q37" s="9">
        <v>11</v>
      </c>
      <c r="R37" s="84">
        <f t="shared" ref="R37:R47" si="32">N37+P37-Q37</f>
        <v>11</v>
      </c>
      <c r="S37" s="41">
        <f t="shared" ref="S37:S47" si="33">SUMIF($D$35:$R$35,"Stock In",D37:R37)</f>
        <v>36</v>
      </c>
      <c r="T37" s="9">
        <f t="shared" ref="T37:T47" si="34">Q37</f>
        <v>11</v>
      </c>
      <c r="U37" s="81">
        <f t="shared" ref="U37:U47" si="35">SUMIF($D$3:$R$3,"Consumption",D37:R37)</f>
        <v>46</v>
      </c>
      <c r="V37">
        <f t="shared" ref="V37:V47" si="36">COUNTIF(E37,"&gt;0")+COUNTIF(H37,"&gt;0")+COUNTIF(K37,"&gt;0")+COUNTIF(N37,"&gt;0")+COUNTIF(Q37,"&gt;0")</f>
        <v>5</v>
      </c>
      <c r="W37" s="60"/>
      <c r="X37" s="45"/>
      <c r="Y37" s="45"/>
      <c r="Z37" s="115"/>
    </row>
    <row r="38" spans="1:48" ht="15.75" customHeight="1" x14ac:dyDescent="0.25">
      <c r="A38" s="42" t="s">
        <v>141</v>
      </c>
      <c r="B38" s="117" t="s">
        <v>143</v>
      </c>
      <c r="C38" s="41">
        <f t="shared" si="27"/>
        <v>7</v>
      </c>
      <c r="D38" s="41">
        <v>0</v>
      </c>
      <c r="E38" s="9">
        <v>5</v>
      </c>
      <c r="F38" s="84">
        <f t="shared" si="28"/>
        <v>2</v>
      </c>
      <c r="G38" s="9">
        <v>10</v>
      </c>
      <c r="H38" s="9">
        <f>10+5</f>
        <v>15</v>
      </c>
      <c r="I38" s="84">
        <f t="shared" si="29"/>
        <v>0</v>
      </c>
      <c r="J38" s="9">
        <v>0</v>
      </c>
      <c r="K38" s="9">
        <v>15</v>
      </c>
      <c r="L38" s="84">
        <f t="shared" si="30"/>
        <v>0</v>
      </c>
      <c r="M38" s="9">
        <v>0</v>
      </c>
      <c r="N38" s="9">
        <v>10</v>
      </c>
      <c r="O38" s="84">
        <f t="shared" si="31"/>
        <v>5</v>
      </c>
      <c r="P38" s="9">
        <v>0</v>
      </c>
      <c r="Q38" s="9">
        <v>5</v>
      </c>
      <c r="R38" s="84">
        <f t="shared" si="32"/>
        <v>5</v>
      </c>
      <c r="S38" s="41">
        <f t="shared" si="33"/>
        <v>10</v>
      </c>
      <c r="T38" s="9">
        <f t="shared" si="34"/>
        <v>5</v>
      </c>
      <c r="U38" s="81">
        <f t="shared" si="35"/>
        <v>12</v>
      </c>
      <c r="V38">
        <f t="shared" si="36"/>
        <v>5</v>
      </c>
      <c r="W38" s="60"/>
      <c r="X38" s="45"/>
      <c r="Y38" s="45"/>
      <c r="Z38" s="115"/>
    </row>
    <row r="39" spans="1:48" ht="15.75" customHeight="1" x14ac:dyDescent="0.25">
      <c r="A39" s="42" t="s">
        <v>141</v>
      </c>
      <c r="B39" s="117" t="s">
        <v>144</v>
      </c>
      <c r="C39" s="41">
        <f t="shared" si="27"/>
        <v>0</v>
      </c>
      <c r="D39" s="83">
        <v>0</v>
      </c>
      <c r="E39" s="9">
        <v>0</v>
      </c>
      <c r="F39" s="84">
        <f t="shared" si="28"/>
        <v>0</v>
      </c>
      <c r="G39" s="9">
        <v>0</v>
      </c>
      <c r="H39" s="9">
        <v>0</v>
      </c>
      <c r="I39" s="84">
        <f t="shared" si="29"/>
        <v>0</v>
      </c>
      <c r="J39" s="9">
        <v>0</v>
      </c>
      <c r="K39" s="9">
        <v>0</v>
      </c>
      <c r="L39" s="84">
        <f t="shared" si="30"/>
        <v>0</v>
      </c>
      <c r="M39" s="9">
        <v>0</v>
      </c>
      <c r="N39" s="9">
        <v>0</v>
      </c>
      <c r="O39" s="84">
        <f t="shared" si="31"/>
        <v>0</v>
      </c>
      <c r="P39" s="9">
        <v>0</v>
      </c>
      <c r="Q39" s="9">
        <v>0</v>
      </c>
      <c r="R39" s="84">
        <f t="shared" si="32"/>
        <v>0</v>
      </c>
      <c r="S39" s="41">
        <f t="shared" si="33"/>
        <v>0</v>
      </c>
      <c r="T39" s="9">
        <f t="shared" si="34"/>
        <v>0</v>
      </c>
      <c r="U39" s="81">
        <f t="shared" si="35"/>
        <v>0</v>
      </c>
      <c r="V39">
        <f t="shared" si="36"/>
        <v>0</v>
      </c>
      <c r="W39" s="60"/>
      <c r="X39" s="45"/>
      <c r="Z39" s="115"/>
    </row>
    <row r="40" spans="1:48" ht="15.75" customHeight="1" x14ac:dyDescent="0.25">
      <c r="A40" s="42" t="s">
        <v>141</v>
      </c>
      <c r="B40" s="117" t="s">
        <v>145</v>
      </c>
      <c r="C40" s="41">
        <f t="shared" si="27"/>
        <v>18</v>
      </c>
      <c r="D40" s="83">
        <v>36</v>
      </c>
      <c r="E40" s="9">
        <f>11+36</f>
        <v>47</v>
      </c>
      <c r="F40" s="84">
        <f t="shared" si="28"/>
        <v>7</v>
      </c>
      <c r="G40" s="9">
        <v>0</v>
      </c>
      <c r="H40" s="9">
        <v>39</v>
      </c>
      <c r="I40" s="84">
        <f t="shared" si="29"/>
        <v>8</v>
      </c>
      <c r="J40" s="9">
        <v>0</v>
      </c>
      <c r="K40" s="9">
        <v>34</v>
      </c>
      <c r="L40" s="84">
        <f t="shared" si="30"/>
        <v>5</v>
      </c>
      <c r="M40" s="9">
        <v>0</v>
      </c>
      <c r="N40" s="9">
        <v>31</v>
      </c>
      <c r="O40" s="84">
        <f t="shared" si="31"/>
        <v>3</v>
      </c>
      <c r="P40" s="9">
        <v>0</v>
      </c>
      <c r="Q40" s="9">
        <v>26</v>
      </c>
      <c r="R40" s="84">
        <f t="shared" si="32"/>
        <v>5</v>
      </c>
      <c r="S40" s="41">
        <f t="shared" si="33"/>
        <v>36</v>
      </c>
      <c r="T40" s="9">
        <f t="shared" si="34"/>
        <v>26</v>
      </c>
      <c r="U40" s="81">
        <f t="shared" si="35"/>
        <v>28</v>
      </c>
      <c r="V40">
        <f t="shared" si="36"/>
        <v>5</v>
      </c>
      <c r="W40" s="60"/>
      <c r="X40" s="45"/>
      <c r="Y40" s="45"/>
      <c r="Z40" s="115"/>
    </row>
    <row r="41" spans="1:48" ht="15.75" customHeight="1" x14ac:dyDescent="0.25">
      <c r="A41" s="42" t="s">
        <v>146</v>
      </c>
      <c r="B41" s="117" t="s">
        <v>147</v>
      </c>
      <c r="C41" s="41">
        <f t="shared" si="27"/>
        <v>0</v>
      </c>
      <c r="D41" s="83">
        <v>0</v>
      </c>
      <c r="E41" s="9">
        <v>0</v>
      </c>
      <c r="F41" s="84">
        <f t="shared" si="28"/>
        <v>0</v>
      </c>
      <c r="G41" s="9">
        <v>0</v>
      </c>
      <c r="H41" s="9">
        <v>0</v>
      </c>
      <c r="I41" s="84">
        <f t="shared" si="29"/>
        <v>0</v>
      </c>
      <c r="J41" s="9">
        <v>0</v>
      </c>
      <c r="K41" s="9">
        <v>0</v>
      </c>
      <c r="L41" s="84">
        <f t="shared" si="30"/>
        <v>0</v>
      </c>
      <c r="M41" s="9">
        <v>0</v>
      </c>
      <c r="N41" s="9">
        <v>0</v>
      </c>
      <c r="O41" s="84">
        <f t="shared" si="31"/>
        <v>0</v>
      </c>
      <c r="P41" s="9">
        <v>0</v>
      </c>
      <c r="Q41" s="9">
        <v>0</v>
      </c>
      <c r="R41" s="84">
        <f t="shared" si="32"/>
        <v>0</v>
      </c>
      <c r="S41" s="41">
        <f t="shared" si="33"/>
        <v>0</v>
      </c>
      <c r="T41" s="9">
        <f t="shared" si="34"/>
        <v>0</v>
      </c>
      <c r="U41" s="81">
        <f t="shared" si="35"/>
        <v>0</v>
      </c>
      <c r="V41">
        <f t="shared" si="36"/>
        <v>0</v>
      </c>
      <c r="W41" s="60"/>
      <c r="X41" s="45"/>
      <c r="Y41" s="45"/>
      <c r="Z41" s="115"/>
    </row>
    <row r="42" spans="1:48" ht="15.75" customHeight="1" x14ac:dyDescent="0.25">
      <c r="A42" s="42" t="s">
        <v>146</v>
      </c>
      <c r="B42" s="117" t="s">
        <v>148</v>
      </c>
      <c r="C42" s="41">
        <f t="shared" si="27"/>
        <v>0</v>
      </c>
      <c r="D42" s="41">
        <v>0</v>
      </c>
      <c r="E42" s="9">
        <v>0</v>
      </c>
      <c r="F42" s="84">
        <f t="shared" si="28"/>
        <v>0</v>
      </c>
      <c r="G42" s="9">
        <v>0</v>
      </c>
      <c r="H42" s="9">
        <v>0</v>
      </c>
      <c r="I42" s="84">
        <f t="shared" si="29"/>
        <v>0</v>
      </c>
      <c r="J42" s="9">
        <v>0</v>
      </c>
      <c r="K42" s="9">
        <v>0</v>
      </c>
      <c r="L42" s="84">
        <f t="shared" si="30"/>
        <v>0</v>
      </c>
      <c r="M42" s="9">
        <v>0</v>
      </c>
      <c r="N42" s="9">
        <v>0</v>
      </c>
      <c r="O42" s="84">
        <f t="shared" si="31"/>
        <v>0</v>
      </c>
      <c r="P42" s="9">
        <v>0</v>
      </c>
      <c r="Q42" s="9">
        <v>0</v>
      </c>
      <c r="R42" s="84">
        <f t="shared" si="32"/>
        <v>0</v>
      </c>
      <c r="S42" s="41">
        <f t="shared" si="33"/>
        <v>0</v>
      </c>
      <c r="T42" s="9">
        <f t="shared" si="34"/>
        <v>0</v>
      </c>
      <c r="U42" s="81">
        <f t="shared" si="35"/>
        <v>0</v>
      </c>
      <c r="V42">
        <f t="shared" si="36"/>
        <v>0</v>
      </c>
      <c r="W42" s="60"/>
      <c r="X42" s="45"/>
      <c r="Y42" s="45"/>
      <c r="Z42" s="115"/>
    </row>
    <row r="43" spans="1:48" ht="15.75" customHeight="1" x14ac:dyDescent="0.25">
      <c r="A43" s="42" t="s">
        <v>149</v>
      </c>
      <c r="B43" s="117" t="s">
        <v>150</v>
      </c>
      <c r="C43" s="41">
        <f t="shared" si="27"/>
        <v>0</v>
      </c>
      <c r="D43" s="41">
        <v>96</v>
      </c>
      <c r="E43" s="9">
        <v>96</v>
      </c>
      <c r="F43" s="84">
        <f t="shared" si="28"/>
        <v>0</v>
      </c>
      <c r="G43" s="9">
        <v>0</v>
      </c>
      <c r="H43" s="9">
        <v>55</v>
      </c>
      <c r="I43" s="84">
        <f t="shared" si="29"/>
        <v>41</v>
      </c>
      <c r="J43" s="9">
        <v>0</v>
      </c>
      <c r="K43" s="9">
        <v>22</v>
      </c>
      <c r="L43" s="84">
        <f t="shared" si="30"/>
        <v>33</v>
      </c>
      <c r="M43" s="9">
        <v>0</v>
      </c>
      <c r="N43" s="9">
        <v>0</v>
      </c>
      <c r="O43" s="84">
        <f t="shared" si="31"/>
        <v>22</v>
      </c>
      <c r="P43" s="9">
        <v>0</v>
      </c>
      <c r="Q43" s="9">
        <v>0</v>
      </c>
      <c r="R43" s="84">
        <f t="shared" si="32"/>
        <v>0</v>
      </c>
      <c r="S43" s="41">
        <f t="shared" si="33"/>
        <v>96</v>
      </c>
      <c r="T43" s="9">
        <f t="shared" si="34"/>
        <v>0</v>
      </c>
      <c r="U43" s="81">
        <f t="shared" si="35"/>
        <v>96</v>
      </c>
      <c r="V43">
        <f t="shared" si="36"/>
        <v>3</v>
      </c>
      <c r="W43" s="60"/>
      <c r="X43" s="45"/>
      <c r="Y43" s="45"/>
      <c r="Z43" s="115"/>
    </row>
    <row r="44" spans="1:48" ht="15.75" customHeight="1" x14ac:dyDescent="0.25">
      <c r="A44" s="42" t="s">
        <v>151</v>
      </c>
      <c r="B44" s="117" t="s">
        <v>152</v>
      </c>
      <c r="C44" s="41">
        <f t="shared" si="27"/>
        <v>29</v>
      </c>
      <c r="D44" s="41">
        <v>0</v>
      </c>
      <c r="E44" s="9">
        <v>22</v>
      </c>
      <c r="F44" s="84">
        <f t="shared" si="28"/>
        <v>7</v>
      </c>
      <c r="G44" s="9">
        <v>0</v>
      </c>
      <c r="H44" s="9">
        <v>20</v>
      </c>
      <c r="I44" s="84">
        <f t="shared" si="29"/>
        <v>2</v>
      </c>
      <c r="J44" s="9">
        <v>0</v>
      </c>
      <c r="K44" s="9">
        <v>18</v>
      </c>
      <c r="L44" s="84">
        <f t="shared" si="30"/>
        <v>2</v>
      </c>
      <c r="M44" s="9">
        <v>24</v>
      </c>
      <c r="N44" s="9">
        <f>24+16</f>
        <v>40</v>
      </c>
      <c r="O44" s="84">
        <f t="shared" si="31"/>
        <v>2</v>
      </c>
      <c r="P44" s="9">
        <v>0</v>
      </c>
      <c r="Q44" s="9">
        <v>39</v>
      </c>
      <c r="R44" s="84">
        <f t="shared" si="32"/>
        <v>1</v>
      </c>
      <c r="S44" s="41">
        <f t="shared" si="33"/>
        <v>24</v>
      </c>
      <c r="T44" s="9">
        <f t="shared" si="34"/>
        <v>39</v>
      </c>
      <c r="U44" s="81">
        <f t="shared" si="35"/>
        <v>14</v>
      </c>
      <c r="V44">
        <f t="shared" si="36"/>
        <v>5</v>
      </c>
      <c r="W44" s="60"/>
      <c r="X44" s="45"/>
      <c r="Y44" s="45"/>
      <c r="Z44" s="115"/>
    </row>
    <row r="45" spans="1:48" ht="15.75" customHeight="1" x14ac:dyDescent="0.25">
      <c r="A45" s="42" t="s">
        <v>151</v>
      </c>
      <c r="B45" s="117" t="s">
        <v>153</v>
      </c>
      <c r="C45" s="41">
        <f t="shared" si="27"/>
        <v>0</v>
      </c>
      <c r="D45" s="41">
        <v>24</v>
      </c>
      <c r="E45" s="9">
        <v>24</v>
      </c>
      <c r="F45" s="84">
        <f t="shared" si="28"/>
        <v>0</v>
      </c>
      <c r="G45" s="9">
        <v>24</v>
      </c>
      <c r="H45" s="9">
        <f>24+2</f>
        <v>26</v>
      </c>
      <c r="I45" s="84">
        <f t="shared" si="29"/>
        <v>22</v>
      </c>
      <c r="J45" s="9">
        <v>0</v>
      </c>
      <c r="K45" s="9">
        <v>13</v>
      </c>
      <c r="L45" s="84">
        <f t="shared" si="30"/>
        <v>13</v>
      </c>
      <c r="M45" s="9">
        <v>24</v>
      </c>
      <c r="N45" s="9">
        <f>24+7</f>
        <v>31</v>
      </c>
      <c r="O45" s="84">
        <f t="shared" si="31"/>
        <v>6</v>
      </c>
      <c r="P45" s="9">
        <v>0</v>
      </c>
      <c r="Q45" s="9">
        <v>17</v>
      </c>
      <c r="R45" s="84">
        <f t="shared" si="32"/>
        <v>14</v>
      </c>
      <c r="S45" s="41">
        <f t="shared" si="33"/>
        <v>72</v>
      </c>
      <c r="T45" s="9">
        <f t="shared" si="34"/>
        <v>17</v>
      </c>
      <c r="U45" s="81">
        <f t="shared" si="35"/>
        <v>55</v>
      </c>
      <c r="V45">
        <f t="shared" si="36"/>
        <v>5</v>
      </c>
      <c r="W45" s="60"/>
      <c r="X45" s="45"/>
      <c r="Y45" s="45"/>
      <c r="Z45" s="115"/>
    </row>
    <row r="46" spans="1:48" ht="15.75" customHeight="1" x14ac:dyDescent="0.25">
      <c r="A46" s="42" t="s">
        <v>154</v>
      </c>
      <c r="B46" s="117" t="s">
        <v>155</v>
      </c>
      <c r="C46" s="41">
        <f t="shared" si="27"/>
        <v>0</v>
      </c>
      <c r="D46" s="41">
        <v>45</v>
      </c>
      <c r="E46" s="9">
        <v>45</v>
      </c>
      <c r="F46" s="84">
        <f t="shared" si="28"/>
        <v>0</v>
      </c>
      <c r="G46" s="9">
        <v>0</v>
      </c>
      <c r="H46" s="9">
        <v>15</v>
      </c>
      <c r="I46" s="84">
        <f t="shared" si="29"/>
        <v>30</v>
      </c>
      <c r="J46" s="9">
        <v>30</v>
      </c>
      <c r="K46" s="9">
        <v>30</v>
      </c>
      <c r="L46" s="84">
        <f t="shared" si="30"/>
        <v>15</v>
      </c>
      <c r="M46" s="9">
        <v>0</v>
      </c>
      <c r="N46" s="9">
        <v>12</v>
      </c>
      <c r="O46" s="84">
        <f t="shared" si="31"/>
        <v>18</v>
      </c>
      <c r="P46" s="9">
        <v>0</v>
      </c>
      <c r="Q46" s="9">
        <v>0</v>
      </c>
      <c r="R46" s="84">
        <f t="shared" si="32"/>
        <v>12</v>
      </c>
      <c r="S46" s="41">
        <f t="shared" si="33"/>
        <v>75</v>
      </c>
      <c r="T46" s="9">
        <f t="shared" si="34"/>
        <v>0</v>
      </c>
      <c r="U46" s="81">
        <f t="shared" si="35"/>
        <v>75</v>
      </c>
      <c r="V46">
        <f t="shared" si="36"/>
        <v>4</v>
      </c>
      <c r="W46" s="60"/>
      <c r="X46" s="45"/>
      <c r="Y46" s="45"/>
      <c r="Z46" s="115"/>
    </row>
    <row r="47" spans="1:48" ht="15.75" customHeight="1" x14ac:dyDescent="0.25">
      <c r="A47" s="42" t="s">
        <v>154</v>
      </c>
      <c r="B47" s="117" t="s">
        <v>156</v>
      </c>
      <c r="C47" s="41">
        <f t="shared" si="27"/>
        <v>41</v>
      </c>
      <c r="D47" s="41">
        <v>30</v>
      </c>
      <c r="E47" s="9">
        <f>30+29</f>
        <v>59</v>
      </c>
      <c r="F47" s="84">
        <f t="shared" si="28"/>
        <v>12</v>
      </c>
      <c r="G47" s="9">
        <v>0</v>
      </c>
      <c r="H47" s="9">
        <v>50</v>
      </c>
      <c r="I47" s="84">
        <f t="shared" si="29"/>
        <v>9</v>
      </c>
      <c r="J47" s="9">
        <v>0</v>
      </c>
      <c r="K47" s="9">
        <v>37</v>
      </c>
      <c r="L47" s="84">
        <f t="shared" si="30"/>
        <v>13</v>
      </c>
      <c r="M47" s="9">
        <v>0</v>
      </c>
      <c r="N47" s="9">
        <v>34</v>
      </c>
      <c r="O47" s="84">
        <f t="shared" si="31"/>
        <v>3</v>
      </c>
      <c r="P47" s="9">
        <v>0</v>
      </c>
      <c r="Q47" s="9">
        <v>25</v>
      </c>
      <c r="R47" s="84">
        <f t="shared" si="32"/>
        <v>9</v>
      </c>
      <c r="S47" s="41">
        <f t="shared" si="33"/>
        <v>30</v>
      </c>
      <c r="T47" s="9">
        <f t="shared" si="34"/>
        <v>25</v>
      </c>
      <c r="U47" s="81">
        <f t="shared" si="35"/>
        <v>46</v>
      </c>
      <c r="V47">
        <f t="shared" si="36"/>
        <v>5</v>
      </c>
      <c r="W47" s="60"/>
      <c r="X47" s="45"/>
      <c r="Y47" s="45"/>
      <c r="Z47" s="115"/>
    </row>
    <row r="48" spans="1:48" ht="15.75" customHeight="1" x14ac:dyDescent="0.25">
      <c r="A48" s="42"/>
      <c r="B48" s="117"/>
      <c r="C48" s="41"/>
      <c r="D48" s="41"/>
      <c r="E48" s="9"/>
      <c r="F48" s="84"/>
      <c r="G48" s="9"/>
      <c r="H48" s="9"/>
      <c r="I48" s="84"/>
      <c r="J48" s="9"/>
      <c r="K48" s="9"/>
      <c r="L48" s="84"/>
      <c r="M48" s="9"/>
      <c r="N48" s="9"/>
      <c r="O48" s="84"/>
      <c r="P48" s="9"/>
      <c r="Q48" s="9"/>
      <c r="R48" s="84"/>
      <c r="S48" s="41"/>
      <c r="T48" s="9"/>
      <c r="U48" s="81"/>
      <c r="W48" s="60"/>
      <c r="X48" s="45"/>
      <c r="Y48" s="45"/>
      <c r="Z48" s="115"/>
    </row>
    <row r="49" spans="1:28" ht="15.75" customHeight="1" x14ac:dyDescent="0.25">
      <c r="A49" s="42" t="s">
        <v>157</v>
      </c>
      <c r="B49" s="117" t="s">
        <v>158</v>
      </c>
      <c r="C49" s="41">
        <f t="shared" ref="C49:C62" si="37">T17</f>
        <v>48</v>
      </c>
      <c r="D49" s="41">
        <v>0</v>
      </c>
      <c r="E49" s="9">
        <v>36</v>
      </c>
      <c r="F49" s="84">
        <f t="shared" ref="F49:F62" si="38">C49+D49-E49</f>
        <v>12</v>
      </c>
      <c r="G49" s="9">
        <v>48</v>
      </c>
      <c r="H49" s="9">
        <f>48+15</f>
        <v>63</v>
      </c>
      <c r="I49" s="84">
        <f t="shared" ref="I49:I62" si="39">E49+G49-H49</f>
        <v>21</v>
      </c>
      <c r="J49" s="9">
        <v>0</v>
      </c>
      <c r="K49" s="9">
        <v>49</v>
      </c>
      <c r="L49" s="84">
        <f t="shared" ref="L49:L62" si="40">H49+J49-K49</f>
        <v>14</v>
      </c>
      <c r="M49" s="9">
        <v>0</v>
      </c>
      <c r="N49" s="9">
        <v>38</v>
      </c>
      <c r="O49" s="84">
        <f t="shared" ref="O49:O62" si="41">K49+M49-N49</f>
        <v>11</v>
      </c>
      <c r="P49" s="9">
        <v>0</v>
      </c>
      <c r="Q49" s="9">
        <f>33+0</f>
        <v>33</v>
      </c>
      <c r="R49" s="84">
        <f t="shared" ref="R49:R62" si="42">N49+P49-Q49</f>
        <v>5</v>
      </c>
      <c r="S49" s="41">
        <f t="shared" ref="S49:S62" si="43">SUMIF($D$35:$R$35,"Stock In",D49:R49)</f>
        <v>48</v>
      </c>
      <c r="T49" s="9">
        <f t="shared" ref="T49:T62" si="44">Q49</f>
        <v>33</v>
      </c>
      <c r="U49" s="81">
        <f t="shared" ref="U49:U62" si="45">SUMIF($D$3:$R$3,"Consumption",D49:R49)</f>
        <v>63</v>
      </c>
      <c r="V49">
        <f t="shared" ref="V49:V62" si="46">COUNTIF(E49,"&gt;0")+COUNTIF(H49,"&gt;0")+COUNTIF(K49,"&gt;0")+COUNTIF(N49,"&gt;0")+COUNTIF(Q49,"&gt;0")</f>
        <v>5</v>
      </c>
      <c r="W49" s="60"/>
      <c r="X49" s="45"/>
      <c r="Y49" s="45"/>
      <c r="Z49" s="115"/>
    </row>
    <row r="50" spans="1:28" ht="15.75" customHeight="1" x14ac:dyDescent="0.25">
      <c r="A50" s="42" t="s">
        <v>157</v>
      </c>
      <c r="B50" s="117" t="s">
        <v>159</v>
      </c>
      <c r="C50" s="41">
        <f t="shared" si="37"/>
        <v>19</v>
      </c>
      <c r="D50" s="41">
        <v>24</v>
      </c>
      <c r="E50" s="9">
        <f>24+16</f>
        <v>40</v>
      </c>
      <c r="F50" s="84">
        <f t="shared" si="38"/>
        <v>3</v>
      </c>
      <c r="G50" s="9">
        <v>0</v>
      </c>
      <c r="H50" s="9">
        <v>39</v>
      </c>
      <c r="I50" s="84">
        <f t="shared" si="39"/>
        <v>1</v>
      </c>
      <c r="J50" s="9">
        <v>0</v>
      </c>
      <c r="K50" s="9">
        <v>35</v>
      </c>
      <c r="L50" s="84">
        <f t="shared" si="40"/>
        <v>4</v>
      </c>
      <c r="M50" s="9">
        <v>0</v>
      </c>
      <c r="N50" s="9">
        <v>34</v>
      </c>
      <c r="O50" s="84">
        <f t="shared" si="41"/>
        <v>1</v>
      </c>
      <c r="P50" s="9">
        <v>0</v>
      </c>
      <c r="Q50" s="9">
        <f>32+0</f>
        <v>32</v>
      </c>
      <c r="R50" s="84">
        <f t="shared" si="42"/>
        <v>2</v>
      </c>
      <c r="S50" s="41">
        <f t="shared" si="43"/>
        <v>24</v>
      </c>
      <c r="T50" s="9">
        <f t="shared" si="44"/>
        <v>32</v>
      </c>
      <c r="U50" s="81">
        <f t="shared" si="45"/>
        <v>11</v>
      </c>
      <c r="V50">
        <f t="shared" si="46"/>
        <v>5</v>
      </c>
      <c r="W50" s="60"/>
      <c r="X50" s="45"/>
      <c r="Y50" s="45"/>
      <c r="Z50" s="115"/>
    </row>
    <row r="51" spans="1:28" ht="15.75" customHeight="1" x14ac:dyDescent="0.25">
      <c r="A51" s="42" t="s">
        <v>157</v>
      </c>
      <c r="B51" s="117" t="s">
        <v>160</v>
      </c>
      <c r="C51" s="41">
        <f t="shared" si="37"/>
        <v>14</v>
      </c>
      <c r="D51" s="41">
        <v>24</v>
      </c>
      <c r="E51" s="9">
        <f>24+11</f>
        <v>35</v>
      </c>
      <c r="F51" s="84">
        <f t="shared" si="38"/>
        <v>3</v>
      </c>
      <c r="G51" s="9">
        <v>0</v>
      </c>
      <c r="H51" s="9">
        <v>33</v>
      </c>
      <c r="I51" s="84">
        <f t="shared" si="39"/>
        <v>2</v>
      </c>
      <c r="J51" s="9">
        <v>0</v>
      </c>
      <c r="K51" s="9">
        <v>31</v>
      </c>
      <c r="L51" s="84">
        <f t="shared" si="40"/>
        <v>2</v>
      </c>
      <c r="M51" s="9">
        <v>0</v>
      </c>
      <c r="N51" s="9">
        <v>29</v>
      </c>
      <c r="O51" s="84">
        <f t="shared" si="41"/>
        <v>2</v>
      </c>
      <c r="P51" s="9">
        <v>0</v>
      </c>
      <c r="Q51" s="9">
        <f>27+0</f>
        <v>27</v>
      </c>
      <c r="R51" s="84">
        <f t="shared" si="42"/>
        <v>2</v>
      </c>
      <c r="S51" s="41">
        <f t="shared" si="43"/>
        <v>24</v>
      </c>
      <c r="T51" s="9">
        <f t="shared" si="44"/>
        <v>27</v>
      </c>
      <c r="U51" s="81">
        <f t="shared" si="45"/>
        <v>11</v>
      </c>
      <c r="V51">
        <f t="shared" si="46"/>
        <v>5</v>
      </c>
      <c r="W51" s="60"/>
      <c r="X51" s="45"/>
      <c r="Y51" s="45"/>
      <c r="Z51" s="115"/>
    </row>
    <row r="52" spans="1:28" ht="15.75" customHeight="1" x14ac:dyDescent="0.25">
      <c r="A52" s="42" t="s">
        <v>161</v>
      </c>
      <c r="B52" s="117" t="s">
        <v>162</v>
      </c>
      <c r="C52" s="41">
        <f t="shared" si="37"/>
        <v>36</v>
      </c>
      <c r="D52" s="41">
        <v>48</v>
      </c>
      <c r="E52" s="9">
        <f>48+32</f>
        <v>80</v>
      </c>
      <c r="F52" s="84">
        <f t="shared" si="38"/>
        <v>4</v>
      </c>
      <c r="G52" s="9">
        <v>48</v>
      </c>
      <c r="H52" s="9">
        <f>48+45</f>
        <v>93</v>
      </c>
      <c r="I52" s="84">
        <f t="shared" si="39"/>
        <v>35</v>
      </c>
      <c r="J52" s="9">
        <v>0</v>
      </c>
      <c r="K52" s="9">
        <v>68</v>
      </c>
      <c r="L52" s="84">
        <f t="shared" si="40"/>
        <v>25</v>
      </c>
      <c r="M52" s="9">
        <v>48</v>
      </c>
      <c r="N52" s="9">
        <f>48+39</f>
        <v>87</v>
      </c>
      <c r="O52" s="84">
        <f t="shared" si="41"/>
        <v>29</v>
      </c>
      <c r="P52" s="9">
        <v>0</v>
      </c>
      <c r="Q52" s="9">
        <f>65+0</f>
        <v>65</v>
      </c>
      <c r="R52" s="84">
        <f t="shared" si="42"/>
        <v>22</v>
      </c>
      <c r="S52" s="41">
        <f t="shared" si="43"/>
        <v>144</v>
      </c>
      <c r="T52" s="9">
        <f t="shared" si="44"/>
        <v>65</v>
      </c>
      <c r="U52" s="81">
        <f t="shared" si="45"/>
        <v>115</v>
      </c>
      <c r="V52">
        <f t="shared" si="46"/>
        <v>5</v>
      </c>
      <c r="W52" s="60"/>
      <c r="X52" s="45"/>
      <c r="Y52" s="45"/>
      <c r="Z52" s="115"/>
    </row>
    <row r="53" spans="1:28" ht="15.75" customHeight="1" x14ac:dyDescent="0.25">
      <c r="A53" s="42" t="s">
        <v>163</v>
      </c>
      <c r="B53" s="117" t="s">
        <v>164</v>
      </c>
      <c r="C53" s="41">
        <f t="shared" si="37"/>
        <v>5</v>
      </c>
      <c r="D53" s="41">
        <v>48</v>
      </c>
      <c r="E53" s="9">
        <v>48</v>
      </c>
      <c r="F53" s="84">
        <f t="shared" si="38"/>
        <v>5</v>
      </c>
      <c r="G53" s="9">
        <v>0</v>
      </c>
      <c r="H53" s="9">
        <v>39</v>
      </c>
      <c r="I53" s="84">
        <f t="shared" si="39"/>
        <v>9</v>
      </c>
      <c r="J53" s="9">
        <v>0</v>
      </c>
      <c r="K53" s="9">
        <v>29</v>
      </c>
      <c r="L53" s="84">
        <f t="shared" si="40"/>
        <v>10</v>
      </c>
      <c r="M53" s="9">
        <v>24</v>
      </c>
      <c r="N53" s="9">
        <f>24+23</f>
        <v>47</v>
      </c>
      <c r="O53" s="84">
        <f t="shared" si="41"/>
        <v>6</v>
      </c>
      <c r="P53" s="9">
        <v>0</v>
      </c>
      <c r="Q53" s="9">
        <f>41+0</f>
        <v>41</v>
      </c>
      <c r="R53" s="84">
        <f t="shared" si="42"/>
        <v>6</v>
      </c>
      <c r="S53" s="41">
        <f t="shared" si="43"/>
        <v>72</v>
      </c>
      <c r="T53" s="9">
        <f t="shared" si="44"/>
        <v>41</v>
      </c>
      <c r="U53" s="81">
        <f t="shared" si="45"/>
        <v>36</v>
      </c>
      <c r="V53">
        <f t="shared" si="46"/>
        <v>5</v>
      </c>
      <c r="W53" s="60"/>
      <c r="X53" s="45"/>
      <c r="Y53" s="45"/>
      <c r="Z53" s="115"/>
    </row>
    <row r="54" spans="1:28" ht="15.75" customHeight="1" x14ac:dyDescent="0.25">
      <c r="A54" s="42" t="s">
        <v>163</v>
      </c>
      <c r="B54" s="117" t="s">
        <v>166</v>
      </c>
      <c r="C54" s="41">
        <f t="shared" si="37"/>
        <v>0</v>
      </c>
      <c r="D54" s="41">
        <v>36</v>
      </c>
      <c r="E54" s="9">
        <v>36</v>
      </c>
      <c r="F54" s="84">
        <f t="shared" si="38"/>
        <v>0</v>
      </c>
      <c r="G54" s="9">
        <v>24</v>
      </c>
      <c r="H54" s="9">
        <v>24</v>
      </c>
      <c r="I54" s="84">
        <f t="shared" si="39"/>
        <v>36</v>
      </c>
      <c r="J54" s="9">
        <v>36</v>
      </c>
      <c r="K54" s="9">
        <v>36</v>
      </c>
      <c r="L54" s="84">
        <f t="shared" si="40"/>
        <v>24</v>
      </c>
      <c r="M54" s="9">
        <v>24</v>
      </c>
      <c r="N54" s="9">
        <v>24</v>
      </c>
      <c r="O54" s="84">
        <f t="shared" si="41"/>
        <v>36</v>
      </c>
      <c r="P54" s="9">
        <v>24</v>
      </c>
      <c r="Q54" s="9">
        <f>0+24</f>
        <v>24</v>
      </c>
      <c r="R54" s="84">
        <f t="shared" si="42"/>
        <v>24</v>
      </c>
      <c r="S54" s="41">
        <f t="shared" si="43"/>
        <v>144</v>
      </c>
      <c r="T54" s="9">
        <f t="shared" si="44"/>
        <v>24</v>
      </c>
      <c r="U54" s="81">
        <f t="shared" si="45"/>
        <v>120</v>
      </c>
      <c r="V54">
        <f t="shared" si="46"/>
        <v>5</v>
      </c>
      <c r="W54" s="60"/>
      <c r="X54" s="45"/>
      <c r="Y54" s="45"/>
      <c r="Z54" s="115"/>
    </row>
    <row r="55" spans="1:28" ht="15.75" customHeight="1" x14ac:dyDescent="0.25">
      <c r="A55" s="42" t="s">
        <v>163</v>
      </c>
      <c r="B55" s="117" t="s">
        <v>167</v>
      </c>
      <c r="C55" s="41">
        <f t="shared" si="37"/>
        <v>0</v>
      </c>
      <c r="D55" s="41">
        <v>36</v>
      </c>
      <c r="E55" s="9">
        <v>36</v>
      </c>
      <c r="F55" s="84">
        <f t="shared" si="38"/>
        <v>0</v>
      </c>
      <c r="G55" s="9">
        <v>24</v>
      </c>
      <c r="H55" s="9">
        <v>24</v>
      </c>
      <c r="I55" s="84">
        <f t="shared" si="39"/>
        <v>36</v>
      </c>
      <c r="J55" s="9">
        <v>36</v>
      </c>
      <c r="K55" s="9">
        <v>36</v>
      </c>
      <c r="L55" s="84">
        <f t="shared" si="40"/>
        <v>24</v>
      </c>
      <c r="M55" s="9">
        <v>24</v>
      </c>
      <c r="N55" s="9">
        <f>24+8</f>
        <v>32</v>
      </c>
      <c r="O55" s="84">
        <f t="shared" si="41"/>
        <v>28</v>
      </c>
      <c r="P55" s="9">
        <v>0</v>
      </c>
      <c r="Q55" s="9">
        <f>16+0</f>
        <v>16</v>
      </c>
      <c r="R55" s="84">
        <f t="shared" si="42"/>
        <v>16</v>
      </c>
      <c r="S55" s="41">
        <f t="shared" si="43"/>
        <v>120</v>
      </c>
      <c r="T55" s="9">
        <f t="shared" si="44"/>
        <v>16</v>
      </c>
      <c r="U55" s="81">
        <f t="shared" si="45"/>
        <v>104</v>
      </c>
      <c r="V55">
        <f t="shared" si="46"/>
        <v>5</v>
      </c>
      <c r="W55" s="60"/>
      <c r="X55" s="45"/>
      <c r="Y55" s="45"/>
      <c r="Z55" s="115"/>
    </row>
    <row r="56" spans="1:28" ht="15.75" customHeight="1" x14ac:dyDescent="0.25">
      <c r="A56" s="42" t="s">
        <v>168</v>
      </c>
      <c r="B56" s="117" t="s">
        <v>169</v>
      </c>
      <c r="C56" s="41">
        <f t="shared" si="37"/>
        <v>66</v>
      </c>
      <c r="D56" s="41">
        <v>0</v>
      </c>
      <c r="E56" s="9">
        <v>53</v>
      </c>
      <c r="F56" s="84">
        <f t="shared" si="38"/>
        <v>13</v>
      </c>
      <c r="G56" s="9">
        <v>0</v>
      </c>
      <c r="H56" s="9">
        <v>32</v>
      </c>
      <c r="I56" s="84">
        <f t="shared" si="39"/>
        <v>21</v>
      </c>
      <c r="J56" s="9">
        <v>0</v>
      </c>
      <c r="K56" s="9">
        <v>13</v>
      </c>
      <c r="L56" s="84">
        <f t="shared" si="40"/>
        <v>19</v>
      </c>
      <c r="M56" s="9">
        <v>0</v>
      </c>
      <c r="N56" s="9">
        <v>1</v>
      </c>
      <c r="O56" s="84">
        <f t="shared" si="41"/>
        <v>12</v>
      </c>
      <c r="P56" s="9">
        <v>0</v>
      </c>
      <c r="Q56" s="9">
        <f>0+0</f>
        <v>0</v>
      </c>
      <c r="R56" s="84">
        <f t="shared" si="42"/>
        <v>1</v>
      </c>
      <c r="S56" s="41">
        <f t="shared" si="43"/>
        <v>0</v>
      </c>
      <c r="T56" s="9">
        <f t="shared" si="44"/>
        <v>0</v>
      </c>
      <c r="U56" s="81">
        <f t="shared" si="45"/>
        <v>66</v>
      </c>
      <c r="V56">
        <f t="shared" si="46"/>
        <v>4</v>
      </c>
      <c r="W56" s="9"/>
      <c r="X56" s="9"/>
      <c r="Y56" s="9"/>
      <c r="Z56" s="115"/>
    </row>
    <row r="57" spans="1:28" ht="15.75" customHeight="1" x14ac:dyDescent="0.25">
      <c r="A57" s="42" t="s">
        <v>170</v>
      </c>
      <c r="B57" s="117" t="s">
        <v>171</v>
      </c>
      <c r="C57" s="41">
        <f t="shared" si="37"/>
        <v>0</v>
      </c>
      <c r="D57" s="41">
        <v>72</v>
      </c>
      <c r="E57" s="9">
        <v>72</v>
      </c>
      <c r="F57" s="84">
        <f t="shared" si="38"/>
        <v>0</v>
      </c>
      <c r="G57" s="9">
        <v>0</v>
      </c>
      <c r="H57" s="9">
        <v>65</v>
      </c>
      <c r="I57" s="84">
        <f t="shared" si="39"/>
        <v>7</v>
      </c>
      <c r="J57" s="9">
        <v>0</v>
      </c>
      <c r="K57" s="9">
        <v>60</v>
      </c>
      <c r="L57" s="84">
        <f t="shared" si="40"/>
        <v>5</v>
      </c>
      <c r="M57" s="9">
        <v>0</v>
      </c>
      <c r="N57" s="9">
        <v>48</v>
      </c>
      <c r="O57" s="84">
        <f t="shared" si="41"/>
        <v>12</v>
      </c>
      <c r="P57" s="9">
        <v>0</v>
      </c>
      <c r="Q57" s="9">
        <f>41+0</f>
        <v>41</v>
      </c>
      <c r="R57" s="84">
        <f t="shared" si="42"/>
        <v>7</v>
      </c>
      <c r="S57" s="41">
        <f t="shared" si="43"/>
        <v>72</v>
      </c>
      <c r="T57" s="9">
        <f t="shared" si="44"/>
        <v>41</v>
      </c>
      <c r="U57" s="81">
        <f t="shared" si="45"/>
        <v>31</v>
      </c>
      <c r="V57">
        <f t="shared" si="46"/>
        <v>5</v>
      </c>
      <c r="W57" s="60"/>
      <c r="X57" s="45"/>
      <c r="Y57" s="45"/>
      <c r="Z57" s="9"/>
      <c r="AA57" s="9"/>
      <c r="AB57" s="9"/>
    </row>
    <row r="58" spans="1:28" ht="15.75" customHeight="1" x14ac:dyDescent="0.25">
      <c r="A58" s="42" t="s">
        <v>172</v>
      </c>
      <c r="B58" s="117" t="s">
        <v>173</v>
      </c>
      <c r="C58" s="41">
        <f t="shared" si="37"/>
        <v>0</v>
      </c>
      <c r="D58" s="41">
        <v>0</v>
      </c>
      <c r="E58" s="9">
        <v>0</v>
      </c>
      <c r="F58" s="84">
        <f t="shared" si="38"/>
        <v>0</v>
      </c>
      <c r="G58" s="9">
        <v>0</v>
      </c>
      <c r="H58" s="9">
        <v>0</v>
      </c>
      <c r="I58" s="84">
        <f t="shared" si="39"/>
        <v>0</v>
      </c>
      <c r="J58" s="9">
        <v>0</v>
      </c>
      <c r="K58" s="9">
        <v>0</v>
      </c>
      <c r="L58" s="84">
        <f t="shared" si="40"/>
        <v>0</v>
      </c>
      <c r="M58" s="9">
        <v>0</v>
      </c>
      <c r="N58" s="9">
        <v>0</v>
      </c>
      <c r="O58" s="84">
        <f t="shared" si="41"/>
        <v>0</v>
      </c>
      <c r="P58" s="9">
        <v>0</v>
      </c>
      <c r="Q58" s="9">
        <f>0+0</f>
        <v>0</v>
      </c>
      <c r="R58" s="84">
        <f t="shared" si="42"/>
        <v>0</v>
      </c>
      <c r="S58" s="41">
        <f t="shared" si="43"/>
        <v>0</v>
      </c>
      <c r="T58" s="9">
        <f t="shared" si="44"/>
        <v>0</v>
      </c>
      <c r="U58" s="81">
        <f t="shared" si="45"/>
        <v>0</v>
      </c>
      <c r="V58">
        <f t="shared" si="46"/>
        <v>0</v>
      </c>
      <c r="W58" s="60"/>
      <c r="X58" s="45"/>
      <c r="Y58" s="45"/>
      <c r="Z58" s="115"/>
    </row>
    <row r="59" spans="1:28" ht="15.75" customHeight="1" x14ac:dyDescent="0.25">
      <c r="A59" s="42" t="s">
        <v>174</v>
      </c>
      <c r="B59" s="117" t="s">
        <v>175</v>
      </c>
      <c r="C59" s="41">
        <f t="shared" si="37"/>
        <v>66</v>
      </c>
      <c r="D59" s="41">
        <v>0</v>
      </c>
      <c r="E59" s="9">
        <v>54</v>
      </c>
      <c r="F59" s="84">
        <f t="shared" si="38"/>
        <v>12</v>
      </c>
      <c r="G59" s="9">
        <v>0</v>
      </c>
      <c r="H59" s="9">
        <v>44</v>
      </c>
      <c r="I59" s="84">
        <f t="shared" si="39"/>
        <v>10</v>
      </c>
      <c r="J59" s="9">
        <v>0</v>
      </c>
      <c r="K59" s="9">
        <v>33</v>
      </c>
      <c r="L59" s="84">
        <f t="shared" si="40"/>
        <v>11</v>
      </c>
      <c r="M59" s="9">
        <v>0</v>
      </c>
      <c r="N59" s="9">
        <v>23</v>
      </c>
      <c r="O59" s="84">
        <f t="shared" si="41"/>
        <v>10</v>
      </c>
      <c r="P59" s="9">
        <v>24</v>
      </c>
      <c r="Q59" s="9">
        <f>20+24</f>
        <v>44</v>
      </c>
      <c r="R59" s="84">
        <f t="shared" si="42"/>
        <v>3</v>
      </c>
      <c r="S59" s="41">
        <f t="shared" si="43"/>
        <v>24</v>
      </c>
      <c r="T59" s="9">
        <f t="shared" si="44"/>
        <v>44</v>
      </c>
      <c r="U59" s="81">
        <f t="shared" si="45"/>
        <v>46</v>
      </c>
      <c r="V59">
        <f t="shared" si="46"/>
        <v>5</v>
      </c>
      <c r="W59" s="60"/>
      <c r="X59" s="45"/>
      <c r="Y59" s="45"/>
      <c r="Z59" s="115"/>
    </row>
    <row r="60" spans="1:28" ht="15.75" customHeight="1" x14ac:dyDescent="0.25">
      <c r="A60" s="42" t="s">
        <v>176</v>
      </c>
      <c r="B60" s="117" t="s">
        <v>177</v>
      </c>
      <c r="C60" s="41">
        <f t="shared" si="37"/>
        <v>48</v>
      </c>
      <c r="D60" s="41">
        <v>0</v>
      </c>
      <c r="E60" s="9">
        <v>18</v>
      </c>
      <c r="F60" s="84">
        <f t="shared" si="38"/>
        <v>30</v>
      </c>
      <c r="G60" s="9">
        <v>24</v>
      </c>
      <c r="H60" s="9">
        <v>24</v>
      </c>
      <c r="I60" s="84">
        <f t="shared" si="39"/>
        <v>18</v>
      </c>
      <c r="J60" s="9">
        <v>48</v>
      </c>
      <c r="K60" s="9">
        <v>48</v>
      </c>
      <c r="L60" s="84">
        <f t="shared" si="40"/>
        <v>24</v>
      </c>
      <c r="M60" s="9">
        <v>0</v>
      </c>
      <c r="N60" s="9">
        <v>2</v>
      </c>
      <c r="O60" s="84">
        <f t="shared" si="41"/>
        <v>46</v>
      </c>
      <c r="P60" s="9">
        <v>48</v>
      </c>
      <c r="Q60" s="9">
        <f>1+48</f>
        <v>49</v>
      </c>
      <c r="R60" s="84">
        <f t="shared" si="42"/>
        <v>1</v>
      </c>
      <c r="S60" s="41">
        <f t="shared" si="43"/>
        <v>120</v>
      </c>
      <c r="T60" s="9">
        <f t="shared" si="44"/>
        <v>49</v>
      </c>
      <c r="U60" s="81">
        <f t="shared" si="45"/>
        <v>119</v>
      </c>
      <c r="V60">
        <f t="shared" si="46"/>
        <v>5</v>
      </c>
      <c r="W60" s="60"/>
      <c r="X60" s="45"/>
      <c r="Y60" s="45"/>
      <c r="Z60" s="115"/>
    </row>
    <row r="61" spans="1:28" ht="15.75" customHeight="1" x14ac:dyDescent="0.25">
      <c r="A61" s="42" t="s">
        <v>178</v>
      </c>
      <c r="B61" s="117" t="s">
        <v>179</v>
      </c>
      <c r="C61" s="41">
        <f t="shared" si="37"/>
        <v>48</v>
      </c>
      <c r="D61" s="41">
        <v>0</v>
      </c>
      <c r="E61" s="9">
        <v>28</v>
      </c>
      <c r="F61" s="84">
        <f t="shared" si="38"/>
        <v>20</v>
      </c>
      <c r="G61" s="9">
        <v>24</v>
      </c>
      <c r="H61" s="9">
        <f>24+9</f>
        <v>33</v>
      </c>
      <c r="I61" s="84">
        <f t="shared" si="39"/>
        <v>19</v>
      </c>
      <c r="J61" s="9">
        <v>0</v>
      </c>
      <c r="K61" s="9">
        <v>25</v>
      </c>
      <c r="L61" s="84">
        <f t="shared" si="40"/>
        <v>8</v>
      </c>
      <c r="M61" s="9">
        <v>48</v>
      </c>
      <c r="N61" s="9">
        <f>48+13</f>
        <v>61</v>
      </c>
      <c r="O61" s="84">
        <f t="shared" si="41"/>
        <v>12</v>
      </c>
      <c r="P61" s="9">
        <v>0</v>
      </c>
      <c r="Q61" s="9">
        <f>53+0</f>
        <v>53</v>
      </c>
      <c r="R61" s="84">
        <f t="shared" si="42"/>
        <v>8</v>
      </c>
      <c r="S61" s="41">
        <f t="shared" si="43"/>
        <v>72</v>
      </c>
      <c r="T61" s="9">
        <f t="shared" si="44"/>
        <v>53</v>
      </c>
      <c r="U61" s="81">
        <f t="shared" si="45"/>
        <v>67</v>
      </c>
      <c r="V61">
        <f t="shared" si="46"/>
        <v>5</v>
      </c>
      <c r="W61" s="60"/>
      <c r="X61" s="45"/>
      <c r="Y61" s="45"/>
      <c r="Z61" s="115"/>
    </row>
    <row r="62" spans="1:28" ht="15.75" customHeight="1" x14ac:dyDescent="0.25">
      <c r="A62" s="42" t="s">
        <v>178</v>
      </c>
      <c r="B62" s="117" t="s">
        <v>180</v>
      </c>
      <c r="C62" s="41">
        <f t="shared" si="37"/>
        <v>0</v>
      </c>
      <c r="D62" s="41">
        <v>0</v>
      </c>
      <c r="E62" s="9">
        <v>0</v>
      </c>
      <c r="F62" s="84">
        <f t="shared" si="38"/>
        <v>0</v>
      </c>
      <c r="G62" s="9">
        <v>48</v>
      </c>
      <c r="H62" s="9">
        <v>48</v>
      </c>
      <c r="I62" s="84">
        <f t="shared" si="39"/>
        <v>0</v>
      </c>
      <c r="J62" s="9">
        <v>0</v>
      </c>
      <c r="K62" s="9">
        <v>17</v>
      </c>
      <c r="L62" s="84">
        <f t="shared" si="40"/>
        <v>31</v>
      </c>
      <c r="M62" s="9">
        <v>48</v>
      </c>
      <c r="N62" s="9">
        <v>48</v>
      </c>
      <c r="O62" s="84">
        <f t="shared" si="41"/>
        <v>17</v>
      </c>
      <c r="P62" s="9">
        <v>48</v>
      </c>
      <c r="Q62" s="9">
        <f>12+48</f>
        <v>60</v>
      </c>
      <c r="R62" s="84">
        <f t="shared" si="42"/>
        <v>36</v>
      </c>
      <c r="S62" s="41">
        <f t="shared" si="43"/>
        <v>144</v>
      </c>
      <c r="T62" s="9">
        <f t="shared" si="44"/>
        <v>60</v>
      </c>
      <c r="U62" s="81">
        <f t="shared" si="45"/>
        <v>84</v>
      </c>
      <c r="V62">
        <f t="shared" si="46"/>
        <v>4</v>
      </c>
      <c r="W62" s="60"/>
      <c r="X62" s="45"/>
      <c r="Y62" s="45"/>
      <c r="Z62" s="115"/>
    </row>
    <row r="63" spans="1:28" x14ac:dyDescent="0.25">
      <c r="A63" s="12"/>
      <c r="B63" s="13"/>
      <c r="C63" s="15"/>
      <c r="D63" s="15"/>
      <c r="E63" s="77"/>
      <c r="F63" s="79"/>
      <c r="G63" s="77"/>
      <c r="H63" s="77"/>
      <c r="I63" s="79"/>
      <c r="J63" s="77"/>
      <c r="K63" s="77"/>
      <c r="L63" s="79"/>
      <c r="M63" s="77"/>
      <c r="N63" s="77"/>
      <c r="O63" s="79"/>
      <c r="P63" s="77"/>
      <c r="Q63" s="77"/>
      <c r="R63" s="77"/>
      <c r="S63" s="15"/>
      <c r="T63" s="77"/>
      <c r="U63" s="79"/>
      <c r="W63" s="23"/>
      <c r="Z63" s="115"/>
    </row>
    <row r="64" spans="1:28" x14ac:dyDescent="0.25">
      <c r="A64" s="16"/>
      <c r="B64" s="117"/>
      <c r="W64" s="23"/>
      <c r="Z64" s="115"/>
    </row>
    <row r="65" spans="1:26" ht="21" customHeight="1" x14ac:dyDescent="0.35">
      <c r="A65" s="43" t="s">
        <v>184</v>
      </c>
      <c r="B65" s="31"/>
      <c r="C65" s="91">
        <v>46279</v>
      </c>
      <c r="D65" s="390">
        <v>46280</v>
      </c>
      <c r="E65" s="391"/>
      <c r="F65" s="392"/>
      <c r="G65" s="390">
        <v>46281</v>
      </c>
      <c r="H65" s="391"/>
      <c r="I65" s="392"/>
      <c r="J65" s="390">
        <v>46282</v>
      </c>
      <c r="K65" s="391"/>
      <c r="L65" s="392"/>
      <c r="M65" s="390">
        <v>46283</v>
      </c>
      <c r="N65" s="391"/>
      <c r="O65" s="392"/>
      <c r="P65" s="390">
        <v>46286</v>
      </c>
      <c r="Q65" s="391"/>
      <c r="R65" s="392"/>
      <c r="S65" s="2" t="s">
        <v>125</v>
      </c>
      <c r="T65" s="49"/>
      <c r="U65" s="58"/>
      <c r="W65" s="23"/>
      <c r="Z65" s="115"/>
    </row>
    <row r="66" spans="1:26" x14ac:dyDescent="0.25">
      <c r="A66" s="57" t="s">
        <v>126</v>
      </c>
      <c r="B66" s="114" t="s">
        <v>127</v>
      </c>
      <c r="C66" s="34" t="s">
        <v>128</v>
      </c>
      <c r="D66" s="35" t="s">
        <v>182</v>
      </c>
      <c r="E66" s="26" t="s">
        <v>130</v>
      </c>
      <c r="F66" s="27" t="s">
        <v>131</v>
      </c>
      <c r="G66" s="35" t="s">
        <v>182</v>
      </c>
      <c r="H66" s="26" t="s">
        <v>130</v>
      </c>
      <c r="I66" s="27" t="s">
        <v>131</v>
      </c>
      <c r="J66" s="35" t="s">
        <v>182</v>
      </c>
      <c r="K66" s="26" t="s">
        <v>130</v>
      </c>
      <c r="L66" s="27" t="s">
        <v>131</v>
      </c>
      <c r="M66" s="35" t="s">
        <v>182</v>
      </c>
      <c r="N66" s="26" t="s">
        <v>130</v>
      </c>
      <c r="O66" s="27" t="s">
        <v>131</v>
      </c>
      <c r="P66" s="35" t="s">
        <v>182</v>
      </c>
      <c r="Q66" s="26" t="s">
        <v>130</v>
      </c>
      <c r="R66" s="27" t="s">
        <v>131</v>
      </c>
      <c r="S66" s="35" t="s">
        <v>182</v>
      </c>
      <c r="T66" s="26" t="s">
        <v>130</v>
      </c>
      <c r="U66" s="27" t="s">
        <v>131</v>
      </c>
      <c r="W66" s="23"/>
      <c r="Z66" s="115"/>
    </row>
    <row r="67" spans="1:26" x14ac:dyDescent="0.25">
      <c r="A67" s="56"/>
      <c r="B67" s="120"/>
      <c r="C67" s="20"/>
      <c r="D67" s="37"/>
      <c r="E67" s="37"/>
      <c r="F67" s="34"/>
      <c r="G67" s="37"/>
      <c r="H67" s="37"/>
      <c r="I67" s="34"/>
      <c r="J67" s="37"/>
      <c r="K67" s="37"/>
      <c r="L67" s="34"/>
      <c r="M67" s="37"/>
      <c r="N67" s="37"/>
      <c r="O67" s="34"/>
      <c r="P67" s="50"/>
      <c r="Q67" s="37"/>
      <c r="R67" s="37"/>
      <c r="S67" s="55"/>
      <c r="T67" s="37"/>
      <c r="U67" s="34"/>
      <c r="W67" s="23"/>
      <c r="Z67" s="115"/>
    </row>
    <row r="68" spans="1:26" x14ac:dyDescent="0.25">
      <c r="A68" s="42" t="s">
        <v>141</v>
      </c>
      <c r="B68" s="117" t="s">
        <v>142</v>
      </c>
      <c r="C68" s="11">
        <f t="shared" ref="C68:C78" si="47">T37</f>
        <v>11</v>
      </c>
      <c r="D68">
        <v>36</v>
      </c>
      <c r="E68" s="85">
        <f>36+0</f>
        <v>36</v>
      </c>
      <c r="F68" s="84">
        <f t="shared" ref="F68:F78" si="48">C68+D68-E68</f>
        <v>11</v>
      </c>
      <c r="G68">
        <v>0</v>
      </c>
      <c r="H68">
        <v>36</v>
      </c>
      <c r="I68" s="84">
        <f t="shared" ref="I68:I78" si="49">E68+G68-H68</f>
        <v>0</v>
      </c>
      <c r="J68">
        <v>0</v>
      </c>
      <c r="K68" s="9">
        <v>18</v>
      </c>
      <c r="L68" s="84">
        <f t="shared" ref="L68:L78" si="50">H68+J68-K68</f>
        <v>18</v>
      </c>
      <c r="M68">
        <v>0</v>
      </c>
      <c r="N68" s="85">
        <v>7</v>
      </c>
      <c r="O68" s="84">
        <f t="shared" ref="O68:O78" si="51">K68+M68-N68</f>
        <v>11</v>
      </c>
      <c r="P68">
        <v>36</v>
      </c>
      <c r="Q68" s="85">
        <f>36+5</f>
        <v>41</v>
      </c>
      <c r="R68" s="86">
        <f t="shared" ref="R68:R78" si="52">N68+P68-Q68</f>
        <v>2</v>
      </c>
      <c r="S68" s="87">
        <f t="shared" ref="S68:S78" si="53">SUMIF($D$66:$R$66,"Stock In",D68:R68)</f>
        <v>72</v>
      </c>
      <c r="T68">
        <f t="shared" ref="T68:T78" si="54">Q68</f>
        <v>41</v>
      </c>
      <c r="U68" s="29">
        <f t="shared" ref="U68:U78" si="55">SUMIF($D$3:$R$3,"Consumption",D68:R68)</f>
        <v>42</v>
      </c>
      <c r="V68">
        <f t="shared" ref="V68:V78" si="56">COUNTIF(E68,"&gt;0")+COUNTIF(H68,"&gt;0")+COUNTIF(K68,"&gt;0")+COUNTIF(N68,"&gt;0")+COUNTIF(Q68,"&gt;0")</f>
        <v>5</v>
      </c>
      <c r="Z68" s="115"/>
    </row>
    <row r="69" spans="1:26" x14ac:dyDescent="0.25">
      <c r="A69" s="42" t="s">
        <v>141</v>
      </c>
      <c r="B69" s="117" t="s">
        <v>143</v>
      </c>
      <c r="C69" s="11">
        <f t="shared" si="47"/>
        <v>5</v>
      </c>
      <c r="D69">
        <v>10</v>
      </c>
      <c r="E69" s="85">
        <f>10+2</f>
        <v>12</v>
      </c>
      <c r="F69" s="84">
        <f t="shared" si="48"/>
        <v>3</v>
      </c>
      <c r="G69">
        <v>0</v>
      </c>
      <c r="H69">
        <v>12</v>
      </c>
      <c r="I69" s="84">
        <f t="shared" si="49"/>
        <v>0</v>
      </c>
      <c r="J69">
        <v>0</v>
      </c>
      <c r="K69" s="9">
        <v>12</v>
      </c>
      <c r="L69" s="84">
        <f t="shared" si="50"/>
        <v>0</v>
      </c>
      <c r="M69">
        <v>0</v>
      </c>
      <c r="N69" s="85">
        <v>11</v>
      </c>
      <c r="O69" s="84">
        <f t="shared" si="51"/>
        <v>1</v>
      </c>
      <c r="P69">
        <v>0</v>
      </c>
      <c r="Q69" s="85">
        <v>10</v>
      </c>
      <c r="R69" s="86">
        <f t="shared" si="52"/>
        <v>1</v>
      </c>
      <c r="S69" s="87">
        <f t="shared" si="53"/>
        <v>10</v>
      </c>
      <c r="T69">
        <f t="shared" si="54"/>
        <v>10</v>
      </c>
      <c r="U69" s="29">
        <f t="shared" si="55"/>
        <v>5</v>
      </c>
      <c r="V69">
        <f t="shared" si="56"/>
        <v>5</v>
      </c>
      <c r="W69" s="23"/>
    </row>
    <row r="70" spans="1:26" x14ac:dyDescent="0.25">
      <c r="A70" s="42" t="s">
        <v>141</v>
      </c>
      <c r="B70" s="117" t="s">
        <v>144</v>
      </c>
      <c r="C70" s="11">
        <f t="shared" si="47"/>
        <v>0</v>
      </c>
      <c r="D70">
        <v>0</v>
      </c>
      <c r="E70" s="85">
        <v>0</v>
      </c>
      <c r="F70" s="84">
        <f t="shared" si="48"/>
        <v>0</v>
      </c>
      <c r="G70">
        <v>0</v>
      </c>
      <c r="H70">
        <v>0</v>
      </c>
      <c r="I70" s="84">
        <f t="shared" si="49"/>
        <v>0</v>
      </c>
      <c r="J70">
        <v>40</v>
      </c>
      <c r="K70" s="9">
        <f>0+40</f>
        <v>40</v>
      </c>
      <c r="L70" s="84">
        <f t="shared" si="50"/>
        <v>0</v>
      </c>
      <c r="M70">
        <v>0</v>
      </c>
      <c r="N70" s="85">
        <v>15</v>
      </c>
      <c r="O70" s="84">
        <f t="shared" si="51"/>
        <v>25</v>
      </c>
      <c r="P70">
        <v>24</v>
      </c>
      <c r="Q70" s="85">
        <f>24+8</f>
        <v>32</v>
      </c>
      <c r="R70" s="86">
        <f t="shared" si="52"/>
        <v>7</v>
      </c>
      <c r="S70" s="87">
        <f t="shared" si="53"/>
        <v>64</v>
      </c>
      <c r="T70">
        <f t="shared" si="54"/>
        <v>32</v>
      </c>
      <c r="U70" s="29">
        <f t="shared" si="55"/>
        <v>32</v>
      </c>
      <c r="V70">
        <f t="shared" si="56"/>
        <v>3</v>
      </c>
      <c r="W70" s="23"/>
      <c r="Z70" s="115"/>
    </row>
    <row r="71" spans="1:26" x14ac:dyDescent="0.25">
      <c r="A71" s="42" t="s">
        <v>141</v>
      </c>
      <c r="B71" s="117" t="s">
        <v>145</v>
      </c>
      <c r="C71" s="11">
        <f t="shared" si="47"/>
        <v>26</v>
      </c>
      <c r="D71">
        <v>24</v>
      </c>
      <c r="E71" s="85">
        <f>24+17</f>
        <v>41</v>
      </c>
      <c r="F71" s="84">
        <f t="shared" si="48"/>
        <v>9</v>
      </c>
      <c r="G71">
        <v>0</v>
      </c>
      <c r="H71">
        <v>41</v>
      </c>
      <c r="I71" s="84">
        <f t="shared" si="49"/>
        <v>0</v>
      </c>
      <c r="J71">
        <v>0</v>
      </c>
      <c r="K71" s="9">
        <v>32</v>
      </c>
      <c r="L71" s="84">
        <f t="shared" si="50"/>
        <v>9</v>
      </c>
      <c r="M71">
        <v>0</v>
      </c>
      <c r="N71" s="85">
        <v>28</v>
      </c>
      <c r="O71" s="84">
        <f t="shared" si="51"/>
        <v>4</v>
      </c>
      <c r="P71">
        <v>0</v>
      </c>
      <c r="Q71" s="85">
        <v>22</v>
      </c>
      <c r="R71" s="86">
        <f t="shared" si="52"/>
        <v>6</v>
      </c>
      <c r="S71" s="87">
        <f t="shared" si="53"/>
        <v>24</v>
      </c>
      <c r="T71">
        <f t="shared" si="54"/>
        <v>22</v>
      </c>
      <c r="U71" s="29">
        <f t="shared" si="55"/>
        <v>28</v>
      </c>
      <c r="V71">
        <f t="shared" si="56"/>
        <v>5</v>
      </c>
      <c r="W71" s="23"/>
      <c r="Z71" s="115"/>
    </row>
    <row r="72" spans="1:26" x14ac:dyDescent="0.25">
      <c r="A72" s="42" t="s">
        <v>146</v>
      </c>
      <c r="B72" s="117" t="s">
        <v>147</v>
      </c>
      <c r="C72" s="11">
        <f t="shared" si="47"/>
        <v>0</v>
      </c>
      <c r="D72">
        <v>0</v>
      </c>
      <c r="E72" s="85">
        <v>0</v>
      </c>
      <c r="F72" s="84">
        <f t="shared" si="48"/>
        <v>0</v>
      </c>
      <c r="G72">
        <v>0</v>
      </c>
      <c r="H72">
        <v>0</v>
      </c>
      <c r="I72" s="84">
        <f t="shared" si="49"/>
        <v>0</v>
      </c>
      <c r="J72">
        <v>0</v>
      </c>
      <c r="K72" s="9">
        <v>0</v>
      </c>
      <c r="L72" s="84">
        <f t="shared" si="50"/>
        <v>0</v>
      </c>
      <c r="M72">
        <v>0</v>
      </c>
      <c r="N72" s="85">
        <v>0</v>
      </c>
      <c r="O72" s="84">
        <f t="shared" si="51"/>
        <v>0</v>
      </c>
      <c r="P72">
        <v>0</v>
      </c>
      <c r="Q72" s="85">
        <v>0</v>
      </c>
      <c r="R72" s="86">
        <f t="shared" si="52"/>
        <v>0</v>
      </c>
      <c r="S72" s="87">
        <f t="shared" si="53"/>
        <v>0</v>
      </c>
      <c r="T72">
        <f t="shared" si="54"/>
        <v>0</v>
      </c>
      <c r="U72" s="29">
        <f t="shared" si="55"/>
        <v>0</v>
      </c>
      <c r="V72">
        <f t="shared" si="56"/>
        <v>0</v>
      </c>
      <c r="W72" s="23"/>
      <c r="Z72" s="115"/>
    </row>
    <row r="73" spans="1:26" x14ac:dyDescent="0.25">
      <c r="A73" s="42" t="s">
        <v>146</v>
      </c>
      <c r="B73" s="117" t="s">
        <v>148</v>
      </c>
      <c r="C73" s="11">
        <f t="shared" si="47"/>
        <v>0</v>
      </c>
      <c r="D73">
        <v>0</v>
      </c>
      <c r="E73" s="85">
        <v>0</v>
      </c>
      <c r="F73" s="84">
        <f t="shared" si="48"/>
        <v>0</v>
      </c>
      <c r="G73">
        <v>0</v>
      </c>
      <c r="H73">
        <v>0</v>
      </c>
      <c r="I73" s="84">
        <f t="shared" si="49"/>
        <v>0</v>
      </c>
      <c r="J73">
        <v>0</v>
      </c>
      <c r="K73" s="9">
        <v>0</v>
      </c>
      <c r="L73" s="84">
        <f t="shared" si="50"/>
        <v>0</v>
      </c>
      <c r="M73">
        <v>0</v>
      </c>
      <c r="N73" s="85">
        <v>0</v>
      </c>
      <c r="O73" s="84">
        <f t="shared" si="51"/>
        <v>0</v>
      </c>
      <c r="P73">
        <v>0</v>
      </c>
      <c r="Q73" s="85">
        <v>0</v>
      </c>
      <c r="R73" s="86">
        <f t="shared" si="52"/>
        <v>0</v>
      </c>
      <c r="S73" s="87">
        <f t="shared" si="53"/>
        <v>0</v>
      </c>
      <c r="T73">
        <f t="shared" si="54"/>
        <v>0</v>
      </c>
      <c r="U73" s="29">
        <f t="shared" si="55"/>
        <v>0</v>
      </c>
      <c r="V73">
        <f t="shared" si="56"/>
        <v>0</v>
      </c>
      <c r="Z73" s="115"/>
    </row>
    <row r="74" spans="1:26" x14ac:dyDescent="0.25">
      <c r="A74" s="42" t="s">
        <v>149</v>
      </c>
      <c r="B74" s="117" t="s">
        <v>150</v>
      </c>
      <c r="C74" s="11">
        <f t="shared" si="47"/>
        <v>0</v>
      </c>
      <c r="D74">
        <v>0</v>
      </c>
      <c r="E74" s="85">
        <v>0</v>
      </c>
      <c r="F74" s="84">
        <f t="shared" si="48"/>
        <v>0</v>
      </c>
      <c r="G74">
        <v>0</v>
      </c>
      <c r="H74">
        <v>0</v>
      </c>
      <c r="I74" s="84">
        <f t="shared" si="49"/>
        <v>0</v>
      </c>
      <c r="J74">
        <v>0</v>
      </c>
      <c r="K74" s="9">
        <v>0</v>
      </c>
      <c r="L74" s="84">
        <f t="shared" si="50"/>
        <v>0</v>
      </c>
      <c r="M74">
        <v>0</v>
      </c>
      <c r="N74" s="85">
        <v>0</v>
      </c>
      <c r="O74" s="84">
        <f t="shared" si="51"/>
        <v>0</v>
      </c>
      <c r="P74">
        <v>0</v>
      </c>
      <c r="Q74" s="85">
        <v>0</v>
      </c>
      <c r="R74" s="86">
        <f t="shared" si="52"/>
        <v>0</v>
      </c>
      <c r="S74" s="87">
        <f t="shared" si="53"/>
        <v>0</v>
      </c>
      <c r="T74">
        <f t="shared" si="54"/>
        <v>0</v>
      </c>
      <c r="U74" s="29">
        <f t="shared" si="55"/>
        <v>0</v>
      </c>
      <c r="V74">
        <f t="shared" si="56"/>
        <v>0</v>
      </c>
    </row>
    <row r="75" spans="1:26" x14ac:dyDescent="0.25">
      <c r="A75" s="42" t="s">
        <v>151</v>
      </c>
      <c r="B75" s="117" t="s">
        <v>152</v>
      </c>
      <c r="C75" s="11">
        <f t="shared" si="47"/>
        <v>39</v>
      </c>
      <c r="D75">
        <v>0</v>
      </c>
      <c r="E75" s="85">
        <v>39</v>
      </c>
      <c r="F75" s="84">
        <f t="shared" si="48"/>
        <v>0</v>
      </c>
      <c r="G75">
        <v>0</v>
      </c>
      <c r="H75">
        <v>39</v>
      </c>
      <c r="I75" s="84">
        <f t="shared" si="49"/>
        <v>0</v>
      </c>
      <c r="J75">
        <v>0</v>
      </c>
      <c r="K75" s="9">
        <v>35</v>
      </c>
      <c r="L75" s="84">
        <f t="shared" si="50"/>
        <v>4</v>
      </c>
      <c r="M75">
        <v>0</v>
      </c>
      <c r="N75" s="85">
        <v>35</v>
      </c>
      <c r="O75" s="84">
        <f t="shared" si="51"/>
        <v>0</v>
      </c>
      <c r="P75">
        <v>0</v>
      </c>
      <c r="Q75" s="85">
        <v>27</v>
      </c>
      <c r="R75" s="86">
        <f t="shared" si="52"/>
        <v>8</v>
      </c>
      <c r="S75" s="87">
        <f t="shared" si="53"/>
        <v>0</v>
      </c>
      <c r="T75">
        <f t="shared" si="54"/>
        <v>27</v>
      </c>
      <c r="U75" s="29">
        <f t="shared" si="55"/>
        <v>12</v>
      </c>
      <c r="V75">
        <f t="shared" si="56"/>
        <v>5</v>
      </c>
    </row>
    <row r="76" spans="1:26" x14ac:dyDescent="0.25">
      <c r="A76" s="42" t="s">
        <v>151</v>
      </c>
      <c r="B76" s="117" t="s">
        <v>153</v>
      </c>
      <c r="C76" s="11">
        <f t="shared" si="47"/>
        <v>17</v>
      </c>
      <c r="D76">
        <v>13</v>
      </c>
      <c r="E76" s="85">
        <f>13+9</f>
        <v>22</v>
      </c>
      <c r="F76" s="84">
        <f t="shared" si="48"/>
        <v>8</v>
      </c>
      <c r="G76">
        <v>0</v>
      </c>
      <c r="H76">
        <v>22</v>
      </c>
      <c r="I76" s="84">
        <f t="shared" si="49"/>
        <v>0</v>
      </c>
      <c r="J76">
        <v>20</v>
      </c>
      <c r="K76" s="9">
        <f>20+5</f>
        <v>25</v>
      </c>
      <c r="L76" s="84">
        <f t="shared" si="50"/>
        <v>17</v>
      </c>
      <c r="M76">
        <v>0</v>
      </c>
      <c r="N76" s="85">
        <v>9</v>
      </c>
      <c r="O76" s="84">
        <f t="shared" si="51"/>
        <v>16</v>
      </c>
      <c r="P76">
        <v>29</v>
      </c>
      <c r="Q76" s="85">
        <f>29+2</f>
        <v>31</v>
      </c>
      <c r="R76" s="86">
        <f t="shared" si="52"/>
        <v>7</v>
      </c>
      <c r="S76" s="87">
        <f t="shared" si="53"/>
        <v>62</v>
      </c>
      <c r="T76">
        <f t="shared" si="54"/>
        <v>31</v>
      </c>
      <c r="U76" s="29">
        <f t="shared" si="55"/>
        <v>48</v>
      </c>
      <c r="V76">
        <f t="shared" si="56"/>
        <v>5</v>
      </c>
    </row>
    <row r="77" spans="1:26" x14ac:dyDescent="0.25">
      <c r="A77" s="42" t="s">
        <v>154</v>
      </c>
      <c r="B77" s="117" t="s">
        <v>155</v>
      </c>
      <c r="C77" s="11">
        <f t="shared" si="47"/>
        <v>0</v>
      </c>
      <c r="D77">
        <v>0</v>
      </c>
      <c r="E77" s="85">
        <v>0</v>
      </c>
      <c r="F77" s="84">
        <f t="shared" si="48"/>
        <v>0</v>
      </c>
      <c r="G77">
        <v>0</v>
      </c>
      <c r="H77">
        <v>0</v>
      </c>
      <c r="I77" s="84">
        <f t="shared" si="49"/>
        <v>0</v>
      </c>
      <c r="J77">
        <v>45</v>
      </c>
      <c r="K77" s="9">
        <f>0+45</f>
        <v>45</v>
      </c>
      <c r="L77" s="84">
        <f t="shared" si="50"/>
        <v>0</v>
      </c>
      <c r="M77">
        <v>0</v>
      </c>
      <c r="N77" s="85">
        <v>31</v>
      </c>
      <c r="O77" s="84">
        <f t="shared" si="51"/>
        <v>14</v>
      </c>
      <c r="P77">
        <v>0</v>
      </c>
      <c r="Q77" s="85">
        <v>19</v>
      </c>
      <c r="R77" s="86">
        <f t="shared" si="52"/>
        <v>12</v>
      </c>
      <c r="S77" s="87">
        <f t="shared" si="53"/>
        <v>45</v>
      </c>
      <c r="T77">
        <f t="shared" si="54"/>
        <v>19</v>
      </c>
      <c r="U77" s="29">
        <f t="shared" si="55"/>
        <v>26</v>
      </c>
      <c r="V77">
        <f t="shared" si="56"/>
        <v>3</v>
      </c>
      <c r="W77" s="23"/>
    </row>
    <row r="78" spans="1:26" x14ac:dyDescent="0.25">
      <c r="A78" s="42" t="s">
        <v>154</v>
      </c>
      <c r="B78" s="117" t="s">
        <v>156</v>
      </c>
      <c r="C78" s="11">
        <f t="shared" si="47"/>
        <v>25</v>
      </c>
      <c r="D78">
        <v>30</v>
      </c>
      <c r="E78" s="85">
        <f>30+14</f>
        <v>44</v>
      </c>
      <c r="F78" s="84">
        <f t="shared" si="48"/>
        <v>11</v>
      </c>
      <c r="G78">
        <v>0</v>
      </c>
      <c r="H78">
        <v>44</v>
      </c>
      <c r="I78" s="84">
        <f t="shared" si="49"/>
        <v>0</v>
      </c>
      <c r="J78">
        <v>0</v>
      </c>
      <c r="K78" s="9">
        <v>31</v>
      </c>
      <c r="L78" s="84">
        <f t="shared" si="50"/>
        <v>13</v>
      </c>
      <c r="M78">
        <v>0</v>
      </c>
      <c r="N78" s="85">
        <v>23</v>
      </c>
      <c r="O78" s="84">
        <f t="shared" si="51"/>
        <v>8</v>
      </c>
      <c r="P78">
        <v>0</v>
      </c>
      <c r="Q78" s="85">
        <v>18</v>
      </c>
      <c r="R78" s="86">
        <f t="shared" si="52"/>
        <v>5</v>
      </c>
      <c r="S78" s="87">
        <f t="shared" si="53"/>
        <v>30</v>
      </c>
      <c r="T78">
        <f t="shared" si="54"/>
        <v>18</v>
      </c>
      <c r="U78" s="29">
        <f t="shared" si="55"/>
        <v>37</v>
      </c>
      <c r="V78">
        <f t="shared" si="56"/>
        <v>5</v>
      </c>
      <c r="W78" s="23"/>
      <c r="Z78" s="115"/>
    </row>
    <row r="79" spans="1:26" x14ac:dyDescent="0.25">
      <c r="A79" s="42"/>
      <c r="B79" s="117"/>
      <c r="C79" s="11"/>
      <c r="E79" s="85"/>
      <c r="F79" s="84"/>
      <c r="I79" s="84"/>
      <c r="K79" s="9"/>
      <c r="L79" s="84"/>
      <c r="N79" s="85"/>
      <c r="O79" s="84"/>
      <c r="Q79" s="85"/>
      <c r="R79" s="86"/>
      <c r="S79" s="87"/>
      <c r="U79" s="29"/>
      <c r="W79" s="23"/>
      <c r="Z79" s="115"/>
    </row>
    <row r="80" spans="1:26" x14ac:dyDescent="0.25">
      <c r="A80" s="42" t="s">
        <v>157</v>
      </c>
      <c r="B80" s="117" t="s">
        <v>158</v>
      </c>
      <c r="C80" s="11">
        <f t="shared" ref="C80:C93" si="57">T49</f>
        <v>33</v>
      </c>
      <c r="D80">
        <v>24</v>
      </c>
      <c r="E80" s="85">
        <f>24+24</f>
        <v>48</v>
      </c>
      <c r="F80" s="84">
        <f t="shared" ref="F80:F93" si="58">C80+D80-E80</f>
        <v>9</v>
      </c>
      <c r="G80">
        <v>0</v>
      </c>
      <c r="H80">
        <v>48</v>
      </c>
      <c r="I80" s="84">
        <f t="shared" ref="I80:I93" si="59">E80+G80-H80</f>
        <v>0</v>
      </c>
      <c r="J80">
        <v>0</v>
      </c>
      <c r="K80" s="9">
        <v>22</v>
      </c>
      <c r="L80" s="84">
        <f t="shared" ref="L80:L93" si="60">H80+J80-K80</f>
        <v>26</v>
      </c>
      <c r="M80">
        <v>0</v>
      </c>
      <c r="N80" s="85">
        <v>0</v>
      </c>
      <c r="O80" s="84">
        <f t="shared" ref="O80:O93" si="61">K80+M80-N80</f>
        <v>22</v>
      </c>
      <c r="P80">
        <v>0</v>
      </c>
      <c r="Q80" s="85">
        <v>0</v>
      </c>
      <c r="R80" s="86">
        <f t="shared" ref="R80:R93" si="62">N80+P80-Q80</f>
        <v>0</v>
      </c>
      <c r="S80" s="87">
        <f t="shared" ref="S80:S93" si="63">SUMIF($D$66:$R$66,"Stock In",D80:R80)</f>
        <v>24</v>
      </c>
      <c r="T80">
        <f t="shared" ref="T80:T93" si="64">Q80</f>
        <v>0</v>
      </c>
      <c r="U80" s="29">
        <f t="shared" ref="U80:U93" si="65">SUMIF($D$3:$R$3,"Consumption",D80:R80)</f>
        <v>57</v>
      </c>
      <c r="V80">
        <f t="shared" ref="V80:V93" si="66">COUNTIF(E80,"&gt;0")+COUNTIF(H80,"&gt;0")+COUNTIF(K80,"&gt;0")+COUNTIF(N80,"&gt;0")+COUNTIF(Q80,"&gt;0")</f>
        <v>3</v>
      </c>
      <c r="W80" s="23"/>
    </row>
    <row r="81" spans="1:26" x14ac:dyDescent="0.25">
      <c r="A81" s="42" t="s">
        <v>157</v>
      </c>
      <c r="B81" s="117" t="s">
        <v>159</v>
      </c>
      <c r="C81" s="11">
        <f t="shared" si="57"/>
        <v>32</v>
      </c>
      <c r="D81">
        <v>0</v>
      </c>
      <c r="E81" s="85">
        <v>31</v>
      </c>
      <c r="F81" s="84">
        <f t="shared" si="58"/>
        <v>1</v>
      </c>
      <c r="G81">
        <v>0</v>
      </c>
      <c r="H81">
        <v>31</v>
      </c>
      <c r="I81" s="84">
        <f t="shared" si="59"/>
        <v>0</v>
      </c>
      <c r="J81">
        <v>0</v>
      </c>
      <c r="K81" s="9">
        <v>31</v>
      </c>
      <c r="L81" s="84">
        <f t="shared" si="60"/>
        <v>0</v>
      </c>
      <c r="M81">
        <v>24</v>
      </c>
      <c r="N81" s="85">
        <f>29+24</f>
        <v>53</v>
      </c>
      <c r="O81" s="84">
        <f t="shared" si="61"/>
        <v>2</v>
      </c>
      <c r="P81">
        <v>0</v>
      </c>
      <c r="Q81" s="85">
        <v>50</v>
      </c>
      <c r="R81" s="86">
        <f t="shared" si="62"/>
        <v>3</v>
      </c>
      <c r="S81" s="87">
        <f t="shared" si="63"/>
        <v>24</v>
      </c>
      <c r="T81">
        <f t="shared" si="64"/>
        <v>50</v>
      </c>
      <c r="U81" s="29">
        <f t="shared" si="65"/>
        <v>6</v>
      </c>
      <c r="V81">
        <f t="shared" si="66"/>
        <v>5</v>
      </c>
      <c r="W81" s="23"/>
    </row>
    <row r="82" spans="1:26" x14ac:dyDescent="0.25">
      <c r="A82" s="42" t="s">
        <v>157</v>
      </c>
      <c r="B82" s="117" t="s">
        <v>160</v>
      </c>
      <c r="C82" s="11">
        <f t="shared" si="57"/>
        <v>27</v>
      </c>
      <c r="D82">
        <v>0</v>
      </c>
      <c r="E82" s="85">
        <v>25</v>
      </c>
      <c r="F82" s="84">
        <f t="shared" si="58"/>
        <v>2</v>
      </c>
      <c r="G82">
        <v>0</v>
      </c>
      <c r="H82">
        <v>25</v>
      </c>
      <c r="I82" s="84">
        <f t="shared" si="59"/>
        <v>0</v>
      </c>
      <c r="J82">
        <v>0</v>
      </c>
      <c r="K82" s="9">
        <v>19</v>
      </c>
      <c r="L82" s="84">
        <f t="shared" si="60"/>
        <v>6</v>
      </c>
      <c r="M82">
        <v>24</v>
      </c>
      <c r="N82" s="85">
        <f>16+24</f>
        <v>40</v>
      </c>
      <c r="O82" s="84">
        <f t="shared" si="61"/>
        <v>3</v>
      </c>
      <c r="P82">
        <v>0</v>
      </c>
      <c r="Q82" s="85">
        <v>39</v>
      </c>
      <c r="R82" s="86">
        <f t="shared" si="62"/>
        <v>1</v>
      </c>
      <c r="S82" s="87">
        <f t="shared" si="63"/>
        <v>24</v>
      </c>
      <c r="T82">
        <f t="shared" si="64"/>
        <v>39</v>
      </c>
      <c r="U82" s="29">
        <f t="shared" si="65"/>
        <v>12</v>
      </c>
      <c r="V82">
        <f t="shared" si="66"/>
        <v>5</v>
      </c>
      <c r="W82" s="23"/>
      <c r="Z82" s="115"/>
    </row>
    <row r="83" spans="1:26" x14ac:dyDescent="0.25">
      <c r="A83" s="42" t="s">
        <v>161</v>
      </c>
      <c r="B83" s="117" t="s">
        <v>162</v>
      </c>
      <c r="C83" s="11">
        <f t="shared" si="57"/>
        <v>65</v>
      </c>
      <c r="D83">
        <v>84</v>
      </c>
      <c r="E83" s="85">
        <f>84+40</f>
        <v>124</v>
      </c>
      <c r="F83" s="84">
        <f t="shared" si="58"/>
        <v>25</v>
      </c>
      <c r="G83">
        <v>0</v>
      </c>
      <c r="H83">
        <v>124</v>
      </c>
      <c r="I83" s="84">
        <f t="shared" si="59"/>
        <v>0</v>
      </c>
      <c r="J83">
        <v>0</v>
      </c>
      <c r="K83" s="9">
        <v>89</v>
      </c>
      <c r="L83" s="84">
        <f t="shared" si="60"/>
        <v>35</v>
      </c>
      <c r="M83">
        <v>0</v>
      </c>
      <c r="N83" s="85">
        <v>68</v>
      </c>
      <c r="O83" s="84">
        <f t="shared" si="61"/>
        <v>21</v>
      </c>
      <c r="P83">
        <v>0</v>
      </c>
      <c r="Q83" s="85">
        <v>39</v>
      </c>
      <c r="R83" s="86">
        <f t="shared" si="62"/>
        <v>29</v>
      </c>
      <c r="S83" s="87">
        <f t="shared" si="63"/>
        <v>84</v>
      </c>
      <c r="T83">
        <f t="shared" si="64"/>
        <v>39</v>
      </c>
      <c r="U83" s="29">
        <f t="shared" si="65"/>
        <v>110</v>
      </c>
      <c r="V83">
        <f t="shared" si="66"/>
        <v>5</v>
      </c>
      <c r="W83" s="23"/>
      <c r="Z83" s="115"/>
    </row>
    <row r="84" spans="1:26" x14ac:dyDescent="0.25">
      <c r="A84" s="42" t="s">
        <v>163</v>
      </c>
      <c r="B84" s="117" t="s">
        <v>164</v>
      </c>
      <c r="C84" s="11">
        <f t="shared" si="57"/>
        <v>41</v>
      </c>
      <c r="D84">
        <v>24</v>
      </c>
      <c r="E84" s="85">
        <f>24+32</f>
        <v>56</v>
      </c>
      <c r="F84" s="84">
        <f t="shared" si="58"/>
        <v>9</v>
      </c>
      <c r="G84">
        <v>0</v>
      </c>
      <c r="H84">
        <v>56</v>
      </c>
      <c r="I84" s="84">
        <f t="shared" si="59"/>
        <v>0</v>
      </c>
      <c r="J84">
        <v>0</v>
      </c>
      <c r="K84" s="9">
        <v>41</v>
      </c>
      <c r="L84" s="84">
        <f t="shared" si="60"/>
        <v>15</v>
      </c>
      <c r="M84">
        <v>0</v>
      </c>
      <c r="N84" s="85">
        <v>33</v>
      </c>
      <c r="O84" s="84">
        <f t="shared" si="61"/>
        <v>8</v>
      </c>
      <c r="P84">
        <v>24</v>
      </c>
      <c r="Q84" s="85">
        <f>24+25</f>
        <v>49</v>
      </c>
      <c r="R84" s="86">
        <f t="shared" si="62"/>
        <v>8</v>
      </c>
      <c r="S84" s="87">
        <f t="shared" si="63"/>
        <v>48</v>
      </c>
      <c r="T84">
        <f t="shared" si="64"/>
        <v>49</v>
      </c>
      <c r="U84" s="29">
        <f t="shared" si="65"/>
        <v>40</v>
      </c>
      <c r="V84">
        <f t="shared" si="66"/>
        <v>5</v>
      </c>
      <c r="W84" s="23"/>
      <c r="Z84" s="115"/>
    </row>
    <row r="85" spans="1:26" x14ac:dyDescent="0.25">
      <c r="A85" s="42" t="s">
        <v>163</v>
      </c>
      <c r="B85" s="117" t="s">
        <v>166</v>
      </c>
      <c r="C85" s="11">
        <f t="shared" si="57"/>
        <v>24</v>
      </c>
      <c r="D85">
        <v>0</v>
      </c>
      <c r="E85" s="85">
        <v>0</v>
      </c>
      <c r="F85" s="84">
        <f t="shared" si="58"/>
        <v>24</v>
      </c>
      <c r="G85">
        <v>0</v>
      </c>
      <c r="H85">
        <v>0</v>
      </c>
      <c r="I85" s="84">
        <f t="shared" si="59"/>
        <v>0</v>
      </c>
      <c r="J85">
        <v>0</v>
      </c>
      <c r="K85" s="9">
        <v>0</v>
      </c>
      <c r="L85" s="84">
        <f t="shared" si="60"/>
        <v>0</v>
      </c>
      <c r="M85">
        <v>0</v>
      </c>
      <c r="N85" s="85">
        <v>0</v>
      </c>
      <c r="O85" s="84">
        <f t="shared" si="61"/>
        <v>0</v>
      </c>
      <c r="P85">
        <v>36</v>
      </c>
      <c r="Q85" s="85">
        <v>36</v>
      </c>
      <c r="R85" s="86">
        <f t="shared" si="62"/>
        <v>0</v>
      </c>
      <c r="S85" s="87">
        <f t="shared" si="63"/>
        <v>36</v>
      </c>
      <c r="T85">
        <f t="shared" si="64"/>
        <v>36</v>
      </c>
      <c r="U85" s="29">
        <f t="shared" si="65"/>
        <v>24</v>
      </c>
      <c r="V85">
        <f t="shared" si="66"/>
        <v>1</v>
      </c>
      <c r="W85" s="23"/>
      <c r="Z85" s="115"/>
    </row>
    <row r="86" spans="1:26" x14ac:dyDescent="0.25">
      <c r="A86" s="42" t="s">
        <v>163</v>
      </c>
      <c r="B86" s="117" t="s">
        <v>167</v>
      </c>
      <c r="C86" s="11">
        <f t="shared" si="57"/>
        <v>16</v>
      </c>
      <c r="D86">
        <v>0</v>
      </c>
      <c r="E86" s="85">
        <v>0</v>
      </c>
      <c r="F86" s="84">
        <f t="shared" si="58"/>
        <v>16</v>
      </c>
      <c r="G86">
        <v>0</v>
      </c>
      <c r="H86">
        <v>0</v>
      </c>
      <c r="I86" s="84">
        <f t="shared" si="59"/>
        <v>0</v>
      </c>
      <c r="J86">
        <v>0</v>
      </c>
      <c r="K86" s="9">
        <v>0</v>
      </c>
      <c r="L86" s="84">
        <f t="shared" si="60"/>
        <v>0</v>
      </c>
      <c r="M86">
        <v>0</v>
      </c>
      <c r="N86" s="85">
        <v>0</v>
      </c>
      <c r="O86" s="84">
        <f t="shared" si="61"/>
        <v>0</v>
      </c>
      <c r="P86">
        <v>36</v>
      </c>
      <c r="Q86" s="85">
        <v>36</v>
      </c>
      <c r="R86" s="86">
        <f t="shared" si="62"/>
        <v>0</v>
      </c>
      <c r="S86" s="87">
        <f t="shared" si="63"/>
        <v>36</v>
      </c>
      <c r="T86">
        <f t="shared" si="64"/>
        <v>36</v>
      </c>
      <c r="U86" s="29">
        <f t="shared" si="65"/>
        <v>16</v>
      </c>
      <c r="V86">
        <f t="shared" si="66"/>
        <v>1</v>
      </c>
      <c r="W86" s="23"/>
      <c r="Z86" s="115"/>
    </row>
    <row r="87" spans="1:26" x14ac:dyDescent="0.25">
      <c r="A87" s="42" t="s">
        <v>168</v>
      </c>
      <c r="B87" s="117" t="s">
        <v>169</v>
      </c>
      <c r="C87" s="11">
        <f t="shared" si="57"/>
        <v>0</v>
      </c>
      <c r="D87">
        <v>0</v>
      </c>
      <c r="E87" s="85">
        <v>0</v>
      </c>
      <c r="F87" s="84">
        <f t="shared" si="58"/>
        <v>0</v>
      </c>
      <c r="G87">
        <v>0</v>
      </c>
      <c r="H87">
        <v>0</v>
      </c>
      <c r="I87" s="84">
        <f t="shared" si="59"/>
        <v>0</v>
      </c>
      <c r="J87">
        <v>0</v>
      </c>
      <c r="K87" s="9">
        <v>0</v>
      </c>
      <c r="L87" s="84">
        <f t="shared" si="60"/>
        <v>0</v>
      </c>
      <c r="M87">
        <v>0</v>
      </c>
      <c r="N87" s="85">
        <v>0</v>
      </c>
      <c r="O87" s="84">
        <f t="shared" si="61"/>
        <v>0</v>
      </c>
      <c r="P87">
        <v>48</v>
      </c>
      <c r="Q87" s="85">
        <v>48</v>
      </c>
      <c r="R87" s="86">
        <f t="shared" si="62"/>
        <v>0</v>
      </c>
      <c r="S87" s="87">
        <f t="shared" si="63"/>
        <v>48</v>
      </c>
      <c r="T87">
        <f t="shared" si="64"/>
        <v>48</v>
      </c>
      <c r="U87" s="29">
        <f t="shared" si="65"/>
        <v>0</v>
      </c>
      <c r="V87">
        <f t="shared" si="66"/>
        <v>1</v>
      </c>
      <c r="W87" s="23"/>
      <c r="Z87" s="115"/>
    </row>
    <row r="88" spans="1:26" x14ac:dyDescent="0.25">
      <c r="A88" s="42" t="s">
        <v>170</v>
      </c>
      <c r="B88" s="117" t="s">
        <v>171</v>
      </c>
      <c r="C88" s="11">
        <f t="shared" si="57"/>
        <v>41</v>
      </c>
      <c r="D88">
        <v>0</v>
      </c>
      <c r="E88" s="85">
        <v>36</v>
      </c>
      <c r="F88" s="84">
        <f t="shared" si="58"/>
        <v>5</v>
      </c>
      <c r="G88">
        <v>0</v>
      </c>
      <c r="H88">
        <v>36</v>
      </c>
      <c r="I88" s="84">
        <f t="shared" si="59"/>
        <v>0</v>
      </c>
      <c r="J88">
        <v>0</v>
      </c>
      <c r="K88" s="9">
        <v>24</v>
      </c>
      <c r="L88" s="84">
        <f t="shared" si="60"/>
        <v>12</v>
      </c>
      <c r="M88">
        <v>0</v>
      </c>
      <c r="N88" s="85">
        <v>20</v>
      </c>
      <c r="O88" s="84">
        <f t="shared" si="61"/>
        <v>4</v>
      </c>
      <c r="P88">
        <v>0</v>
      </c>
      <c r="Q88" s="85">
        <v>10</v>
      </c>
      <c r="R88" s="86">
        <f t="shared" si="62"/>
        <v>10</v>
      </c>
      <c r="S88" s="87">
        <f t="shared" si="63"/>
        <v>0</v>
      </c>
      <c r="T88">
        <f t="shared" si="64"/>
        <v>10</v>
      </c>
      <c r="U88" s="29">
        <f t="shared" si="65"/>
        <v>31</v>
      </c>
      <c r="V88">
        <f t="shared" si="66"/>
        <v>5</v>
      </c>
      <c r="W88" s="23"/>
      <c r="Z88" s="115"/>
    </row>
    <row r="89" spans="1:26" x14ac:dyDescent="0.25">
      <c r="A89" s="42" t="s">
        <v>172</v>
      </c>
      <c r="B89" s="117" t="s">
        <v>173</v>
      </c>
      <c r="C89" s="11">
        <f t="shared" si="57"/>
        <v>0</v>
      </c>
      <c r="D89">
        <v>0</v>
      </c>
      <c r="E89" s="85">
        <v>0</v>
      </c>
      <c r="F89" s="84">
        <f t="shared" si="58"/>
        <v>0</v>
      </c>
      <c r="G89">
        <v>0</v>
      </c>
      <c r="H89">
        <v>0</v>
      </c>
      <c r="I89" s="84">
        <f t="shared" si="59"/>
        <v>0</v>
      </c>
      <c r="J89">
        <v>0</v>
      </c>
      <c r="K89" s="9">
        <v>0</v>
      </c>
      <c r="L89" s="84">
        <f t="shared" si="60"/>
        <v>0</v>
      </c>
      <c r="M89">
        <v>0</v>
      </c>
      <c r="N89" s="85">
        <v>0</v>
      </c>
      <c r="O89" s="84">
        <f t="shared" si="61"/>
        <v>0</v>
      </c>
      <c r="P89">
        <v>0</v>
      </c>
      <c r="Q89" s="85">
        <v>0</v>
      </c>
      <c r="R89" s="86">
        <f t="shared" si="62"/>
        <v>0</v>
      </c>
      <c r="S89" s="87">
        <f t="shared" si="63"/>
        <v>0</v>
      </c>
      <c r="T89">
        <f t="shared" si="64"/>
        <v>0</v>
      </c>
      <c r="U89" s="29">
        <f t="shared" si="65"/>
        <v>0</v>
      </c>
      <c r="V89">
        <f t="shared" si="66"/>
        <v>0</v>
      </c>
      <c r="W89" s="23"/>
    </row>
    <row r="90" spans="1:26" x14ac:dyDescent="0.25">
      <c r="A90" s="42" t="s">
        <v>174</v>
      </c>
      <c r="B90" s="117" t="s">
        <v>175</v>
      </c>
      <c r="C90" s="11">
        <f t="shared" si="57"/>
        <v>44</v>
      </c>
      <c r="D90">
        <v>0</v>
      </c>
      <c r="E90" s="85">
        <v>42</v>
      </c>
      <c r="F90" s="84">
        <f t="shared" si="58"/>
        <v>2</v>
      </c>
      <c r="G90">
        <v>0</v>
      </c>
      <c r="H90">
        <v>42</v>
      </c>
      <c r="I90" s="84">
        <f t="shared" si="59"/>
        <v>0</v>
      </c>
      <c r="J90">
        <v>0</v>
      </c>
      <c r="K90" s="9">
        <v>29</v>
      </c>
      <c r="L90" s="84">
        <f t="shared" si="60"/>
        <v>13</v>
      </c>
      <c r="M90">
        <v>24</v>
      </c>
      <c r="N90" s="85">
        <f>11+24</f>
        <v>35</v>
      </c>
      <c r="O90" s="84">
        <f t="shared" si="61"/>
        <v>18</v>
      </c>
      <c r="P90">
        <v>0</v>
      </c>
      <c r="Q90" s="85">
        <v>27</v>
      </c>
      <c r="R90" s="86">
        <f t="shared" si="62"/>
        <v>8</v>
      </c>
      <c r="S90" s="87">
        <f t="shared" si="63"/>
        <v>24</v>
      </c>
      <c r="T90">
        <f t="shared" si="64"/>
        <v>27</v>
      </c>
      <c r="U90" s="29">
        <f t="shared" si="65"/>
        <v>41</v>
      </c>
      <c r="V90">
        <f t="shared" si="66"/>
        <v>5</v>
      </c>
      <c r="W90" s="23"/>
    </row>
    <row r="91" spans="1:26" x14ac:dyDescent="0.25">
      <c r="A91" s="42" t="s">
        <v>176</v>
      </c>
      <c r="B91" s="117" t="s">
        <v>177</v>
      </c>
      <c r="C91" s="11">
        <f t="shared" si="57"/>
        <v>49</v>
      </c>
      <c r="D91">
        <v>24</v>
      </c>
      <c r="E91" s="85">
        <f>24+27</f>
        <v>51</v>
      </c>
      <c r="F91" s="84">
        <f t="shared" si="58"/>
        <v>22</v>
      </c>
      <c r="G91">
        <v>0</v>
      </c>
      <c r="H91">
        <v>51</v>
      </c>
      <c r="I91" s="84">
        <f t="shared" si="59"/>
        <v>0</v>
      </c>
      <c r="J91">
        <v>24</v>
      </c>
      <c r="K91" s="9">
        <f>12+24</f>
        <v>36</v>
      </c>
      <c r="L91" s="84">
        <f t="shared" si="60"/>
        <v>39</v>
      </c>
      <c r="M91">
        <v>24</v>
      </c>
      <c r="N91" s="85">
        <f>2+24</f>
        <v>26</v>
      </c>
      <c r="O91" s="84">
        <f t="shared" si="61"/>
        <v>34</v>
      </c>
      <c r="P91">
        <v>0</v>
      </c>
      <c r="Q91" s="85">
        <v>6</v>
      </c>
      <c r="R91" s="86">
        <f t="shared" si="62"/>
        <v>20</v>
      </c>
      <c r="S91" s="87">
        <f t="shared" si="63"/>
        <v>72</v>
      </c>
      <c r="T91">
        <f t="shared" si="64"/>
        <v>6</v>
      </c>
      <c r="U91" s="29">
        <f t="shared" si="65"/>
        <v>115</v>
      </c>
      <c r="V91">
        <f t="shared" si="66"/>
        <v>5</v>
      </c>
      <c r="W91" s="23"/>
    </row>
    <row r="92" spans="1:26" x14ac:dyDescent="0.25">
      <c r="A92" s="42" t="s">
        <v>178</v>
      </c>
      <c r="B92" s="117" t="s">
        <v>179</v>
      </c>
      <c r="C92" s="11">
        <f t="shared" si="57"/>
        <v>53</v>
      </c>
      <c r="D92">
        <v>0</v>
      </c>
      <c r="E92" s="85">
        <v>44</v>
      </c>
      <c r="F92" s="84">
        <f t="shared" si="58"/>
        <v>9</v>
      </c>
      <c r="G92">
        <v>0</v>
      </c>
      <c r="H92">
        <v>44</v>
      </c>
      <c r="I92" s="84">
        <f t="shared" si="59"/>
        <v>0</v>
      </c>
      <c r="J92">
        <v>24</v>
      </c>
      <c r="K92" s="9">
        <f>24+32</f>
        <v>56</v>
      </c>
      <c r="L92" s="84">
        <f t="shared" si="60"/>
        <v>12</v>
      </c>
      <c r="M92">
        <v>0</v>
      </c>
      <c r="N92" s="85">
        <v>46</v>
      </c>
      <c r="O92" s="84">
        <f t="shared" si="61"/>
        <v>10</v>
      </c>
      <c r="P92">
        <v>0</v>
      </c>
      <c r="Q92" s="85">
        <v>33</v>
      </c>
      <c r="R92" s="86">
        <f t="shared" si="62"/>
        <v>13</v>
      </c>
      <c r="S92" s="87">
        <f t="shared" si="63"/>
        <v>24</v>
      </c>
      <c r="T92">
        <f t="shared" si="64"/>
        <v>33</v>
      </c>
      <c r="U92" s="29">
        <f t="shared" si="65"/>
        <v>44</v>
      </c>
      <c r="V92">
        <f t="shared" si="66"/>
        <v>5</v>
      </c>
      <c r="W92" s="23"/>
    </row>
    <row r="93" spans="1:26" x14ac:dyDescent="0.25">
      <c r="A93" s="42" t="s">
        <v>178</v>
      </c>
      <c r="B93" s="117" t="s">
        <v>180</v>
      </c>
      <c r="C93" s="11">
        <f t="shared" si="57"/>
        <v>60</v>
      </c>
      <c r="D93">
        <v>0</v>
      </c>
      <c r="E93" s="85">
        <v>37</v>
      </c>
      <c r="F93" s="84">
        <f t="shared" si="58"/>
        <v>23</v>
      </c>
      <c r="G93">
        <v>0</v>
      </c>
      <c r="H93">
        <v>37</v>
      </c>
      <c r="I93" s="84">
        <f t="shared" si="59"/>
        <v>0</v>
      </c>
      <c r="J93">
        <v>33</v>
      </c>
      <c r="K93" s="9">
        <f>33+10</f>
        <v>43</v>
      </c>
      <c r="L93" s="84">
        <f t="shared" si="60"/>
        <v>27</v>
      </c>
      <c r="M93">
        <v>36</v>
      </c>
      <c r="N93" s="85">
        <f>27+36</f>
        <v>63</v>
      </c>
      <c r="O93" s="84">
        <f t="shared" si="61"/>
        <v>16</v>
      </c>
      <c r="P93">
        <v>0</v>
      </c>
      <c r="Q93" s="85">
        <v>48</v>
      </c>
      <c r="R93" s="86">
        <f t="shared" si="62"/>
        <v>15</v>
      </c>
      <c r="S93" s="87">
        <f t="shared" si="63"/>
        <v>69</v>
      </c>
      <c r="T93">
        <f t="shared" si="64"/>
        <v>48</v>
      </c>
      <c r="U93" s="29">
        <f t="shared" si="65"/>
        <v>81</v>
      </c>
      <c r="V93">
        <f t="shared" si="66"/>
        <v>5</v>
      </c>
      <c r="W93" s="23"/>
    </row>
    <row r="94" spans="1:26" x14ac:dyDescent="0.25">
      <c r="A94" s="46"/>
      <c r="B94" s="51"/>
      <c r="C94" s="14"/>
      <c r="D94" s="77"/>
      <c r="E94" s="77"/>
      <c r="F94" s="79"/>
      <c r="G94" s="77"/>
      <c r="H94" s="77"/>
      <c r="I94" s="79"/>
      <c r="J94" s="77"/>
      <c r="K94" s="77"/>
      <c r="L94" s="79"/>
      <c r="M94" s="77"/>
      <c r="N94" s="77"/>
      <c r="O94" s="79"/>
      <c r="P94" s="77"/>
      <c r="Q94" s="77"/>
      <c r="R94" s="77"/>
      <c r="S94" s="15"/>
      <c r="T94" s="77"/>
      <c r="U94" s="79"/>
      <c r="W94" s="23"/>
    </row>
    <row r="95" spans="1:26" x14ac:dyDescent="0.25">
      <c r="A95" s="16"/>
      <c r="B95" s="117"/>
      <c r="W95" s="23"/>
    </row>
    <row r="96" spans="1:26" x14ac:dyDescent="0.25">
      <c r="A96" s="16"/>
      <c r="B96" s="117"/>
      <c r="W96" s="23"/>
    </row>
    <row r="97" spans="1:26" x14ac:dyDescent="0.25">
      <c r="A97" s="16"/>
      <c r="B97" s="117"/>
      <c r="W97" s="23"/>
    </row>
    <row r="98" spans="1:26" ht="21" customHeight="1" x14ac:dyDescent="0.35">
      <c r="A98" s="43" t="s">
        <v>185</v>
      </c>
      <c r="B98" s="64"/>
      <c r="C98" s="92">
        <v>46286</v>
      </c>
      <c r="D98" s="393">
        <v>46287</v>
      </c>
      <c r="E98" s="388"/>
      <c r="F98" s="389"/>
      <c r="G98" s="390">
        <v>46288</v>
      </c>
      <c r="H98" s="391"/>
      <c r="I98" s="392"/>
      <c r="J98" s="393">
        <v>46289</v>
      </c>
      <c r="K98" s="388"/>
      <c r="L98" s="389"/>
      <c r="M98" s="393">
        <v>46290</v>
      </c>
      <c r="N98" s="388"/>
      <c r="O98" s="389"/>
      <c r="P98" s="387">
        <v>46293</v>
      </c>
      <c r="Q98" s="388"/>
      <c r="R98" s="389"/>
      <c r="S98" s="88" t="s">
        <v>125</v>
      </c>
      <c r="T98" s="89"/>
      <c r="U98" s="90"/>
      <c r="W98" s="23"/>
    </row>
    <row r="99" spans="1:26" ht="15" customHeight="1" x14ac:dyDescent="0.25">
      <c r="A99" s="47" t="s">
        <v>126</v>
      </c>
      <c r="B99" s="20" t="s">
        <v>127</v>
      </c>
      <c r="C99" s="94" t="s">
        <v>128</v>
      </c>
      <c r="D99" s="52" t="s">
        <v>182</v>
      </c>
      <c r="E99" s="53" t="s">
        <v>130</v>
      </c>
      <c r="F99" s="109" t="s">
        <v>131</v>
      </c>
      <c r="G99" s="110" t="s">
        <v>182</v>
      </c>
      <c r="H99" s="26" t="s">
        <v>130</v>
      </c>
      <c r="I99" s="27" t="s">
        <v>131</v>
      </c>
      <c r="J99" s="52" t="s">
        <v>182</v>
      </c>
      <c r="K99" s="53" t="s">
        <v>130</v>
      </c>
      <c r="L99" s="54" t="s">
        <v>131</v>
      </c>
      <c r="M99" s="52" t="s">
        <v>182</v>
      </c>
      <c r="N99" s="53" t="s">
        <v>130</v>
      </c>
      <c r="O99" s="54" t="s">
        <v>131</v>
      </c>
      <c r="P99" s="52" t="s">
        <v>182</v>
      </c>
      <c r="Q99" s="53" t="s">
        <v>130</v>
      </c>
      <c r="R99" s="54" t="s">
        <v>131</v>
      </c>
      <c r="S99" s="52" t="s">
        <v>182</v>
      </c>
      <c r="T99" s="53" t="s">
        <v>130</v>
      </c>
      <c r="U99" s="54" t="s">
        <v>131</v>
      </c>
      <c r="W99" s="23"/>
    </row>
    <row r="100" spans="1:26" x14ac:dyDescent="0.25">
      <c r="A100" s="48"/>
      <c r="B100" s="50"/>
      <c r="C100" s="44"/>
      <c r="D100" s="18"/>
      <c r="E100" s="18"/>
      <c r="F100" s="18"/>
      <c r="G100" s="17"/>
      <c r="H100" s="18"/>
      <c r="I100" s="28"/>
      <c r="J100" s="18"/>
      <c r="K100" s="18"/>
      <c r="L100" s="28"/>
      <c r="M100" s="18"/>
      <c r="N100" s="18"/>
      <c r="O100" s="18"/>
      <c r="P100" s="17"/>
      <c r="Q100" s="18"/>
      <c r="R100" s="18"/>
      <c r="S100" s="17"/>
      <c r="T100" s="18"/>
      <c r="U100" s="28"/>
      <c r="W100" s="23"/>
    </row>
    <row r="101" spans="1:26" x14ac:dyDescent="0.25">
      <c r="A101" s="42" t="s">
        <v>141</v>
      </c>
      <c r="B101" s="117" t="s">
        <v>142</v>
      </c>
      <c r="C101" s="40">
        <f t="shared" ref="C101:C111" si="67">T68</f>
        <v>41</v>
      </c>
      <c r="D101" s="9">
        <v>0</v>
      </c>
      <c r="E101" s="9">
        <f>D101+30</f>
        <v>30</v>
      </c>
      <c r="F101" s="86">
        <f t="shared" ref="F101:F111" si="68">C101+D101-E101</f>
        <v>11</v>
      </c>
      <c r="G101" s="108">
        <v>24</v>
      </c>
      <c r="H101" s="9">
        <f>G101+22</f>
        <v>46</v>
      </c>
      <c r="I101" s="84">
        <f t="shared" ref="I101:I111" si="69">E101+G101-H101</f>
        <v>8</v>
      </c>
      <c r="J101" s="9">
        <v>0</v>
      </c>
      <c r="K101" s="9">
        <v>41</v>
      </c>
      <c r="L101" s="84">
        <f t="shared" ref="L101:L111" si="70">H101+J101-K101</f>
        <v>5</v>
      </c>
      <c r="M101" s="41">
        <v>0</v>
      </c>
      <c r="N101" s="9">
        <f>M101 + 31</f>
        <v>31</v>
      </c>
      <c r="O101" s="86">
        <f t="shared" ref="O101:O111" si="71">K101+M101-N101</f>
        <v>10</v>
      </c>
      <c r="P101" s="41">
        <v>24</v>
      </c>
      <c r="Q101" s="9">
        <v>45</v>
      </c>
      <c r="R101" s="86">
        <f t="shared" ref="R101:R111" si="72">N101+P101-Q101</f>
        <v>10</v>
      </c>
      <c r="S101" s="41">
        <f t="shared" ref="S101:S111" ca="1" si="73">SUMIF($D$3:$U$3,"Stock In",D101:R101)</f>
        <v>48</v>
      </c>
      <c r="T101" s="9">
        <f t="shared" ref="T101:T111" si="74">Q101</f>
        <v>45</v>
      </c>
      <c r="U101" s="84">
        <f t="shared" ref="U101:U111" si="75">SUMIF($D$3:$R$3,"Consumption",D101:R101)</f>
        <v>44</v>
      </c>
      <c r="V101">
        <f t="shared" ref="V101:V111" si="76">COUNTIF(E101,"&gt;0")+COUNTIF(H101,"&gt;0")+COUNTIF(K101,"&gt;0")+COUNTIF(N101,"&gt;0")+COUNTIF(Q101,"&gt;0")</f>
        <v>5</v>
      </c>
      <c r="W101" s="23"/>
    </row>
    <row r="102" spans="1:26" x14ac:dyDescent="0.25">
      <c r="A102" s="42" t="s">
        <v>141</v>
      </c>
      <c r="B102" s="117" t="s">
        <v>143</v>
      </c>
      <c r="C102" s="40">
        <f t="shared" si="67"/>
        <v>10</v>
      </c>
      <c r="D102" s="9">
        <v>0</v>
      </c>
      <c r="E102" s="9">
        <f>D102+9</f>
        <v>9</v>
      </c>
      <c r="F102" s="86">
        <f t="shared" si="68"/>
        <v>1</v>
      </c>
      <c r="G102" s="108">
        <v>0</v>
      </c>
      <c r="H102" s="9">
        <f>G102+8</f>
        <v>8</v>
      </c>
      <c r="I102" s="84">
        <f t="shared" si="69"/>
        <v>1</v>
      </c>
      <c r="J102" s="9">
        <v>0</v>
      </c>
      <c r="K102" s="9">
        <v>6</v>
      </c>
      <c r="L102" s="84">
        <f t="shared" si="70"/>
        <v>2</v>
      </c>
      <c r="M102" s="41">
        <v>0</v>
      </c>
      <c r="N102" s="9">
        <f>M102 +5</f>
        <v>5</v>
      </c>
      <c r="O102" s="86">
        <f t="shared" si="71"/>
        <v>1</v>
      </c>
      <c r="P102" s="108">
        <v>0</v>
      </c>
      <c r="Q102" s="9">
        <v>0</v>
      </c>
      <c r="R102" s="86">
        <f t="shared" si="72"/>
        <v>5</v>
      </c>
      <c r="S102" s="41">
        <f t="shared" ca="1" si="73"/>
        <v>0</v>
      </c>
      <c r="T102" s="9">
        <f t="shared" si="74"/>
        <v>0</v>
      </c>
      <c r="U102" s="84">
        <f t="shared" si="75"/>
        <v>10</v>
      </c>
      <c r="V102">
        <f t="shared" si="76"/>
        <v>4</v>
      </c>
      <c r="W102" s="23"/>
      <c r="Z102">
        <f>F101+I101</f>
        <v>19</v>
      </c>
    </row>
    <row r="103" spans="1:26" x14ac:dyDescent="0.25">
      <c r="A103" s="42" t="s">
        <v>141</v>
      </c>
      <c r="B103" s="117" t="s">
        <v>144</v>
      </c>
      <c r="C103" s="40">
        <f t="shared" si="67"/>
        <v>32</v>
      </c>
      <c r="D103" s="9">
        <v>0</v>
      </c>
      <c r="E103" s="9">
        <f>D103+15</f>
        <v>15</v>
      </c>
      <c r="F103" s="86">
        <f t="shared" si="68"/>
        <v>17</v>
      </c>
      <c r="G103" s="108">
        <v>16</v>
      </c>
      <c r="H103" s="9">
        <f>G103+1</f>
        <v>17</v>
      </c>
      <c r="I103" s="84">
        <f t="shared" si="69"/>
        <v>14</v>
      </c>
      <c r="J103" s="9">
        <v>0</v>
      </c>
      <c r="K103" s="9">
        <v>5</v>
      </c>
      <c r="L103" s="84">
        <f t="shared" si="70"/>
        <v>12</v>
      </c>
      <c r="M103" s="41">
        <v>0</v>
      </c>
      <c r="N103" s="9">
        <f>M103 + 1</f>
        <v>1</v>
      </c>
      <c r="O103" s="86">
        <f t="shared" si="71"/>
        <v>4</v>
      </c>
      <c r="P103" s="108">
        <v>40</v>
      </c>
      <c r="Q103" s="9">
        <v>40</v>
      </c>
      <c r="R103" s="86">
        <f t="shared" si="72"/>
        <v>1</v>
      </c>
      <c r="S103" s="41">
        <f t="shared" ca="1" si="73"/>
        <v>56</v>
      </c>
      <c r="T103" s="9">
        <f t="shared" si="74"/>
        <v>40</v>
      </c>
      <c r="U103" s="84">
        <f t="shared" si="75"/>
        <v>48</v>
      </c>
      <c r="V103">
        <f t="shared" si="76"/>
        <v>5</v>
      </c>
      <c r="W103" s="23"/>
      <c r="Z103">
        <f>F102+I102</f>
        <v>2</v>
      </c>
    </row>
    <row r="104" spans="1:26" x14ac:dyDescent="0.25">
      <c r="A104" s="42" t="s">
        <v>141</v>
      </c>
      <c r="B104" s="117" t="s">
        <v>145</v>
      </c>
      <c r="C104" s="40">
        <f t="shared" si="67"/>
        <v>22</v>
      </c>
      <c r="D104" s="9">
        <v>0</v>
      </c>
      <c r="E104" s="9">
        <f>D104+18</f>
        <v>18</v>
      </c>
      <c r="F104" s="86">
        <f t="shared" si="68"/>
        <v>4</v>
      </c>
      <c r="G104" s="108">
        <v>0</v>
      </c>
      <c r="H104" s="9">
        <v>7</v>
      </c>
      <c r="I104" s="84">
        <f t="shared" si="69"/>
        <v>11</v>
      </c>
      <c r="J104" s="9">
        <v>0</v>
      </c>
      <c r="K104" s="9">
        <v>0</v>
      </c>
      <c r="L104" s="84">
        <f t="shared" si="70"/>
        <v>7</v>
      </c>
      <c r="M104" s="41">
        <v>0</v>
      </c>
      <c r="N104" s="9">
        <f>M104</f>
        <v>0</v>
      </c>
      <c r="O104" s="86">
        <f t="shared" si="71"/>
        <v>0</v>
      </c>
      <c r="P104" s="108">
        <v>36</v>
      </c>
      <c r="Q104" s="9">
        <v>36</v>
      </c>
      <c r="R104" s="86">
        <f t="shared" si="72"/>
        <v>0</v>
      </c>
      <c r="S104" s="41">
        <f t="shared" ca="1" si="73"/>
        <v>36</v>
      </c>
      <c r="T104" s="9">
        <f t="shared" si="74"/>
        <v>36</v>
      </c>
      <c r="U104" s="84">
        <f t="shared" si="75"/>
        <v>22</v>
      </c>
      <c r="V104">
        <f t="shared" si="76"/>
        <v>3</v>
      </c>
      <c r="W104" s="23"/>
      <c r="Z104">
        <f>F103+I103</f>
        <v>31</v>
      </c>
    </row>
    <row r="105" spans="1:26" x14ac:dyDescent="0.25">
      <c r="A105" s="42" t="s">
        <v>146</v>
      </c>
      <c r="B105" s="117" t="s">
        <v>147</v>
      </c>
      <c r="C105" s="40">
        <f t="shared" si="67"/>
        <v>0</v>
      </c>
      <c r="D105" s="9">
        <v>0</v>
      </c>
      <c r="E105" s="9">
        <f>D105</f>
        <v>0</v>
      </c>
      <c r="F105" s="86">
        <f t="shared" si="68"/>
        <v>0</v>
      </c>
      <c r="G105" s="108">
        <v>0</v>
      </c>
      <c r="H105" s="9">
        <v>0</v>
      </c>
      <c r="I105" s="84">
        <f t="shared" si="69"/>
        <v>0</v>
      </c>
      <c r="J105" s="9">
        <v>0</v>
      </c>
      <c r="K105" s="9">
        <v>0</v>
      </c>
      <c r="L105" s="84">
        <f t="shared" si="70"/>
        <v>0</v>
      </c>
      <c r="M105" s="41">
        <v>0</v>
      </c>
      <c r="N105" s="9">
        <f>M105</f>
        <v>0</v>
      </c>
      <c r="O105" s="86">
        <f t="shared" si="71"/>
        <v>0</v>
      </c>
      <c r="P105" s="108">
        <v>0</v>
      </c>
      <c r="Q105" s="9">
        <v>0</v>
      </c>
      <c r="R105" s="86">
        <f t="shared" si="72"/>
        <v>0</v>
      </c>
      <c r="S105" s="41">
        <f t="shared" ca="1" si="73"/>
        <v>0</v>
      </c>
      <c r="T105" s="9">
        <f t="shared" si="74"/>
        <v>0</v>
      </c>
      <c r="U105" s="84">
        <f t="shared" si="75"/>
        <v>0</v>
      </c>
      <c r="V105">
        <f t="shared" si="76"/>
        <v>0</v>
      </c>
      <c r="W105" s="23"/>
      <c r="Z105">
        <f>F104+I104</f>
        <v>15</v>
      </c>
    </row>
    <row r="106" spans="1:26" x14ac:dyDescent="0.25">
      <c r="A106" s="42" t="s">
        <v>146</v>
      </c>
      <c r="B106" s="117" t="s">
        <v>148</v>
      </c>
      <c r="C106" s="40">
        <f t="shared" si="67"/>
        <v>0</v>
      </c>
      <c r="D106" s="9">
        <v>0</v>
      </c>
      <c r="E106" s="9">
        <f>D106</f>
        <v>0</v>
      </c>
      <c r="F106" s="86">
        <f t="shared" si="68"/>
        <v>0</v>
      </c>
      <c r="G106" s="108">
        <v>0</v>
      </c>
      <c r="H106" s="9">
        <v>0</v>
      </c>
      <c r="I106" s="84">
        <f t="shared" si="69"/>
        <v>0</v>
      </c>
      <c r="J106" s="9">
        <v>0</v>
      </c>
      <c r="K106" s="9">
        <v>0</v>
      </c>
      <c r="L106" s="84">
        <f t="shared" si="70"/>
        <v>0</v>
      </c>
      <c r="M106" s="41">
        <v>0</v>
      </c>
      <c r="N106" s="9">
        <f>M106</f>
        <v>0</v>
      </c>
      <c r="O106" s="86">
        <f t="shared" si="71"/>
        <v>0</v>
      </c>
      <c r="P106" s="108">
        <v>0</v>
      </c>
      <c r="Q106" s="9">
        <v>0</v>
      </c>
      <c r="R106" s="86">
        <f t="shared" si="72"/>
        <v>0</v>
      </c>
      <c r="S106" s="41">
        <f t="shared" ca="1" si="73"/>
        <v>0</v>
      </c>
      <c r="T106" s="9">
        <f t="shared" si="74"/>
        <v>0</v>
      </c>
      <c r="U106" s="84">
        <f t="shared" si="75"/>
        <v>0</v>
      </c>
      <c r="V106">
        <f t="shared" si="76"/>
        <v>0</v>
      </c>
      <c r="W106" s="23"/>
    </row>
    <row r="107" spans="1:26" x14ac:dyDescent="0.25">
      <c r="A107" s="42" t="s">
        <v>149</v>
      </c>
      <c r="B107" s="117" t="s">
        <v>150</v>
      </c>
      <c r="C107" s="40">
        <f t="shared" si="67"/>
        <v>0</v>
      </c>
      <c r="D107" s="9">
        <v>200</v>
      </c>
      <c r="E107" s="9">
        <f>D107+0</f>
        <v>200</v>
      </c>
      <c r="F107" s="86">
        <f t="shared" si="68"/>
        <v>0</v>
      </c>
      <c r="G107" s="108">
        <v>0</v>
      </c>
      <c r="H107" s="9">
        <v>130</v>
      </c>
      <c r="I107" s="84">
        <f t="shared" si="69"/>
        <v>70</v>
      </c>
      <c r="J107" s="9">
        <v>0</v>
      </c>
      <c r="K107" s="9">
        <v>84</v>
      </c>
      <c r="L107" s="84">
        <f t="shared" si="70"/>
        <v>46</v>
      </c>
      <c r="M107" s="41">
        <v>0</v>
      </c>
      <c r="N107" s="9">
        <f>M107 + 44</f>
        <v>44</v>
      </c>
      <c r="O107" s="86">
        <f t="shared" si="71"/>
        <v>40</v>
      </c>
      <c r="P107" s="108">
        <v>160</v>
      </c>
      <c r="Q107" s="9">
        <v>161</v>
      </c>
      <c r="R107" s="86">
        <f t="shared" si="72"/>
        <v>43</v>
      </c>
      <c r="S107" s="41">
        <f t="shared" ca="1" si="73"/>
        <v>360</v>
      </c>
      <c r="T107" s="9">
        <f t="shared" si="74"/>
        <v>161</v>
      </c>
      <c r="U107" s="84">
        <f t="shared" si="75"/>
        <v>199</v>
      </c>
      <c r="V107">
        <f t="shared" si="76"/>
        <v>5</v>
      </c>
      <c r="W107" s="23"/>
      <c r="Z107">
        <f>F106+I106</f>
        <v>0</v>
      </c>
    </row>
    <row r="108" spans="1:26" x14ac:dyDescent="0.25">
      <c r="A108" s="42" t="s">
        <v>151</v>
      </c>
      <c r="B108" s="117" t="s">
        <v>152</v>
      </c>
      <c r="C108" s="40">
        <f t="shared" si="67"/>
        <v>27</v>
      </c>
      <c r="D108" s="9">
        <v>0</v>
      </c>
      <c r="E108" s="9">
        <f>D108+22</f>
        <v>22</v>
      </c>
      <c r="F108" s="86">
        <f t="shared" si="68"/>
        <v>5</v>
      </c>
      <c r="G108" s="108">
        <v>0</v>
      </c>
      <c r="H108" s="9">
        <v>20</v>
      </c>
      <c r="I108" s="84">
        <f t="shared" si="69"/>
        <v>2</v>
      </c>
      <c r="J108" s="9">
        <v>0</v>
      </c>
      <c r="K108" s="9">
        <v>17</v>
      </c>
      <c r="L108" s="84">
        <f t="shared" si="70"/>
        <v>3</v>
      </c>
      <c r="M108" s="41">
        <v>0</v>
      </c>
      <c r="N108" s="9">
        <f>M108 + 13</f>
        <v>13</v>
      </c>
      <c r="O108" s="86">
        <f t="shared" si="71"/>
        <v>4</v>
      </c>
      <c r="P108" s="108">
        <v>24</v>
      </c>
      <c r="Q108" s="9">
        <v>28</v>
      </c>
      <c r="R108" s="86">
        <f t="shared" si="72"/>
        <v>9</v>
      </c>
      <c r="S108" s="41">
        <f t="shared" ca="1" si="73"/>
        <v>24</v>
      </c>
      <c r="T108" s="9">
        <f t="shared" si="74"/>
        <v>28</v>
      </c>
      <c r="U108" s="84">
        <f t="shared" si="75"/>
        <v>23</v>
      </c>
      <c r="V108">
        <f t="shared" si="76"/>
        <v>5</v>
      </c>
      <c r="W108" s="23"/>
      <c r="Z108">
        <f>F107+I107</f>
        <v>70</v>
      </c>
    </row>
    <row r="109" spans="1:26" x14ac:dyDescent="0.25">
      <c r="A109" s="42" t="s">
        <v>151</v>
      </c>
      <c r="B109" s="117" t="s">
        <v>153</v>
      </c>
      <c r="C109" s="40">
        <f t="shared" si="67"/>
        <v>31</v>
      </c>
      <c r="D109" s="9">
        <v>0</v>
      </c>
      <c r="E109" s="9">
        <f>D109+15</f>
        <v>15</v>
      </c>
      <c r="F109" s="86">
        <f t="shared" si="68"/>
        <v>16</v>
      </c>
      <c r="G109" s="108">
        <v>27</v>
      </c>
      <c r="H109" s="9">
        <f>G109+5</f>
        <v>32</v>
      </c>
      <c r="I109" s="84">
        <f t="shared" si="69"/>
        <v>10</v>
      </c>
      <c r="J109" s="9">
        <v>0</v>
      </c>
      <c r="K109" s="9">
        <v>23</v>
      </c>
      <c r="L109" s="84">
        <f t="shared" si="70"/>
        <v>9</v>
      </c>
      <c r="M109" s="41">
        <v>25</v>
      </c>
      <c r="N109" s="9">
        <f>M109 + 10</f>
        <v>35</v>
      </c>
      <c r="O109" s="86">
        <f t="shared" si="71"/>
        <v>13</v>
      </c>
      <c r="P109" s="108">
        <v>24</v>
      </c>
      <c r="Q109" s="9">
        <v>37</v>
      </c>
      <c r="R109" s="86">
        <f t="shared" si="72"/>
        <v>22</v>
      </c>
      <c r="S109" s="41">
        <f t="shared" ca="1" si="73"/>
        <v>76</v>
      </c>
      <c r="T109" s="9">
        <f t="shared" si="74"/>
        <v>37</v>
      </c>
      <c r="U109" s="84">
        <f t="shared" si="75"/>
        <v>70</v>
      </c>
      <c r="V109">
        <f t="shared" si="76"/>
        <v>5</v>
      </c>
      <c r="W109" s="23"/>
      <c r="Z109">
        <f>F108+I108</f>
        <v>7</v>
      </c>
    </row>
    <row r="110" spans="1:26" x14ac:dyDescent="0.25">
      <c r="A110" s="42" t="s">
        <v>154</v>
      </c>
      <c r="B110" s="117" t="s">
        <v>155</v>
      </c>
      <c r="C110" s="40">
        <f t="shared" si="67"/>
        <v>19</v>
      </c>
      <c r="D110" s="9">
        <v>0</v>
      </c>
      <c r="E110" s="9">
        <f>D110+12</f>
        <v>12</v>
      </c>
      <c r="F110" s="86">
        <f t="shared" si="68"/>
        <v>7</v>
      </c>
      <c r="G110" s="108">
        <v>30</v>
      </c>
      <c r="H110" s="9">
        <f>G110+12</f>
        <v>42</v>
      </c>
      <c r="I110" s="84">
        <f t="shared" si="69"/>
        <v>0</v>
      </c>
      <c r="J110" s="9">
        <v>0</v>
      </c>
      <c r="K110" s="9">
        <v>8</v>
      </c>
      <c r="L110" s="84">
        <f t="shared" si="70"/>
        <v>34</v>
      </c>
      <c r="M110" s="41">
        <v>30</v>
      </c>
      <c r="N110" s="9">
        <f>M110</f>
        <v>30</v>
      </c>
      <c r="O110" s="86">
        <f t="shared" si="71"/>
        <v>8</v>
      </c>
      <c r="P110" s="108">
        <v>0</v>
      </c>
      <c r="Q110" s="9">
        <v>18</v>
      </c>
      <c r="R110" s="86">
        <f t="shared" si="72"/>
        <v>12</v>
      </c>
      <c r="S110" s="41">
        <f t="shared" ca="1" si="73"/>
        <v>60</v>
      </c>
      <c r="T110" s="9">
        <f t="shared" si="74"/>
        <v>18</v>
      </c>
      <c r="U110" s="84">
        <f t="shared" si="75"/>
        <v>61</v>
      </c>
      <c r="V110">
        <f t="shared" si="76"/>
        <v>5</v>
      </c>
      <c r="W110" s="23"/>
      <c r="Z110">
        <f>F109+I109</f>
        <v>26</v>
      </c>
    </row>
    <row r="111" spans="1:26" x14ac:dyDescent="0.25">
      <c r="A111" s="42" t="s">
        <v>154</v>
      </c>
      <c r="B111" s="117" t="s">
        <v>156</v>
      </c>
      <c r="C111" s="40">
        <f t="shared" si="67"/>
        <v>18</v>
      </c>
      <c r="D111" s="9">
        <v>0</v>
      </c>
      <c r="E111" s="9">
        <f>D111+12</f>
        <v>12</v>
      </c>
      <c r="F111" s="86">
        <f t="shared" si="68"/>
        <v>6</v>
      </c>
      <c r="G111" s="108">
        <v>30</v>
      </c>
      <c r="H111" s="9">
        <f>G111+12</f>
        <v>42</v>
      </c>
      <c r="I111" s="84">
        <f t="shared" si="69"/>
        <v>0</v>
      </c>
      <c r="J111" s="9">
        <v>0</v>
      </c>
      <c r="K111" s="9">
        <v>21</v>
      </c>
      <c r="L111" s="84">
        <f t="shared" si="70"/>
        <v>21</v>
      </c>
      <c r="M111" s="41">
        <v>30</v>
      </c>
      <c r="N111" s="9">
        <f>M111 +13</f>
        <v>43</v>
      </c>
      <c r="O111" s="86">
        <f t="shared" si="71"/>
        <v>8</v>
      </c>
      <c r="P111" s="108">
        <v>0</v>
      </c>
      <c r="Q111">
        <v>31</v>
      </c>
      <c r="R111" s="86">
        <f t="shared" si="72"/>
        <v>12</v>
      </c>
      <c r="S111" s="41">
        <f t="shared" ca="1" si="73"/>
        <v>60</v>
      </c>
      <c r="T111" s="9">
        <f t="shared" si="74"/>
        <v>31</v>
      </c>
      <c r="U111" s="84">
        <f t="shared" si="75"/>
        <v>47</v>
      </c>
      <c r="V111">
        <f t="shared" si="76"/>
        <v>5</v>
      </c>
      <c r="W111" s="23"/>
    </row>
    <row r="112" spans="1:26" x14ac:dyDescent="0.25">
      <c r="A112" s="42"/>
      <c r="B112" s="117"/>
      <c r="C112" s="40"/>
      <c r="D112" s="9"/>
      <c r="E112" s="9"/>
      <c r="F112" s="86"/>
      <c r="G112" s="108"/>
      <c r="H112" s="9"/>
      <c r="I112" s="84"/>
      <c r="J112" s="9"/>
      <c r="K112" s="9"/>
      <c r="L112" s="84"/>
      <c r="M112" s="41"/>
      <c r="N112" s="9"/>
      <c r="O112" s="86"/>
      <c r="P112" s="108"/>
      <c r="R112" s="86"/>
      <c r="S112" s="41"/>
      <c r="T112" s="9"/>
      <c r="U112" s="84"/>
      <c r="W112" s="23"/>
    </row>
    <row r="113" spans="1:26" x14ac:dyDescent="0.25">
      <c r="A113" s="42" t="s">
        <v>157</v>
      </c>
      <c r="B113" s="117" t="s">
        <v>158</v>
      </c>
      <c r="C113" s="40">
        <f>T80</f>
        <v>0</v>
      </c>
      <c r="D113" s="9">
        <v>0</v>
      </c>
      <c r="E113" s="9">
        <f>D113+0</f>
        <v>0</v>
      </c>
      <c r="F113" s="86">
        <f>C113+D113-E113</f>
        <v>0</v>
      </c>
      <c r="G113" s="108">
        <v>0</v>
      </c>
      <c r="H113" s="9">
        <v>0</v>
      </c>
      <c r="I113" s="84">
        <f t="shared" ref="I113:I127" si="77">E113+G113-H113</f>
        <v>0</v>
      </c>
      <c r="J113">
        <v>0</v>
      </c>
      <c r="K113" s="9">
        <v>0</v>
      </c>
      <c r="L113" s="84">
        <f>H113+J113-K113</f>
        <v>0</v>
      </c>
      <c r="M113" s="41">
        <v>0</v>
      </c>
      <c r="N113" s="9">
        <f>M113</f>
        <v>0</v>
      </c>
      <c r="O113" s="86">
        <f t="shared" ref="O113:O127" si="78">K113+M113-N113</f>
        <v>0</v>
      </c>
      <c r="P113" s="108">
        <v>48</v>
      </c>
      <c r="Q113">
        <v>48</v>
      </c>
      <c r="R113" s="86">
        <f t="shared" ref="R113:R127" si="79">N113+P113-Q113</f>
        <v>0</v>
      </c>
      <c r="S113" s="41">
        <f t="shared" ref="S113:S127" ca="1" si="80">SUMIF($D$3:$U$3,"Stock In",D113:R113)</f>
        <v>48</v>
      </c>
      <c r="T113" s="9">
        <f t="shared" ref="T113:T127" si="81">Q113</f>
        <v>48</v>
      </c>
      <c r="U113" s="84">
        <f t="shared" ref="U113:U127" si="82">SUMIF($D$3:$R$3,"Consumption",D113:R113)</f>
        <v>0</v>
      </c>
      <c r="V113">
        <f t="shared" ref="V113:V127" si="83">COUNTIF(E113,"&gt;0")+COUNTIF(H113,"&gt;0")+COUNTIF(K113,"&gt;0")+COUNTIF(N113,"&gt;0")+COUNTIF(Q113,"&gt;0")</f>
        <v>1</v>
      </c>
      <c r="W113" s="23"/>
    </row>
    <row r="114" spans="1:26" x14ac:dyDescent="0.25">
      <c r="A114" s="42" t="s">
        <v>157</v>
      </c>
      <c r="B114" s="117" t="s">
        <v>159</v>
      </c>
      <c r="C114" s="40">
        <f>T81</f>
        <v>50</v>
      </c>
      <c r="D114" s="9">
        <v>0</v>
      </c>
      <c r="E114" s="9">
        <f>D114+46</f>
        <v>46</v>
      </c>
      <c r="F114" s="86">
        <f>C114+D114-E114</f>
        <v>4</v>
      </c>
      <c r="G114" s="108">
        <v>0</v>
      </c>
      <c r="H114" s="9">
        <v>46</v>
      </c>
      <c r="I114" s="84">
        <f t="shared" si="77"/>
        <v>0</v>
      </c>
      <c r="J114" s="9">
        <v>0</v>
      </c>
      <c r="K114" s="9">
        <v>46</v>
      </c>
      <c r="L114" s="84">
        <f>H114+J114-K114</f>
        <v>0</v>
      </c>
      <c r="M114" s="41">
        <v>0</v>
      </c>
      <c r="N114" s="9">
        <f>M114 + 41</f>
        <v>41</v>
      </c>
      <c r="O114" s="86">
        <f t="shared" si="78"/>
        <v>5</v>
      </c>
      <c r="P114" s="108">
        <v>0</v>
      </c>
      <c r="Q114" s="9">
        <v>38</v>
      </c>
      <c r="R114" s="86">
        <f t="shared" si="79"/>
        <v>3</v>
      </c>
      <c r="S114" s="41">
        <f t="shared" ca="1" si="80"/>
        <v>0</v>
      </c>
      <c r="T114" s="9">
        <f t="shared" si="81"/>
        <v>38</v>
      </c>
      <c r="U114" s="84">
        <f t="shared" si="82"/>
        <v>12</v>
      </c>
      <c r="V114">
        <f t="shared" si="83"/>
        <v>5</v>
      </c>
      <c r="W114" s="23"/>
    </row>
    <row r="115" spans="1:26" x14ac:dyDescent="0.25">
      <c r="A115" s="42" t="s">
        <v>157</v>
      </c>
      <c r="B115" s="117" t="s">
        <v>160</v>
      </c>
      <c r="C115" s="40">
        <f>T82</f>
        <v>39</v>
      </c>
      <c r="D115" s="9">
        <v>0</v>
      </c>
      <c r="E115" s="9">
        <f>D115+34</f>
        <v>34</v>
      </c>
      <c r="F115" s="86">
        <f>C115+D115-E115</f>
        <v>5</v>
      </c>
      <c r="G115" s="108">
        <v>0</v>
      </c>
      <c r="H115" s="9">
        <v>30</v>
      </c>
      <c r="I115" s="84">
        <f t="shared" si="77"/>
        <v>4</v>
      </c>
      <c r="J115" s="9">
        <v>0</v>
      </c>
      <c r="K115" s="9">
        <v>27</v>
      </c>
      <c r="L115" s="84">
        <f>H115+J115-K115</f>
        <v>3</v>
      </c>
      <c r="M115" s="41">
        <v>0</v>
      </c>
      <c r="N115" s="9">
        <f>M115 + 23</f>
        <v>23</v>
      </c>
      <c r="O115" s="86">
        <f t="shared" si="78"/>
        <v>4</v>
      </c>
      <c r="P115" s="108">
        <v>0</v>
      </c>
      <c r="Q115" s="9">
        <v>22</v>
      </c>
      <c r="R115" s="86">
        <f t="shared" si="79"/>
        <v>1</v>
      </c>
      <c r="S115" s="41">
        <f t="shared" ca="1" si="80"/>
        <v>0</v>
      </c>
      <c r="T115" s="9">
        <f t="shared" si="81"/>
        <v>22</v>
      </c>
      <c r="U115" s="84">
        <f t="shared" si="82"/>
        <v>17</v>
      </c>
      <c r="V115">
        <f t="shared" si="83"/>
        <v>5</v>
      </c>
      <c r="W115" s="23"/>
      <c r="Z115">
        <f>F114+I114</f>
        <v>4</v>
      </c>
    </row>
    <row r="116" spans="1:26" x14ac:dyDescent="0.25">
      <c r="A116" s="42" t="s">
        <v>161</v>
      </c>
      <c r="B116" s="117" t="s">
        <v>162</v>
      </c>
      <c r="C116" s="40">
        <f>T83</f>
        <v>39</v>
      </c>
      <c r="D116" s="9">
        <v>96</v>
      </c>
      <c r="E116" s="9">
        <f>D116+12</f>
        <v>108</v>
      </c>
      <c r="F116" s="86">
        <f>C116+D116-E116</f>
        <v>27</v>
      </c>
      <c r="G116" s="108">
        <v>72</v>
      </c>
      <c r="H116" s="9">
        <f>G116+85</f>
        <v>157</v>
      </c>
      <c r="I116" s="84">
        <f t="shared" si="77"/>
        <v>23</v>
      </c>
      <c r="J116" s="9">
        <v>72</v>
      </c>
      <c r="K116" s="9">
        <f>J116+126</f>
        <v>198</v>
      </c>
      <c r="L116" s="84">
        <f>H116+J116-K116</f>
        <v>31</v>
      </c>
      <c r="M116" s="41">
        <v>0</v>
      </c>
      <c r="N116" s="9">
        <f>M116 +174</f>
        <v>174</v>
      </c>
      <c r="O116" s="86">
        <f t="shared" si="78"/>
        <v>24</v>
      </c>
      <c r="P116" s="108">
        <v>0</v>
      </c>
      <c r="Q116" s="9">
        <v>159</v>
      </c>
      <c r="R116" s="86">
        <f t="shared" si="79"/>
        <v>15</v>
      </c>
      <c r="S116" s="41">
        <f t="shared" ca="1" si="80"/>
        <v>240</v>
      </c>
      <c r="T116" s="9">
        <f t="shared" si="81"/>
        <v>159</v>
      </c>
      <c r="U116" s="84">
        <f t="shared" si="82"/>
        <v>120</v>
      </c>
      <c r="V116">
        <f t="shared" si="83"/>
        <v>5</v>
      </c>
      <c r="W116" s="23"/>
      <c r="Z116">
        <f>F115+I115</f>
        <v>9</v>
      </c>
    </row>
    <row r="117" spans="1:26" x14ac:dyDescent="0.25">
      <c r="A117" s="42" t="s">
        <v>186</v>
      </c>
      <c r="B117" s="117" t="s">
        <v>165</v>
      </c>
      <c r="C117" s="40"/>
      <c r="D117" s="9"/>
      <c r="E117" s="9"/>
      <c r="F117" s="86">
        <v>0</v>
      </c>
      <c r="G117" s="108">
        <v>0</v>
      </c>
      <c r="H117" s="9">
        <v>0</v>
      </c>
      <c r="I117" s="84">
        <f t="shared" si="77"/>
        <v>0</v>
      </c>
      <c r="J117" s="9">
        <v>0</v>
      </c>
      <c r="K117" s="9">
        <v>0</v>
      </c>
      <c r="L117" s="84"/>
      <c r="M117" s="41">
        <v>0</v>
      </c>
      <c r="N117" s="9">
        <f>M117</f>
        <v>0</v>
      </c>
      <c r="O117" s="86">
        <f t="shared" si="78"/>
        <v>0</v>
      </c>
      <c r="P117" s="108">
        <v>0</v>
      </c>
      <c r="Q117" s="9">
        <v>0</v>
      </c>
      <c r="R117" s="86">
        <f t="shared" si="79"/>
        <v>0</v>
      </c>
      <c r="S117" s="41">
        <f t="shared" ca="1" si="80"/>
        <v>0</v>
      </c>
      <c r="T117" s="9">
        <f t="shared" si="81"/>
        <v>0</v>
      </c>
      <c r="U117" s="84">
        <f t="shared" si="82"/>
        <v>0</v>
      </c>
      <c r="V117">
        <f t="shared" si="83"/>
        <v>0</v>
      </c>
      <c r="W117" s="23"/>
      <c r="Z117">
        <f>F116+I116</f>
        <v>50</v>
      </c>
    </row>
    <row r="118" spans="1:26" x14ac:dyDescent="0.25">
      <c r="A118" s="42" t="s">
        <v>163</v>
      </c>
      <c r="B118" s="117" t="s">
        <v>164</v>
      </c>
      <c r="C118" s="40">
        <f t="shared" ref="C118:C127" si="84">T84</f>
        <v>49</v>
      </c>
      <c r="D118" s="9">
        <v>0</v>
      </c>
      <c r="E118" s="9">
        <f>D118+40</f>
        <v>40</v>
      </c>
      <c r="F118" s="86">
        <f t="shared" ref="F118:F127" si="85">C118+D118-E118</f>
        <v>9</v>
      </c>
      <c r="G118" s="108">
        <v>0</v>
      </c>
      <c r="H118" s="9">
        <v>34</v>
      </c>
      <c r="I118" s="84">
        <f t="shared" si="77"/>
        <v>6</v>
      </c>
      <c r="J118" s="9">
        <v>24</v>
      </c>
      <c r="K118" s="9">
        <f>J118+30</f>
        <v>54</v>
      </c>
      <c r="L118" s="84">
        <f t="shared" ref="L118:L127" si="86">H118+J118-K118</f>
        <v>4</v>
      </c>
      <c r="M118" s="41">
        <v>0</v>
      </c>
      <c r="N118" s="9">
        <f>M118 +44</f>
        <v>44</v>
      </c>
      <c r="O118" s="86">
        <f t="shared" si="78"/>
        <v>10</v>
      </c>
      <c r="P118" s="108">
        <v>0</v>
      </c>
      <c r="Q118" s="9">
        <v>34</v>
      </c>
      <c r="R118" s="86">
        <f t="shared" si="79"/>
        <v>10</v>
      </c>
      <c r="S118" s="41">
        <f t="shared" ca="1" si="80"/>
        <v>24</v>
      </c>
      <c r="T118" s="9">
        <f t="shared" si="81"/>
        <v>34</v>
      </c>
      <c r="U118" s="84">
        <f t="shared" si="82"/>
        <v>39</v>
      </c>
      <c r="V118">
        <f t="shared" si="83"/>
        <v>5</v>
      </c>
      <c r="W118" s="23"/>
    </row>
    <row r="119" spans="1:26" x14ac:dyDescent="0.25">
      <c r="A119" s="42" t="s">
        <v>163</v>
      </c>
      <c r="B119" s="117" t="s">
        <v>166</v>
      </c>
      <c r="C119" s="40">
        <f t="shared" si="84"/>
        <v>36</v>
      </c>
      <c r="D119" s="9">
        <v>24</v>
      </c>
      <c r="E119" s="9">
        <f>D119</f>
        <v>24</v>
      </c>
      <c r="F119" s="86">
        <f t="shared" si="85"/>
        <v>36</v>
      </c>
      <c r="G119" s="108">
        <v>24</v>
      </c>
      <c r="H119" s="9">
        <f>G119</f>
        <v>24</v>
      </c>
      <c r="I119" s="84">
        <f t="shared" si="77"/>
        <v>24</v>
      </c>
      <c r="J119" s="9">
        <v>24</v>
      </c>
      <c r="K119" s="9">
        <v>0</v>
      </c>
      <c r="L119" s="84">
        <f t="shared" si="86"/>
        <v>48</v>
      </c>
      <c r="M119" s="41">
        <v>24</v>
      </c>
      <c r="N119" s="9">
        <f>M119</f>
        <v>24</v>
      </c>
      <c r="O119" s="86">
        <f t="shared" si="78"/>
        <v>0</v>
      </c>
      <c r="P119" s="108">
        <v>36</v>
      </c>
      <c r="Q119" s="9">
        <v>36</v>
      </c>
      <c r="R119" s="86">
        <f t="shared" si="79"/>
        <v>24</v>
      </c>
      <c r="S119" s="41">
        <f t="shared" ca="1" si="80"/>
        <v>132</v>
      </c>
      <c r="T119" s="9">
        <f t="shared" si="81"/>
        <v>36</v>
      </c>
      <c r="U119" s="84">
        <f t="shared" si="82"/>
        <v>132</v>
      </c>
      <c r="V119">
        <f t="shared" si="83"/>
        <v>4</v>
      </c>
      <c r="W119" s="23"/>
      <c r="Z119">
        <f>F118+I118</f>
        <v>15</v>
      </c>
    </row>
    <row r="120" spans="1:26" x14ac:dyDescent="0.25">
      <c r="A120" s="42" t="s">
        <v>163</v>
      </c>
      <c r="B120" s="117" t="s">
        <v>167</v>
      </c>
      <c r="C120" s="40">
        <f t="shared" si="84"/>
        <v>36</v>
      </c>
      <c r="D120" s="9">
        <v>24</v>
      </c>
      <c r="E120" s="9">
        <f>D120+14</f>
        <v>38</v>
      </c>
      <c r="F120" s="86">
        <f t="shared" si="85"/>
        <v>22</v>
      </c>
      <c r="G120" s="108">
        <v>24</v>
      </c>
      <c r="H120" s="9">
        <f>G120+25</f>
        <v>49</v>
      </c>
      <c r="I120" s="84">
        <f t="shared" si="77"/>
        <v>13</v>
      </c>
      <c r="J120" s="9">
        <v>24</v>
      </c>
      <c r="K120" s="9">
        <f>J120+29</f>
        <v>53</v>
      </c>
      <c r="L120" s="84">
        <f t="shared" si="86"/>
        <v>20</v>
      </c>
      <c r="M120" s="41">
        <v>12</v>
      </c>
      <c r="N120" s="9">
        <f>M120 +33</f>
        <v>45</v>
      </c>
      <c r="O120" s="86">
        <f t="shared" si="78"/>
        <v>20</v>
      </c>
      <c r="P120" s="108">
        <v>36</v>
      </c>
      <c r="Q120" s="9">
        <v>58</v>
      </c>
      <c r="R120" s="86">
        <f t="shared" si="79"/>
        <v>23</v>
      </c>
      <c r="S120" s="41">
        <f t="shared" ca="1" si="80"/>
        <v>120</v>
      </c>
      <c r="T120" s="9">
        <f t="shared" si="81"/>
        <v>58</v>
      </c>
      <c r="U120" s="84">
        <f t="shared" si="82"/>
        <v>98</v>
      </c>
      <c r="V120">
        <f t="shared" si="83"/>
        <v>5</v>
      </c>
      <c r="W120" s="23"/>
      <c r="Z120">
        <f>F119+I119</f>
        <v>60</v>
      </c>
    </row>
    <row r="121" spans="1:26" x14ac:dyDescent="0.25">
      <c r="A121" s="42" t="s">
        <v>168</v>
      </c>
      <c r="B121" s="117" t="s">
        <v>169</v>
      </c>
      <c r="C121" s="40">
        <f t="shared" si="84"/>
        <v>48</v>
      </c>
      <c r="D121" s="9">
        <v>0</v>
      </c>
      <c r="E121" s="9">
        <f>D121+24</f>
        <v>24</v>
      </c>
      <c r="F121" s="86">
        <f t="shared" si="85"/>
        <v>24</v>
      </c>
      <c r="G121" s="108">
        <v>48</v>
      </c>
      <c r="H121" s="9">
        <f>G121+11</f>
        <v>59</v>
      </c>
      <c r="I121" s="84">
        <f t="shared" si="77"/>
        <v>13</v>
      </c>
      <c r="J121" s="9">
        <v>48</v>
      </c>
      <c r="K121" s="9">
        <f>J121+40</f>
        <v>88</v>
      </c>
      <c r="L121" s="84">
        <f t="shared" si="86"/>
        <v>19</v>
      </c>
      <c r="M121" s="41">
        <v>0</v>
      </c>
      <c r="N121" s="9">
        <f>M121 +74</f>
        <v>74</v>
      </c>
      <c r="O121" s="86">
        <f t="shared" si="78"/>
        <v>14</v>
      </c>
      <c r="P121" s="108">
        <v>0</v>
      </c>
      <c r="Q121">
        <v>59</v>
      </c>
      <c r="R121" s="86">
        <f t="shared" si="79"/>
        <v>15</v>
      </c>
      <c r="S121" s="41">
        <f t="shared" ca="1" si="80"/>
        <v>96</v>
      </c>
      <c r="T121" s="9">
        <f t="shared" si="81"/>
        <v>59</v>
      </c>
      <c r="U121" s="84">
        <f t="shared" si="82"/>
        <v>85</v>
      </c>
      <c r="V121">
        <f t="shared" si="83"/>
        <v>5</v>
      </c>
      <c r="W121" s="23"/>
      <c r="Z121">
        <f>F120+I120</f>
        <v>35</v>
      </c>
    </row>
    <row r="122" spans="1:26" x14ac:dyDescent="0.25">
      <c r="A122" s="42" t="s">
        <v>170</v>
      </c>
      <c r="B122" s="117" t="s">
        <v>171</v>
      </c>
      <c r="C122" s="40">
        <f t="shared" si="84"/>
        <v>10</v>
      </c>
      <c r="D122" s="9">
        <v>0</v>
      </c>
      <c r="E122" s="9">
        <f>D122+3</f>
        <v>3</v>
      </c>
      <c r="F122" s="86">
        <f t="shared" si="85"/>
        <v>7</v>
      </c>
      <c r="G122" s="108">
        <v>0</v>
      </c>
      <c r="H122" s="9">
        <v>0</v>
      </c>
      <c r="I122" s="84">
        <f t="shared" si="77"/>
        <v>3</v>
      </c>
      <c r="J122" s="9">
        <v>0</v>
      </c>
      <c r="K122" s="9">
        <v>0</v>
      </c>
      <c r="L122" s="84">
        <f t="shared" si="86"/>
        <v>0</v>
      </c>
      <c r="M122" s="41">
        <v>0</v>
      </c>
      <c r="N122" s="9">
        <f>M122</f>
        <v>0</v>
      </c>
      <c r="O122" s="86">
        <f t="shared" si="78"/>
        <v>0</v>
      </c>
      <c r="P122" s="108">
        <v>72</v>
      </c>
      <c r="Q122">
        <v>72</v>
      </c>
      <c r="R122" s="86">
        <f t="shared" si="79"/>
        <v>0</v>
      </c>
      <c r="S122" s="41">
        <f t="shared" ca="1" si="80"/>
        <v>72</v>
      </c>
      <c r="T122" s="9">
        <f t="shared" si="81"/>
        <v>72</v>
      </c>
      <c r="U122" s="84">
        <f t="shared" si="82"/>
        <v>10</v>
      </c>
      <c r="V122">
        <f t="shared" si="83"/>
        <v>2</v>
      </c>
    </row>
    <row r="123" spans="1:26" x14ac:dyDescent="0.25">
      <c r="A123" s="42" t="s">
        <v>172</v>
      </c>
      <c r="B123" s="117" t="s">
        <v>173</v>
      </c>
      <c r="C123" s="40">
        <f t="shared" si="84"/>
        <v>0</v>
      </c>
      <c r="D123" s="9">
        <v>0</v>
      </c>
      <c r="E123" s="9">
        <f>D123</f>
        <v>0</v>
      </c>
      <c r="F123" s="86">
        <f t="shared" si="85"/>
        <v>0</v>
      </c>
      <c r="G123" s="108">
        <v>0</v>
      </c>
      <c r="H123" s="9">
        <v>0</v>
      </c>
      <c r="I123" s="84">
        <f t="shared" si="77"/>
        <v>0</v>
      </c>
      <c r="J123" s="9">
        <v>0</v>
      </c>
      <c r="K123" s="9">
        <v>0</v>
      </c>
      <c r="L123" s="84">
        <f t="shared" si="86"/>
        <v>0</v>
      </c>
      <c r="M123" s="41">
        <v>0</v>
      </c>
      <c r="N123" s="9">
        <f>M123</f>
        <v>0</v>
      </c>
      <c r="O123" s="86">
        <f t="shared" si="78"/>
        <v>0</v>
      </c>
      <c r="P123" s="108">
        <v>0</v>
      </c>
      <c r="Q123">
        <v>0</v>
      </c>
      <c r="R123" s="86">
        <f t="shared" si="79"/>
        <v>0</v>
      </c>
      <c r="S123" s="41">
        <f t="shared" ca="1" si="80"/>
        <v>0</v>
      </c>
      <c r="T123" s="9">
        <f t="shared" si="81"/>
        <v>0</v>
      </c>
      <c r="U123" s="84">
        <f t="shared" si="82"/>
        <v>0</v>
      </c>
      <c r="V123">
        <f t="shared" si="83"/>
        <v>0</v>
      </c>
    </row>
    <row r="124" spans="1:26" x14ac:dyDescent="0.25">
      <c r="A124" s="42" t="s">
        <v>174</v>
      </c>
      <c r="B124" s="117" t="s">
        <v>175</v>
      </c>
      <c r="C124" s="40">
        <f t="shared" si="84"/>
        <v>27</v>
      </c>
      <c r="D124" s="9">
        <v>24</v>
      </c>
      <c r="E124" s="9">
        <f>D124+18</f>
        <v>42</v>
      </c>
      <c r="F124" s="86">
        <f t="shared" si="85"/>
        <v>9</v>
      </c>
      <c r="G124" s="108">
        <v>0</v>
      </c>
      <c r="H124" s="9">
        <f>G124+24</f>
        <v>24</v>
      </c>
      <c r="I124" s="84">
        <f t="shared" si="77"/>
        <v>18</v>
      </c>
      <c r="J124" s="9">
        <v>24</v>
      </c>
      <c r="K124" s="9">
        <f>J124+10</f>
        <v>34</v>
      </c>
      <c r="L124" s="84">
        <f t="shared" si="86"/>
        <v>14</v>
      </c>
      <c r="M124" s="41">
        <v>0</v>
      </c>
      <c r="N124" s="9">
        <v>26</v>
      </c>
      <c r="O124" s="86">
        <f t="shared" si="78"/>
        <v>8</v>
      </c>
      <c r="P124" s="108">
        <v>0</v>
      </c>
      <c r="Q124">
        <v>18</v>
      </c>
      <c r="R124" s="86">
        <f t="shared" si="79"/>
        <v>8</v>
      </c>
      <c r="S124" s="41">
        <f t="shared" ca="1" si="80"/>
        <v>48</v>
      </c>
      <c r="T124" s="9">
        <f t="shared" si="81"/>
        <v>18</v>
      </c>
      <c r="U124" s="84">
        <f t="shared" si="82"/>
        <v>57</v>
      </c>
      <c r="V124">
        <f t="shared" si="83"/>
        <v>5</v>
      </c>
    </row>
    <row r="125" spans="1:26" x14ac:dyDescent="0.25">
      <c r="A125" s="42" t="s">
        <v>176</v>
      </c>
      <c r="B125" s="117" t="s">
        <v>177</v>
      </c>
      <c r="C125" s="40">
        <f t="shared" si="84"/>
        <v>6</v>
      </c>
      <c r="D125" s="9">
        <v>48</v>
      </c>
      <c r="E125" s="9">
        <f>D125</f>
        <v>48</v>
      </c>
      <c r="F125" s="86">
        <f t="shared" si="85"/>
        <v>6</v>
      </c>
      <c r="G125" s="108">
        <v>24</v>
      </c>
      <c r="H125" s="9">
        <f>G125+13</f>
        <v>37</v>
      </c>
      <c r="I125" s="84">
        <f t="shared" si="77"/>
        <v>35</v>
      </c>
      <c r="J125" s="9">
        <v>24</v>
      </c>
      <c r="K125" s="9">
        <f>J125+6</f>
        <v>30</v>
      </c>
      <c r="L125" s="84">
        <f t="shared" si="86"/>
        <v>31</v>
      </c>
      <c r="M125" s="41">
        <v>24</v>
      </c>
      <c r="N125" s="9">
        <f>M125 + 1</f>
        <v>25</v>
      </c>
      <c r="O125" s="86">
        <f t="shared" si="78"/>
        <v>29</v>
      </c>
      <c r="P125" s="108">
        <v>48</v>
      </c>
      <c r="Q125">
        <v>48</v>
      </c>
      <c r="R125" s="86">
        <f t="shared" si="79"/>
        <v>25</v>
      </c>
      <c r="S125" s="41">
        <f t="shared" ca="1" si="80"/>
        <v>168</v>
      </c>
      <c r="T125" s="9">
        <f t="shared" si="81"/>
        <v>48</v>
      </c>
      <c r="U125" s="84">
        <f t="shared" si="82"/>
        <v>126</v>
      </c>
      <c r="V125">
        <f t="shared" si="83"/>
        <v>5</v>
      </c>
    </row>
    <row r="126" spans="1:26" x14ac:dyDescent="0.25">
      <c r="A126" s="42" t="s">
        <v>178</v>
      </c>
      <c r="B126" s="117" t="s">
        <v>179</v>
      </c>
      <c r="C126" s="40">
        <f t="shared" si="84"/>
        <v>33</v>
      </c>
      <c r="D126" s="9">
        <v>24</v>
      </c>
      <c r="E126" s="9">
        <f>D126+15</f>
        <v>39</v>
      </c>
      <c r="F126" s="86">
        <f t="shared" si="85"/>
        <v>18</v>
      </c>
      <c r="G126" s="108">
        <v>0</v>
      </c>
      <c r="H126" s="9">
        <v>25</v>
      </c>
      <c r="I126" s="84">
        <f t="shared" si="77"/>
        <v>14</v>
      </c>
      <c r="J126" s="9">
        <v>48</v>
      </c>
      <c r="K126" s="9">
        <f>J126+9</f>
        <v>57</v>
      </c>
      <c r="L126" s="84">
        <f t="shared" si="86"/>
        <v>16</v>
      </c>
      <c r="M126" s="41">
        <v>0</v>
      </c>
      <c r="N126" s="9">
        <f>M126 + 44</f>
        <v>44</v>
      </c>
      <c r="O126" s="86">
        <f t="shared" si="78"/>
        <v>13</v>
      </c>
      <c r="P126" s="108">
        <v>24</v>
      </c>
      <c r="Q126">
        <v>42</v>
      </c>
      <c r="R126" s="86">
        <f t="shared" si="79"/>
        <v>26</v>
      </c>
      <c r="S126" s="41">
        <f t="shared" ca="1" si="80"/>
        <v>96</v>
      </c>
      <c r="T126" s="9">
        <f t="shared" si="81"/>
        <v>42</v>
      </c>
      <c r="U126" s="84">
        <f t="shared" si="82"/>
        <v>87</v>
      </c>
      <c r="V126">
        <f t="shared" si="83"/>
        <v>5</v>
      </c>
    </row>
    <row r="127" spans="1:26" x14ac:dyDescent="0.25">
      <c r="A127" s="42" t="s">
        <v>178</v>
      </c>
      <c r="B127" s="117" t="s">
        <v>180</v>
      </c>
      <c r="C127" s="40">
        <f t="shared" si="84"/>
        <v>48</v>
      </c>
      <c r="D127" s="9">
        <v>24</v>
      </c>
      <c r="E127" s="9">
        <f>D127+34</f>
        <v>58</v>
      </c>
      <c r="F127" s="86">
        <f t="shared" si="85"/>
        <v>14</v>
      </c>
      <c r="G127" s="108">
        <v>0</v>
      </c>
      <c r="H127" s="9">
        <v>40</v>
      </c>
      <c r="I127" s="84">
        <f t="shared" si="77"/>
        <v>18</v>
      </c>
      <c r="J127" s="9">
        <v>24</v>
      </c>
      <c r="K127" s="9">
        <f>J127+15</f>
        <v>39</v>
      </c>
      <c r="L127" s="84">
        <f t="shared" si="86"/>
        <v>25</v>
      </c>
      <c r="M127" s="41">
        <v>0</v>
      </c>
      <c r="N127" s="9">
        <v>11</v>
      </c>
      <c r="O127" s="86">
        <f t="shared" si="78"/>
        <v>28</v>
      </c>
      <c r="P127" s="41">
        <v>24</v>
      </c>
      <c r="Q127">
        <v>24</v>
      </c>
      <c r="R127" s="86">
        <f t="shared" si="79"/>
        <v>11</v>
      </c>
      <c r="S127" s="41">
        <f t="shared" ca="1" si="80"/>
        <v>72</v>
      </c>
      <c r="T127" s="9">
        <f t="shared" si="81"/>
        <v>24</v>
      </c>
      <c r="U127" s="84">
        <f t="shared" si="82"/>
        <v>96</v>
      </c>
      <c r="V127">
        <f t="shared" si="83"/>
        <v>5</v>
      </c>
    </row>
    <row r="128" spans="1:26" ht="15.75" thickBot="1" x14ac:dyDescent="0.3">
      <c r="A128" s="46"/>
      <c r="B128" s="51"/>
      <c r="C128" s="14"/>
      <c r="D128" s="77"/>
      <c r="E128" s="77"/>
      <c r="F128" s="77"/>
      <c r="G128" s="15"/>
      <c r="H128" s="77"/>
      <c r="I128" s="79"/>
      <c r="J128" s="77"/>
      <c r="K128" s="77"/>
      <c r="L128" s="79"/>
      <c r="M128" s="77"/>
      <c r="N128" s="77"/>
      <c r="O128" s="77"/>
      <c r="P128" s="15"/>
      <c r="Q128" s="77"/>
      <c r="R128" s="77"/>
      <c r="S128" s="15"/>
      <c r="T128" s="77"/>
      <c r="U128" s="79"/>
    </row>
    <row r="129" spans="1:33" x14ac:dyDescent="0.25">
      <c r="A129" s="16"/>
      <c r="B129" s="117"/>
    </row>
    <row r="132" spans="1:33" ht="21" customHeight="1" x14ac:dyDescent="0.35">
      <c r="A132" s="43" t="s">
        <v>187</v>
      </c>
      <c r="B132" s="64"/>
      <c r="C132" s="92">
        <v>46293</v>
      </c>
      <c r="D132" s="393"/>
      <c r="E132" s="388"/>
      <c r="F132" s="389"/>
      <c r="G132" s="393"/>
      <c r="H132" s="388"/>
      <c r="I132" s="389"/>
      <c r="J132" s="393"/>
      <c r="K132" s="388"/>
      <c r="L132" s="389"/>
      <c r="M132" s="393">
        <v>46294</v>
      </c>
      <c r="N132" s="388"/>
      <c r="O132" s="389"/>
      <c r="P132" s="393">
        <v>46295</v>
      </c>
      <c r="Q132" s="388"/>
      <c r="R132" s="389"/>
      <c r="S132" s="88" t="s">
        <v>125</v>
      </c>
      <c r="T132" s="89"/>
      <c r="U132" s="90"/>
    </row>
    <row r="133" spans="1:33" x14ac:dyDescent="0.25">
      <c r="A133" s="47" t="s">
        <v>126</v>
      </c>
      <c r="B133" s="20" t="s">
        <v>127</v>
      </c>
      <c r="C133" s="94" t="s">
        <v>128</v>
      </c>
      <c r="D133" s="52"/>
      <c r="E133" s="53"/>
      <c r="F133" s="54"/>
      <c r="G133" s="52"/>
      <c r="H133" s="53"/>
      <c r="I133" s="54"/>
      <c r="J133" s="52"/>
      <c r="K133" s="53"/>
      <c r="L133" s="54"/>
      <c r="M133" s="52" t="s">
        <v>182</v>
      </c>
      <c r="N133" s="53" t="s">
        <v>130</v>
      </c>
      <c r="O133" s="54" t="s">
        <v>131</v>
      </c>
      <c r="P133" s="52" t="s">
        <v>182</v>
      </c>
      <c r="Q133" s="53" t="s">
        <v>130</v>
      </c>
      <c r="R133" s="54" t="s">
        <v>131</v>
      </c>
      <c r="S133" s="52" t="s">
        <v>182</v>
      </c>
      <c r="T133" s="53" t="s">
        <v>130</v>
      </c>
      <c r="U133" s="54" t="s">
        <v>131</v>
      </c>
      <c r="Z133" s="120"/>
      <c r="AA133" s="120"/>
      <c r="AB133" s="120"/>
      <c r="AC133" s="120"/>
      <c r="AD133" s="120"/>
      <c r="AE133" s="120"/>
      <c r="AF133" s="120"/>
      <c r="AG133" s="120"/>
    </row>
    <row r="134" spans="1:33" x14ac:dyDescent="0.25">
      <c r="A134" s="48"/>
      <c r="B134" s="50"/>
      <c r="C134" s="44"/>
      <c r="D134" s="18"/>
      <c r="E134" s="18"/>
      <c r="F134" s="18"/>
      <c r="G134" s="17"/>
      <c r="H134" s="18"/>
      <c r="I134" s="18"/>
      <c r="J134" s="17"/>
      <c r="K134" s="18"/>
      <c r="L134" s="28"/>
      <c r="M134" s="18"/>
      <c r="N134" s="18"/>
      <c r="O134" s="18"/>
      <c r="P134" s="17"/>
      <c r="Q134" s="18"/>
      <c r="R134" s="18"/>
      <c r="S134" s="17"/>
      <c r="T134" s="18"/>
      <c r="U134" s="28"/>
    </row>
    <row r="135" spans="1:33" x14ac:dyDescent="0.25">
      <c r="A135" s="42" t="s">
        <v>141</v>
      </c>
      <c r="B135" s="117" t="s">
        <v>142</v>
      </c>
      <c r="C135" s="40">
        <f t="shared" ref="C135:C145" si="87">T101</f>
        <v>45</v>
      </c>
      <c r="D135" s="9"/>
      <c r="E135" s="9"/>
      <c r="F135" s="86"/>
      <c r="G135" s="41"/>
      <c r="H135" s="9"/>
      <c r="I135" s="86"/>
      <c r="J135" s="41"/>
      <c r="K135" s="9"/>
      <c r="L135" s="84"/>
      <c r="M135" s="41">
        <v>0</v>
      </c>
      <c r="N135" s="212">
        <v>41</v>
      </c>
      <c r="O135" s="84">
        <f t="shared" ref="O135:O145" si="88">C135+M135-N135</f>
        <v>4</v>
      </c>
      <c r="P135" s="41">
        <v>0</v>
      </c>
      <c r="Q135" s="212">
        <v>36</v>
      </c>
      <c r="R135" s="84">
        <f t="shared" ref="R135:R145" si="89">N135+P135-Q135</f>
        <v>5</v>
      </c>
      <c r="S135" s="41">
        <f t="shared" ref="S135:S145" ca="1" si="90">SUMIF($D$3:$U$3,"Stock In",D135:R135)</f>
        <v>0</v>
      </c>
      <c r="T135" s="9">
        <f t="shared" ref="T135:T145" si="91">Q135</f>
        <v>36</v>
      </c>
      <c r="U135" s="84">
        <f t="shared" ref="U135:U145" si="92">SUMIF($D$3:$R$3,"Consumption",D135:R135)</f>
        <v>9</v>
      </c>
    </row>
    <row r="136" spans="1:33" x14ac:dyDescent="0.25">
      <c r="A136" s="42" t="s">
        <v>141</v>
      </c>
      <c r="B136" s="117" t="s">
        <v>143</v>
      </c>
      <c r="C136" s="40">
        <f t="shared" si="87"/>
        <v>0</v>
      </c>
      <c r="D136" s="9"/>
      <c r="E136" s="9"/>
      <c r="F136" s="86"/>
      <c r="G136" s="41"/>
      <c r="H136" s="9"/>
      <c r="I136" s="86"/>
      <c r="J136" s="41"/>
      <c r="K136" s="9"/>
      <c r="L136" s="84"/>
      <c r="M136" s="213">
        <v>0</v>
      </c>
      <c r="N136" s="212">
        <v>0</v>
      </c>
      <c r="O136" s="84">
        <f t="shared" si="88"/>
        <v>0</v>
      </c>
      <c r="P136" s="41">
        <v>0</v>
      </c>
      <c r="Q136" s="212">
        <v>0</v>
      </c>
      <c r="R136" s="84">
        <f t="shared" si="89"/>
        <v>0</v>
      </c>
      <c r="S136" s="41">
        <f t="shared" ca="1" si="90"/>
        <v>0</v>
      </c>
      <c r="T136" s="9">
        <f t="shared" si="91"/>
        <v>0</v>
      </c>
      <c r="U136" s="84">
        <f t="shared" si="92"/>
        <v>0</v>
      </c>
    </row>
    <row r="137" spans="1:33" x14ac:dyDescent="0.25">
      <c r="A137" s="42" t="s">
        <v>141</v>
      </c>
      <c r="B137" s="117" t="s">
        <v>144</v>
      </c>
      <c r="C137" s="40">
        <f t="shared" si="87"/>
        <v>40</v>
      </c>
      <c r="D137" s="9"/>
      <c r="E137" s="9"/>
      <c r="F137" s="86"/>
      <c r="G137" s="41"/>
      <c r="H137" s="9"/>
      <c r="I137" s="86"/>
      <c r="J137" s="41"/>
      <c r="K137" s="9"/>
      <c r="L137" s="84"/>
      <c r="M137" s="213">
        <v>0</v>
      </c>
      <c r="N137" s="212">
        <v>27</v>
      </c>
      <c r="O137" s="84">
        <f t="shared" si="88"/>
        <v>13</v>
      </c>
      <c r="P137" s="41">
        <v>0</v>
      </c>
      <c r="Q137" s="212">
        <v>20</v>
      </c>
      <c r="R137" s="84">
        <f t="shared" si="89"/>
        <v>7</v>
      </c>
      <c r="S137" s="41">
        <f t="shared" ca="1" si="90"/>
        <v>0</v>
      </c>
      <c r="T137" s="9">
        <f t="shared" si="91"/>
        <v>20</v>
      </c>
      <c r="U137" s="84">
        <f t="shared" si="92"/>
        <v>20</v>
      </c>
    </row>
    <row r="138" spans="1:33" x14ac:dyDescent="0.25">
      <c r="A138" s="42" t="s">
        <v>141</v>
      </c>
      <c r="B138" s="117" t="s">
        <v>145</v>
      </c>
      <c r="C138" s="40">
        <f t="shared" si="87"/>
        <v>36</v>
      </c>
      <c r="D138" s="9"/>
      <c r="E138" s="9"/>
      <c r="F138" s="86"/>
      <c r="G138" s="41"/>
      <c r="H138" s="9"/>
      <c r="I138" s="86"/>
      <c r="J138" s="41"/>
      <c r="K138" s="9"/>
      <c r="L138" s="84"/>
      <c r="M138" s="213">
        <v>0</v>
      </c>
      <c r="N138" s="212">
        <v>23</v>
      </c>
      <c r="O138" s="84">
        <f t="shared" si="88"/>
        <v>13</v>
      </c>
      <c r="P138" s="41">
        <v>0</v>
      </c>
      <c r="Q138" s="212">
        <v>18</v>
      </c>
      <c r="R138" s="84">
        <f t="shared" si="89"/>
        <v>5</v>
      </c>
      <c r="S138" s="41">
        <f t="shared" ca="1" si="90"/>
        <v>0</v>
      </c>
      <c r="T138" s="9">
        <f t="shared" si="91"/>
        <v>18</v>
      </c>
      <c r="U138" s="84">
        <f t="shared" si="92"/>
        <v>18</v>
      </c>
    </row>
    <row r="139" spans="1:33" x14ac:dyDescent="0.25">
      <c r="A139" s="42" t="s">
        <v>146</v>
      </c>
      <c r="B139" s="117" t="s">
        <v>147</v>
      </c>
      <c r="C139" s="40">
        <f t="shared" si="87"/>
        <v>0</v>
      </c>
      <c r="D139" s="9"/>
      <c r="E139" s="9"/>
      <c r="F139" s="86"/>
      <c r="G139" s="41"/>
      <c r="H139" s="9"/>
      <c r="I139" s="86"/>
      <c r="J139" s="41"/>
      <c r="K139" s="9"/>
      <c r="L139" s="84"/>
      <c r="M139" s="213">
        <v>0</v>
      </c>
      <c r="N139" s="212">
        <v>0</v>
      </c>
      <c r="O139" s="84">
        <f t="shared" si="88"/>
        <v>0</v>
      </c>
      <c r="P139" s="41">
        <v>0</v>
      </c>
      <c r="Q139" s="212">
        <v>0</v>
      </c>
      <c r="R139" s="84">
        <f t="shared" si="89"/>
        <v>0</v>
      </c>
      <c r="S139" s="41">
        <f t="shared" ca="1" si="90"/>
        <v>0</v>
      </c>
      <c r="T139" s="9">
        <f t="shared" si="91"/>
        <v>0</v>
      </c>
      <c r="U139" s="84">
        <f t="shared" si="92"/>
        <v>0</v>
      </c>
    </row>
    <row r="140" spans="1:33" x14ac:dyDescent="0.25">
      <c r="A140" s="42" t="s">
        <v>146</v>
      </c>
      <c r="B140" s="117" t="s">
        <v>148</v>
      </c>
      <c r="C140" s="40">
        <f t="shared" si="87"/>
        <v>0</v>
      </c>
      <c r="D140" s="9"/>
      <c r="E140" s="9"/>
      <c r="F140" s="86"/>
      <c r="G140" s="41"/>
      <c r="H140" s="9"/>
      <c r="I140" s="86"/>
      <c r="J140" s="41"/>
      <c r="K140" s="9"/>
      <c r="L140" s="84"/>
      <c r="M140" s="213">
        <v>0</v>
      </c>
      <c r="N140" s="212">
        <v>0</v>
      </c>
      <c r="O140" s="84">
        <f t="shared" si="88"/>
        <v>0</v>
      </c>
      <c r="P140" s="41">
        <v>0</v>
      </c>
      <c r="Q140" s="212">
        <v>0</v>
      </c>
      <c r="R140" s="84">
        <f t="shared" si="89"/>
        <v>0</v>
      </c>
      <c r="S140" s="41">
        <f t="shared" ca="1" si="90"/>
        <v>0</v>
      </c>
      <c r="T140" s="9">
        <f t="shared" si="91"/>
        <v>0</v>
      </c>
      <c r="U140" s="84">
        <f t="shared" si="92"/>
        <v>0</v>
      </c>
    </row>
    <row r="141" spans="1:33" x14ac:dyDescent="0.25">
      <c r="A141" s="42" t="s">
        <v>149</v>
      </c>
      <c r="B141" s="117" t="s">
        <v>150</v>
      </c>
      <c r="C141" s="40">
        <f t="shared" si="87"/>
        <v>161</v>
      </c>
      <c r="D141" s="9"/>
      <c r="E141" s="9"/>
      <c r="F141" s="86"/>
      <c r="G141" s="41"/>
      <c r="H141" s="9"/>
      <c r="I141" s="86"/>
      <c r="J141" s="41"/>
      <c r="K141" s="9"/>
      <c r="L141" s="84"/>
      <c r="M141" s="213">
        <v>0</v>
      </c>
      <c r="N141" s="212">
        <v>131</v>
      </c>
      <c r="O141" s="84">
        <f t="shared" si="88"/>
        <v>30</v>
      </c>
      <c r="P141" s="41">
        <v>0</v>
      </c>
      <c r="Q141" s="212">
        <v>94</v>
      </c>
      <c r="R141" s="84">
        <f t="shared" si="89"/>
        <v>37</v>
      </c>
      <c r="S141" s="41">
        <f t="shared" ca="1" si="90"/>
        <v>0</v>
      </c>
      <c r="T141" s="9">
        <f t="shared" si="91"/>
        <v>94</v>
      </c>
      <c r="U141" s="84">
        <f t="shared" si="92"/>
        <v>67</v>
      </c>
    </row>
    <row r="142" spans="1:33" x14ac:dyDescent="0.25">
      <c r="A142" s="42" t="s">
        <v>151</v>
      </c>
      <c r="B142" s="117" t="s">
        <v>152</v>
      </c>
      <c r="C142" s="40">
        <f t="shared" si="87"/>
        <v>28</v>
      </c>
      <c r="D142" s="9"/>
      <c r="E142" s="9"/>
      <c r="F142" s="86"/>
      <c r="G142" s="41"/>
      <c r="H142" s="9"/>
      <c r="I142" s="86"/>
      <c r="J142" s="41"/>
      <c r="K142" s="9"/>
      <c r="L142" s="84"/>
      <c r="M142" s="213">
        <v>0</v>
      </c>
      <c r="N142" s="212">
        <v>23</v>
      </c>
      <c r="O142" s="84">
        <f t="shared" si="88"/>
        <v>5</v>
      </c>
      <c r="P142" s="41">
        <v>0</v>
      </c>
      <c r="Q142" s="212">
        <v>20</v>
      </c>
      <c r="R142" s="84">
        <f t="shared" si="89"/>
        <v>3</v>
      </c>
      <c r="S142" s="41">
        <f t="shared" ca="1" si="90"/>
        <v>0</v>
      </c>
      <c r="T142" s="9">
        <f t="shared" si="91"/>
        <v>20</v>
      </c>
      <c r="U142" s="84">
        <f t="shared" si="92"/>
        <v>8</v>
      </c>
    </row>
    <row r="143" spans="1:33" x14ac:dyDescent="0.25">
      <c r="A143" s="42" t="s">
        <v>151</v>
      </c>
      <c r="B143" s="117" t="s">
        <v>153</v>
      </c>
      <c r="C143" s="40">
        <f t="shared" si="87"/>
        <v>37</v>
      </c>
      <c r="D143" s="9"/>
      <c r="E143" s="9"/>
      <c r="F143" s="86"/>
      <c r="G143" s="41"/>
      <c r="H143" s="9"/>
      <c r="I143" s="86"/>
      <c r="J143" s="41"/>
      <c r="K143" s="9"/>
      <c r="L143" s="84"/>
      <c r="M143" s="213">
        <v>0</v>
      </c>
      <c r="N143" s="212">
        <v>21</v>
      </c>
      <c r="O143" s="84">
        <f t="shared" si="88"/>
        <v>16</v>
      </c>
      <c r="P143" s="41">
        <v>24</v>
      </c>
      <c r="Q143" s="212">
        <v>39</v>
      </c>
      <c r="R143" s="84">
        <f t="shared" si="89"/>
        <v>6</v>
      </c>
      <c r="S143" s="41">
        <f t="shared" ca="1" si="90"/>
        <v>24</v>
      </c>
      <c r="T143" s="9">
        <f t="shared" si="91"/>
        <v>39</v>
      </c>
      <c r="U143" s="84">
        <f t="shared" si="92"/>
        <v>22</v>
      </c>
    </row>
    <row r="144" spans="1:33" x14ac:dyDescent="0.25">
      <c r="A144" s="42" t="s">
        <v>154</v>
      </c>
      <c r="B144" s="117" t="s">
        <v>155</v>
      </c>
      <c r="C144" s="40">
        <f t="shared" si="87"/>
        <v>18</v>
      </c>
      <c r="D144" s="9"/>
      <c r="E144" s="9"/>
      <c r="F144" s="86"/>
      <c r="G144" s="41"/>
      <c r="H144" s="9"/>
      <c r="I144" s="86"/>
      <c r="J144" s="41"/>
      <c r="K144" s="9"/>
      <c r="L144" s="84"/>
      <c r="M144" s="213">
        <v>0</v>
      </c>
      <c r="N144" s="212">
        <v>8</v>
      </c>
      <c r="O144" s="84">
        <f t="shared" si="88"/>
        <v>10</v>
      </c>
      <c r="P144" s="41">
        <v>45</v>
      </c>
      <c r="Q144" s="212">
        <v>45</v>
      </c>
      <c r="R144" s="84">
        <f t="shared" si="89"/>
        <v>8</v>
      </c>
      <c r="S144" s="41">
        <f t="shared" ca="1" si="90"/>
        <v>45</v>
      </c>
      <c r="T144" s="9">
        <f t="shared" si="91"/>
        <v>45</v>
      </c>
      <c r="U144" s="84">
        <f t="shared" si="92"/>
        <v>18</v>
      </c>
    </row>
    <row r="145" spans="1:21" x14ac:dyDescent="0.25">
      <c r="A145" s="42" t="s">
        <v>154</v>
      </c>
      <c r="B145" s="117" t="s">
        <v>156</v>
      </c>
      <c r="C145" s="40">
        <f t="shared" si="87"/>
        <v>31</v>
      </c>
      <c r="D145" s="9"/>
      <c r="F145" s="86"/>
      <c r="G145" s="10"/>
      <c r="I145" s="86"/>
      <c r="J145" s="41"/>
      <c r="K145" s="9"/>
      <c r="L145" s="84"/>
      <c r="M145" s="213">
        <v>0</v>
      </c>
      <c r="N145" s="212">
        <v>27</v>
      </c>
      <c r="O145" s="84">
        <f t="shared" si="88"/>
        <v>4</v>
      </c>
      <c r="P145" s="41">
        <v>15</v>
      </c>
      <c r="Q145" s="212">
        <v>37</v>
      </c>
      <c r="R145" s="84">
        <f t="shared" si="89"/>
        <v>5</v>
      </c>
      <c r="S145" s="41">
        <f t="shared" ca="1" si="90"/>
        <v>15</v>
      </c>
      <c r="T145" s="9">
        <f t="shared" si="91"/>
        <v>37</v>
      </c>
      <c r="U145" s="84">
        <f t="shared" si="92"/>
        <v>9</v>
      </c>
    </row>
    <row r="146" spans="1:21" x14ac:dyDescent="0.25">
      <c r="A146" s="42"/>
      <c r="B146" s="117"/>
      <c r="C146" s="40"/>
      <c r="D146" s="9"/>
      <c r="F146" s="86"/>
      <c r="G146" s="10"/>
      <c r="I146" s="86"/>
      <c r="J146" s="41"/>
      <c r="K146" s="9"/>
      <c r="L146" s="84"/>
      <c r="M146" s="213"/>
      <c r="N146" s="212"/>
      <c r="O146" s="84"/>
      <c r="P146" s="41"/>
      <c r="Q146" s="212"/>
      <c r="R146" s="84"/>
      <c r="S146" s="41"/>
      <c r="T146" s="9"/>
      <c r="U146" s="84"/>
    </row>
    <row r="147" spans="1:21" x14ac:dyDescent="0.25">
      <c r="A147" s="42" t="s">
        <v>157</v>
      </c>
      <c r="B147" s="117" t="s">
        <v>158</v>
      </c>
      <c r="C147" s="40">
        <f>T113</f>
        <v>48</v>
      </c>
      <c r="D147" s="9"/>
      <c r="F147" s="86"/>
      <c r="G147" s="10"/>
      <c r="I147" s="86"/>
      <c r="J147" s="41"/>
      <c r="K147" s="9"/>
      <c r="L147" s="84"/>
      <c r="M147" s="213">
        <v>0</v>
      </c>
      <c r="N147" s="212">
        <v>24</v>
      </c>
      <c r="O147" s="84">
        <f t="shared" ref="O147:O161" si="93">C147+M147-N147</f>
        <v>24</v>
      </c>
      <c r="P147" s="41">
        <v>48</v>
      </c>
      <c r="Q147" s="212">
        <v>51</v>
      </c>
      <c r="R147" s="84">
        <f t="shared" ref="R147:R161" si="94">N147+P147-Q147</f>
        <v>21</v>
      </c>
      <c r="S147" s="41">
        <f t="shared" ref="S147:S161" ca="1" si="95">SUMIF($D$3:$U$3,"Stock In",D147:R147)</f>
        <v>48</v>
      </c>
      <c r="T147" s="9">
        <f t="shared" ref="T147:T161" si="96">Q147</f>
        <v>51</v>
      </c>
      <c r="U147" s="84">
        <f t="shared" ref="U147:U161" si="97">SUMIF($D$3:$R$3,"Consumption",D147:R147)</f>
        <v>45</v>
      </c>
    </row>
    <row r="148" spans="1:21" x14ac:dyDescent="0.25">
      <c r="A148" s="42" t="s">
        <v>157</v>
      </c>
      <c r="B148" s="117" t="s">
        <v>159</v>
      </c>
      <c r="C148" s="40">
        <f>T114</f>
        <v>38</v>
      </c>
      <c r="D148" s="9"/>
      <c r="E148" s="9"/>
      <c r="F148" s="86"/>
      <c r="G148" s="41"/>
      <c r="H148" s="9"/>
      <c r="I148" s="86"/>
      <c r="J148" s="41"/>
      <c r="K148" s="9"/>
      <c r="L148" s="84"/>
      <c r="M148" s="213">
        <v>0</v>
      </c>
      <c r="N148" s="212">
        <v>38</v>
      </c>
      <c r="O148" s="84">
        <f t="shared" si="93"/>
        <v>0</v>
      </c>
      <c r="P148" s="41">
        <v>0</v>
      </c>
      <c r="Q148" s="212">
        <v>38</v>
      </c>
      <c r="R148" s="84">
        <f t="shared" si="94"/>
        <v>0</v>
      </c>
      <c r="S148" s="41">
        <f t="shared" ca="1" si="95"/>
        <v>0</v>
      </c>
      <c r="T148" s="9">
        <f t="shared" si="96"/>
        <v>38</v>
      </c>
      <c r="U148" s="84">
        <f t="shared" si="97"/>
        <v>0</v>
      </c>
    </row>
    <row r="149" spans="1:21" x14ac:dyDescent="0.25">
      <c r="A149" s="42" t="s">
        <v>157</v>
      </c>
      <c r="B149" s="117" t="s">
        <v>160</v>
      </c>
      <c r="C149" s="40">
        <f>T115</f>
        <v>22</v>
      </c>
      <c r="D149" s="9"/>
      <c r="E149" s="9"/>
      <c r="F149" s="86"/>
      <c r="G149" s="41"/>
      <c r="H149" s="9"/>
      <c r="I149" s="86"/>
      <c r="J149" s="41"/>
      <c r="K149" s="9"/>
      <c r="L149" s="84"/>
      <c r="M149" s="213">
        <v>0</v>
      </c>
      <c r="N149" s="212">
        <v>20</v>
      </c>
      <c r="O149" s="84">
        <f t="shared" si="93"/>
        <v>2</v>
      </c>
      <c r="P149" s="41">
        <v>24</v>
      </c>
      <c r="Q149" s="212">
        <v>39</v>
      </c>
      <c r="R149" s="84">
        <f t="shared" si="94"/>
        <v>5</v>
      </c>
      <c r="S149" s="41">
        <f t="shared" ca="1" si="95"/>
        <v>24</v>
      </c>
      <c r="T149" s="9">
        <f t="shared" si="96"/>
        <v>39</v>
      </c>
      <c r="U149" s="84">
        <f t="shared" si="97"/>
        <v>7</v>
      </c>
    </row>
    <row r="150" spans="1:21" x14ac:dyDescent="0.25">
      <c r="A150" s="42" t="s">
        <v>161</v>
      </c>
      <c r="B150" s="117" t="s">
        <v>162</v>
      </c>
      <c r="C150" s="40">
        <f>T116</f>
        <v>159</v>
      </c>
      <c r="D150" s="9"/>
      <c r="E150" s="9"/>
      <c r="F150" s="86"/>
      <c r="G150" s="41"/>
      <c r="H150" s="9"/>
      <c r="I150" s="86"/>
      <c r="J150" s="41"/>
      <c r="K150" s="9"/>
      <c r="L150" s="84"/>
      <c r="M150" s="213">
        <v>72</v>
      </c>
      <c r="N150" s="212">
        <v>215</v>
      </c>
      <c r="O150" s="84">
        <f t="shared" si="93"/>
        <v>16</v>
      </c>
      <c r="P150" s="41">
        <v>0</v>
      </c>
      <c r="Q150" s="212">
        <v>196</v>
      </c>
      <c r="R150" s="84">
        <f t="shared" si="94"/>
        <v>19</v>
      </c>
      <c r="S150" s="41">
        <f t="shared" ca="1" si="95"/>
        <v>72</v>
      </c>
      <c r="T150" s="9">
        <f t="shared" si="96"/>
        <v>196</v>
      </c>
      <c r="U150" s="84">
        <f t="shared" si="97"/>
        <v>35</v>
      </c>
    </row>
    <row r="151" spans="1:21" x14ac:dyDescent="0.25">
      <c r="A151" s="42" t="s">
        <v>186</v>
      </c>
      <c r="B151" s="117" t="s">
        <v>165</v>
      </c>
      <c r="C151" s="40"/>
      <c r="D151" s="9"/>
      <c r="E151" s="9"/>
      <c r="F151" s="86"/>
      <c r="G151" s="41"/>
      <c r="H151" s="9"/>
      <c r="I151" s="86"/>
      <c r="J151" s="41"/>
      <c r="K151" s="9"/>
      <c r="L151" s="84"/>
      <c r="M151" s="213">
        <v>0</v>
      </c>
      <c r="N151" s="212">
        <v>0</v>
      </c>
      <c r="O151" s="84">
        <f t="shared" si="93"/>
        <v>0</v>
      </c>
      <c r="P151" s="41">
        <v>0</v>
      </c>
      <c r="Q151" s="212">
        <v>0</v>
      </c>
      <c r="R151" s="84">
        <f t="shared" si="94"/>
        <v>0</v>
      </c>
      <c r="S151" s="41">
        <f t="shared" ca="1" si="95"/>
        <v>0</v>
      </c>
      <c r="T151" s="9">
        <f t="shared" si="96"/>
        <v>0</v>
      </c>
      <c r="U151" s="84">
        <f t="shared" si="97"/>
        <v>0</v>
      </c>
    </row>
    <row r="152" spans="1:21" x14ac:dyDescent="0.25">
      <c r="A152" s="42" t="s">
        <v>163</v>
      </c>
      <c r="B152" s="117" t="s">
        <v>164</v>
      </c>
      <c r="C152" s="40">
        <f t="shared" ref="C152:C161" si="98">T118</f>
        <v>34</v>
      </c>
      <c r="D152" s="9"/>
      <c r="E152" s="9"/>
      <c r="F152" s="86"/>
      <c r="G152" s="41"/>
      <c r="H152" s="9"/>
      <c r="I152" s="86"/>
      <c r="J152" s="41"/>
      <c r="K152" s="9"/>
      <c r="L152" s="84"/>
      <c r="M152" s="213">
        <v>24</v>
      </c>
      <c r="N152" s="212">
        <v>50</v>
      </c>
      <c r="O152" s="84">
        <f t="shared" si="93"/>
        <v>8</v>
      </c>
      <c r="P152" s="41">
        <v>0</v>
      </c>
      <c r="Q152" s="212">
        <v>38</v>
      </c>
      <c r="R152" s="84">
        <f t="shared" si="94"/>
        <v>12</v>
      </c>
      <c r="S152" s="41">
        <f t="shared" ca="1" si="95"/>
        <v>24</v>
      </c>
      <c r="T152" s="9">
        <f t="shared" si="96"/>
        <v>38</v>
      </c>
      <c r="U152" s="84">
        <f t="shared" si="97"/>
        <v>20</v>
      </c>
    </row>
    <row r="153" spans="1:21" x14ac:dyDescent="0.25">
      <c r="A153" s="42" t="s">
        <v>163</v>
      </c>
      <c r="B153" s="117" t="s">
        <v>166</v>
      </c>
      <c r="C153" s="40">
        <f t="shared" si="98"/>
        <v>36</v>
      </c>
      <c r="D153" s="9"/>
      <c r="E153" s="9"/>
      <c r="F153" s="86"/>
      <c r="G153" s="41"/>
      <c r="H153" s="9"/>
      <c r="I153" s="86"/>
      <c r="J153" s="41"/>
      <c r="K153" s="9"/>
      <c r="L153" s="84"/>
      <c r="M153" s="213">
        <v>36</v>
      </c>
      <c r="N153" s="212">
        <v>36</v>
      </c>
      <c r="O153" s="84">
        <f t="shared" si="93"/>
        <v>36</v>
      </c>
      <c r="P153" s="41">
        <v>36</v>
      </c>
      <c r="Q153" s="212">
        <v>37</v>
      </c>
      <c r="R153" s="84">
        <f t="shared" si="94"/>
        <v>35</v>
      </c>
      <c r="S153" s="41">
        <f t="shared" ca="1" si="95"/>
        <v>72</v>
      </c>
      <c r="T153" s="9">
        <f t="shared" si="96"/>
        <v>37</v>
      </c>
      <c r="U153" s="84">
        <f t="shared" si="97"/>
        <v>71</v>
      </c>
    </row>
    <row r="154" spans="1:21" x14ac:dyDescent="0.25">
      <c r="A154" s="42" t="s">
        <v>163</v>
      </c>
      <c r="B154" s="117" t="s">
        <v>167</v>
      </c>
      <c r="C154" s="40">
        <f t="shared" si="98"/>
        <v>58</v>
      </c>
      <c r="D154" s="9"/>
      <c r="E154" s="9"/>
      <c r="F154" s="86"/>
      <c r="G154" s="41"/>
      <c r="H154" s="9"/>
      <c r="I154" s="86"/>
      <c r="J154" s="41"/>
      <c r="K154" s="9"/>
      <c r="L154" s="84"/>
      <c r="M154" s="213">
        <v>24</v>
      </c>
      <c r="N154" s="212">
        <v>51</v>
      </c>
      <c r="O154" s="84">
        <f t="shared" si="93"/>
        <v>31</v>
      </c>
      <c r="P154" s="41">
        <v>24</v>
      </c>
      <c r="Q154" s="212">
        <v>53</v>
      </c>
      <c r="R154" s="84">
        <f t="shared" si="94"/>
        <v>22</v>
      </c>
      <c r="S154" s="41">
        <f t="shared" ca="1" si="95"/>
        <v>48</v>
      </c>
      <c r="T154" s="9">
        <f t="shared" si="96"/>
        <v>53</v>
      </c>
      <c r="U154" s="84">
        <f t="shared" si="97"/>
        <v>53</v>
      </c>
    </row>
    <row r="155" spans="1:21" x14ac:dyDescent="0.25">
      <c r="A155" s="42" t="s">
        <v>168</v>
      </c>
      <c r="B155" s="117" t="s">
        <v>169</v>
      </c>
      <c r="C155" s="40">
        <f t="shared" si="98"/>
        <v>59</v>
      </c>
      <c r="D155" s="9"/>
      <c r="F155" s="86"/>
      <c r="G155" s="10"/>
      <c r="I155" s="86"/>
      <c r="J155" s="41"/>
      <c r="K155" s="9"/>
      <c r="L155" s="84"/>
      <c r="M155" s="213">
        <v>0</v>
      </c>
      <c r="N155" s="212">
        <v>48</v>
      </c>
      <c r="O155" s="84">
        <f t="shared" si="93"/>
        <v>11</v>
      </c>
      <c r="P155" s="41">
        <v>0</v>
      </c>
      <c r="Q155" s="212">
        <v>27</v>
      </c>
      <c r="R155" s="84">
        <f t="shared" si="94"/>
        <v>21</v>
      </c>
      <c r="S155" s="41">
        <f t="shared" ca="1" si="95"/>
        <v>0</v>
      </c>
      <c r="T155" s="9">
        <f t="shared" si="96"/>
        <v>27</v>
      </c>
      <c r="U155" s="84">
        <f t="shared" si="97"/>
        <v>32</v>
      </c>
    </row>
    <row r="156" spans="1:21" x14ac:dyDescent="0.25">
      <c r="A156" s="42" t="s">
        <v>170</v>
      </c>
      <c r="B156" s="117" t="s">
        <v>171</v>
      </c>
      <c r="C156" s="40">
        <f t="shared" si="98"/>
        <v>72</v>
      </c>
      <c r="D156" s="9"/>
      <c r="F156" s="86"/>
      <c r="G156" s="10"/>
      <c r="I156" s="86"/>
      <c r="J156" s="41"/>
      <c r="K156" s="9"/>
      <c r="L156" s="84"/>
      <c r="M156" s="213">
        <v>0</v>
      </c>
      <c r="N156" s="212">
        <v>64</v>
      </c>
      <c r="O156" s="84">
        <f t="shared" si="93"/>
        <v>8</v>
      </c>
      <c r="P156" s="41">
        <v>0</v>
      </c>
      <c r="Q156" s="212">
        <v>44</v>
      </c>
      <c r="R156" s="84">
        <f t="shared" si="94"/>
        <v>20</v>
      </c>
      <c r="S156" s="41">
        <f t="shared" ca="1" si="95"/>
        <v>0</v>
      </c>
      <c r="T156" s="9">
        <f t="shared" si="96"/>
        <v>44</v>
      </c>
      <c r="U156" s="84">
        <f t="shared" si="97"/>
        <v>28</v>
      </c>
    </row>
    <row r="157" spans="1:21" x14ac:dyDescent="0.25">
      <c r="A157" s="42" t="s">
        <v>172</v>
      </c>
      <c r="B157" s="117" t="s">
        <v>173</v>
      </c>
      <c r="C157" s="40">
        <f t="shared" si="98"/>
        <v>0</v>
      </c>
      <c r="D157" s="9"/>
      <c r="F157" s="86"/>
      <c r="G157" s="10"/>
      <c r="I157" s="86"/>
      <c r="J157" s="41"/>
      <c r="K157" s="9"/>
      <c r="L157" s="84"/>
      <c r="M157" s="213">
        <v>0</v>
      </c>
      <c r="N157" s="212">
        <v>0</v>
      </c>
      <c r="O157" s="84">
        <f t="shared" si="93"/>
        <v>0</v>
      </c>
      <c r="P157" s="41">
        <v>0</v>
      </c>
      <c r="Q157" s="212">
        <v>0</v>
      </c>
      <c r="R157" s="84">
        <f t="shared" si="94"/>
        <v>0</v>
      </c>
      <c r="S157" s="41">
        <f t="shared" ca="1" si="95"/>
        <v>0</v>
      </c>
      <c r="T157" s="9">
        <f t="shared" si="96"/>
        <v>0</v>
      </c>
      <c r="U157" s="84">
        <f t="shared" si="97"/>
        <v>0</v>
      </c>
    </row>
    <row r="158" spans="1:21" x14ac:dyDescent="0.25">
      <c r="A158" s="42" t="s">
        <v>174</v>
      </c>
      <c r="B158" s="117" t="s">
        <v>175</v>
      </c>
      <c r="C158" s="40">
        <f t="shared" si="98"/>
        <v>18</v>
      </c>
      <c r="D158" s="9"/>
      <c r="F158" s="86"/>
      <c r="G158" s="10"/>
      <c r="I158" s="86"/>
      <c r="J158" s="41"/>
      <c r="K158" s="9"/>
      <c r="L158" s="84"/>
      <c r="M158" s="213">
        <v>48</v>
      </c>
      <c r="N158" s="212">
        <v>64</v>
      </c>
      <c r="O158" s="84">
        <f t="shared" si="93"/>
        <v>2</v>
      </c>
      <c r="P158" s="41">
        <v>0</v>
      </c>
      <c r="Q158" s="212">
        <v>56</v>
      </c>
      <c r="R158" s="84">
        <f t="shared" si="94"/>
        <v>8</v>
      </c>
      <c r="S158" s="41">
        <f t="shared" ca="1" si="95"/>
        <v>48</v>
      </c>
      <c r="T158" s="9">
        <f t="shared" si="96"/>
        <v>56</v>
      </c>
      <c r="U158" s="84">
        <f t="shared" si="97"/>
        <v>10</v>
      </c>
    </row>
    <row r="159" spans="1:21" x14ac:dyDescent="0.25">
      <c r="A159" s="42" t="s">
        <v>176</v>
      </c>
      <c r="B159" s="117" t="s">
        <v>177</v>
      </c>
      <c r="C159" s="40">
        <f t="shared" si="98"/>
        <v>48</v>
      </c>
      <c r="D159" s="9"/>
      <c r="F159" s="86"/>
      <c r="G159" s="10"/>
      <c r="I159" s="86"/>
      <c r="J159" s="41"/>
      <c r="K159" s="9"/>
      <c r="L159" s="84"/>
      <c r="M159" s="213">
        <v>24</v>
      </c>
      <c r="N159" s="212">
        <v>24</v>
      </c>
      <c r="O159" s="84">
        <f t="shared" si="93"/>
        <v>48</v>
      </c>
      <c r="P159" s="41">
        <v>24</v>
      </c>
      <c r="Q159" s="212">
        <v>48</v>
      </c>
      <c r="R159" s="84">
        <f t="shared" si="94"/>
        <v>0</v>
      </c>
      <c r="S159" s="41">
        <f t="shared" ca="1" si="95"/>
        <v>48</v>
      </c>
      <c r="T159" s="9">
        <f t="shared" si="96"/>
        <v>48</v>
      </c>
      <c r="U159" s="84">
        <f t="shared" si="97"/>
        <v>48</v>
      </c>
    </row>
    <row r="160" spans="1:21" x14ac:dyDescent="0.25">
      <c r="A160" s="42" t="s">
        <v>178</v>
      </c>
      <c r="B160" s="117" t="s">
        <v>179</v>
      </c>
      <c r="C160" s="40">
        <f t="shared" si="98"/>
        <v>42</v>
      </c>
      <c r="D160" s="9"/>
      <c r="F160" s="86"/>
      <c r="G160" s="10"/>
      <c r="I160" s="86"/>
      <c r="J160" s="41"/>
      <c r="K160" s="9"/>
      <c r="L160" s="84"/>
      <c r="M160" s="213">
        <v>48</v>
      </c>
      <c r="N160" s="212">
        <v>75</v>
      </c>
      <c r="O160" s="84">
        <f t="shared" si="93"/>
        <v>15</v>
      </c>
      <c r="P160" s="41">
        <v>0</v>
      </c>
      <c r="Q160" s="212">
        <v>63</v>
      </c>
      <c r="R160" s="84">
        <f t="shared" si="94"/>
        <v>12</v>
      </c>
      <c r="S160" s="41">
        <f t="shared" ca="1" si="95"/>
        <v>48</v>
      </c>
      <c r="T160" s="9">
        <f t="shared" si="96"/>
        <v>63</v>
      </c>
      <c r="U160" s="84">
        <f t="shared" si="97"/>
        <v>27</v>
      </c>
    </row>
    <row r="161" spans="1:21" x14ac:dyDescent="0.25">
      <c r="A161" s="42" t="s">
        <v>178</v>
      </c>
      <c r="B161" s="117" t="s">
        <v>180</v>
      </c>
      <c r="C161" s="40">
        <f t="shared" si="98"/>
        <v>24</v>
      </c>
      <c r="D161" s="9"/>
      <c r="F161" s="86"/>
      <c r="G161" s="10"/>
      <c r="I161" s="86"/>
      <c r="J161" s="41"/>
      <c r="K161" s="9"/>
      <c r="L161" s="84"/>
      <c r="M161" s="213">
        <v>24</v>
      </c>
      <c r="N161" s="212">
        <v>27</v>
      </c>
      <c r="O161" s="84">
        <f t="shared" si="93"/>
        <v>21</v>
      </c>
      <c r="P161" s="41">
        <v>0</v>
      </c>
      <c r="Q161" s="212">
        <v>19</v>
      </c>
      <c r="R161" s="84">
        <f t="shared" si="94"/>
        <v>8</v>
      </c>
      <c r="S161" s="41">
        <f t="shared" ca="1" si="95"/>
        <v>24</v>
      </c>
      <c r="T161" s="9">
        <f t="shared" si="96"/>
        <v>19</v>
      </c>
      <c r="U161" s="84">
        <f t="shared" si="97"/>
        <v>29</v>
      </c>
    </row>
    <row r="162" spans="1:21" ht="15.75" thickBot="1" x14ac:dyDescent="0.3">
      <c r="A162" s="46"/>
      <c r="B162" s="51"/>
      <c r="C162" s="14"/>
      <c r="D162" s="77"/>
      <c r="E162" s="77"/>
      <c r="F162" s="77"/>
      <c r="G162" s="15"/>
      <c r="H162" s="77"/>
      <c r="I162" s="77"/>
      <c r="J162" s="15"/>
      <c r="K162" s="77"/>
      <c r="L162" s="79"/>
      <c r="M162" s="77"/>
      <c r="N162" s="77"/>
      <c r="O162" s="77"/>
      <c r="P162" s="15"/>
      <c r="Q162" s="77"/>
      <c r="R162" s="77"/>
      <c r="S162" s="15"/>
      <c r="T162" s="77"/>
      <c r="U162" s="79"/>
    </row>
  </sheetData>
  <mergeCells count="25">
    <mergeCell ref="D132:F132"/>
    <mergeCell ref="P132:R132"/>
    <mergeCell ref="M34:O34"/>
    <mergeCell ref="D34:F34"/>
    <mergeCell ref="G2:I2"/>
    <mergeCell ref="G98:I98"/>
    <mergeCell ref="M98:O98"/>
    <mergeCell ref="D65:F65"/>
    <mergeCell ref="G132:I132"/>
    <mergeCell ref="M132:O132"/>
    <mergeCell ref="J34:L34"/>
    <mergeCell ref="P34:R34"/>
    <mergeCell ref="M2:O2"/>
    <mergeCell ref="J132:L132"/>
    <mergeCell ref="M65:O65"/>
    <mergeCell ref="G34:I34"/>
    <mergeCell ref="P98:R98"/>
    <mergeCell ref="G65:I65"/>
    <mergeCell ref="D2:F2"/>
    <mergeCell ref="P65:R65"/>
    <mergeCell ref="P2:R2"/>
    <mergeCell ref="J98:L98"/>
    <mergeCell ref="J65:L65"/>
    <mergeCell ref="J2:L2"/>
    <mergeCell ref="D98:F98"/>
  </mergeCells>
  <conditionalFormatting sqref="C5:U134 C135:L161 O135:O161 R135:U161">
    <cfRule type="cellIs" dxfId="48" priority="1" operator="lessThan">
      <formula>0</formula>
    </cfRule>
  </conditionalFormatting>
  <conditionalFormatting sqref="Z1">
    <cfRule type="expression" dxfId="47" priority="2">
      <formula>COUNTIF($C$5:$U$161,"&lt;0")&gt;0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Y42"/>
  <sheetViews>
    <sheetView tabSelected="1" topLeftCell="A2" workbookViewId="0">
      <pane xSplit="3" topLeftCell="CQ1" activePane="topRight" state="frozen"/>
      <selection pane="topRight" activeCell="DA9" sqref="DA9"/>
    </sheetView>
  </sheetViews>
  <sheetFormatPr defaultColWidth="9.140625" defaultRowHeight="15" x14ac:dyDescent="0.25"/>
  <cols>
    <col min="1" max="1" width="18.28515625" customWidth="1"/>
    <col min="2" max="2" width="46.5703125" bestFit="1" customWidth="1"/>
    <col min="3" max="3" width="13.85546875" bestFit="1" customWidth="1"/>
    <col min="4" max="4" width="9.85546875" bestFit="1" customWidth="1"/>
    <col min="5" max="5" width="8.28515625" bestFit="1" customWidth="1"/>
    <col min="6" max="6" width="6.42578125" bestFit="1" customWidth="1"/>
    <col min="7" max="7" width="9.85546875" bestFit="1" customWidth="1"/>
    <col min="8" max="8" width="8.28515625" bestFit="1" customWidth="1"/>
    <col min="9" max="9" width="6.42578125" bestFit="1" customWidth="1"/>
    <col min="10" max="10" width="9.85546875" bestFit="1" customWidth="1"/>
    <col min="11" max="11" width="8.28515625" bestFit="1" customWidth="1"/>
    <col min="12" max="12" width="6.42578125" bestFit="1" customWidth="1"/>
    <col min="13" max="13" width="9.85546875" bestFit="1" customWidth="1"/>
    <col min="14" max="14" width="8.28515625" bestFit="1" customWidth="1"/>
    <col min="15" max="15" width="6.42578125" bestFit="1" customWidth="1"/>
    <col min="16" max="16" width="9.85546875" bestFit="1" customWidth="1"/>
    <col min="17" max="17" width="8.28515625" bestFit="1" customWidth="1"/>
    <col min="18" max="18" width="6.42578125" bestFit="1" customWidth="1"/>
    <col min="19" max="19" width="9.85546875" bestFit="1" customWidth="1"/>
    <col min="20" max="20" width="8.28515625" bestFit="1" customWidth="1"/>
    <col min="21" max="21" width="6.42578125" bestFit="1" customWidth="1"/>
    <col min="22" max="22" width="9.85546875" bestFit="1" customWidth="1"/>
    <col min="23" max="23" width="8.28515625" bestFit="1" customWidth="1"/>
    <col min="24" max="24" width="6.42578125" bestFit="1" customWidth="1"/>
    <col min="25" max="25" width="9.85546875" bestFit="1" customWidth="1"/>
    <col min="26" max="26" width="8.28515625" bestFit="1" customWidth="1"/>
    <col min="27" max="27" width="6.42578125" bestFit="1" customWidth="1"/>
    <col min="28" max="28" width="9.85546875" bestFit="1" customWidth="1"/>
    <col min="29" max="29" width="8.28515625" bestFit="1" customWidth="1"/>
    <col min="30" max="30" width="6.42578125" bestFit="1" customWidth="1"/>
    <col min="31" max="31" width="9.85546875" bestFit="1" customWidth="1"/>
    <col min="32" max="32" width="8.28515625" bestFit="1" customWidth="1"/>
    <col min="33" max="33" width="6.42578125" bestFit="1" customWidth="1"/>
    <col min="34" max="34" width="9.85546875" bestFit="1" customWidth="1"/>
    <col min="35" max="35" width="8.28515625" bestFit="1" customWidth="1"/>
    <col min="36" max="36" width="6.42578125" bestFit="1" customWidth="1"/>
    <col min="37" max="37" width="9.85546875" bestFit="1" customWidth="1"/>
    <col min="38" max="38" width="8.28515625" bestFit="1" customWidth="1"/>
    <col min="39" max="39" width="6.42578125" bestFit="1" customWidth="1"/>
    <col min="40" max="40" width="9.85546875" bestFit="1" customWidth="1"/>
    <col min="41" max="41" width="8.28515625" bestFit="1" customWidth="1"/>
    <col min="42" max="42" width="6.42578125" bestFit="1" customWidth="1"/>
    <col min="43" max="43" width="9.85546875" bestFit="1" customWidth="1"/>
    <col min="44" max="44" width="8.28515625" bestFit="1" customWidth="1"/>
    <col min="45" max="45" width="6.42578125" bestFit="1" customWidth="1"/>
    <col min="46" max="46" width="9.85546875" bestFit="1" customWidth="1"/>
    <col min="47" max="47" width="8.28515625" bestFit="1" customWidth="1"/>
    <col min="48" max="48" width="6.42578125" bestFit="1" customWidth="1"/>
    <col min="49" max="49" width="9.85546875" bestFit="1" customWidth="1"/>
    <col min="50" max="50" width="8.28515625" bestFit="1" customWidth="1"/>
    <col min="51" max="51" width="6.42578125" bestFit="1" customWidth="1"/>
    <col min="52" max="52" width="9.85546875" bestFit="1" customWidth="1"/>
    <col min="53" max="53" width="8.28515625" bestFit="1" customWidth="1"/>
    <col min="54" max="54" width="6.42578125" bestFit="1" customWidth="1"/>
    <col min="55" max="55" width="9.85546875" bestFit="1" customWidth="1"/>
    <col min="56" max="56" width="8.28515625" bestFit="1" customWidth="1"/>
    <col min="57" max="57" width="6.42578125" bestFit="1" customWidth="1"/>
    <col min="58" max="58" width="9.85546875" bestFit="1" customWidth="1"/>
    <col min="59" max="59" width="8.28515625" bestFit="1" customWidth="1"/>
    <col min="60" max="60" width="6.42578125" bestFit="1" customWidth="1"/>
    <col min="61" max="61" width="9.85546875" bestFit="1" customWidth="1"/>
    <col min="62" max="62" width="8.28515625" bestFit="1" customWidth="1"/>
    <col min="63" max="63" width="6.42578125" bestFit="1" customWidth="1"/>
    <col min="64" max="64" width="9.85546875" bestFit="1" customWidth="1"/>
    <col min="65" max="65" width="8.28515625" bestFit="1" customWidth="1"/>
    <col min="66" max="66" width="6.42578125" bestFit="1" customWidth="1"/>
    <col min="67" max="67" width="9.85546875" bestFit="1" customWidth="1"/>
    <col min="68" max="68" width="8.28515625" bestFit="1" customWidth="1"/>
    <col min="69" max="69" width="6.42578125" bestFit="1" customWidth="1"/>
    <col min="70" max="70" width="9.85546875" bestFit="1" customWidth="1"/>
    <col min="71" max="71" width="8.28515625" bestFit="1" customWidth="1"/>
    <col min="72" max="72" width="6.42578125" bestFit="1" customWidth="1"/>
    <col min="73" max="73" width="9.85546875" bestFit="1" customWidth="1"/>
    <col min="74" max="74" width="8.28515625" bestFit="1" customWidth="1"/>
    <col min="75" max="75" width="6.42578125" bestFit="1" customWidth="1"/>
    <col min="76" max="76" width="9.85546875" bestFit="1" customWidth="1"/>
    <col min="77" max="77" width="8.28515625" bestFit="1" customWidth="1"/>
    <col min="78" max="78" width="6.42578125" bestFit="1" customWidth="1"/>
    <col min="79" max="79" width="9.85546875" bestFit="1" customWidth="1"/>
    <col min="80" max="80" width="8.28515625" bestFit="1" customWidth="1"/>
    <col min="81" max="81" width="6.42578125" bestFit="1" customWidth="1"/>
    <col min="82" max="82" width="9.85546875" bestFit="1" customWidth="1"/>
    <col min="83" max="83" width="8.28515625" bestFit="1" customWidth="1"/>
    <col min="84" max="84" width="6.42578125" bestFit="1" customWidth="1"/>
    <col min="85" max="85" width="9.85546875" bestFit="1" customWidth="1"/>
    <col min="86" max="86" width="8.28515625" bestFit="1" customWidth="1"/>
    <col min="87" max="87" width="6.42578125" bestFit="1" customWidth="1"/>
    <col min="88" max="88" width="9.85546875" bestFit="1" customWidth="1"/>
    <col min="89" max="89" width="8.28515625" bestFit="1" customWidth="1"/>
    <col min="90" max="90" width="6.42578125" bestFit="1" customWidth="1"/>
    <col min="91" max="91" width="9.85546875" bestFit="1" customWidth="1"/>
    <col min="92" max="92" width="8.28515625" bestFit="1" customWidth="1"/>
    <col min="93" max="93" width="6.42578125" bestFit="1" customWidth="1"/>
    <col min="94" max="94" width="14.42578125" bestFit="1" customWidth="1"/>
    <col min="95" max="95" width="13.28515625" bestFit="1" customWidth="1"/>
    <col min="96" max="96" width="12.5703125" bestFit="1" customWidth="1"/>
    <col min="97" max="97" width="14" customWidth="1"/>
    <col min="98" max="98" width="15" customWidth="1"/>
    <col min="99" max="99" width="14" customWidth="1"/>
    <col min="100" max="100" width="26" customWidth="1"/>
    <col min="101" max="101" width="10" customWidth="1"/>
    <col min="102" max="102" width="16" customWidth="1"/>
    <col min="103" max="103" width="38" customWidth="1"/>
  </cols>
  <sheetData>
    <row r="1" spans="1:103" ht="24" thickBot="1" x14ac:dyDescent="0.4">
      <c r="A1" s="62" t="s">
        <v>209</v>
      </c>
      <c r="CQ1" s="61"/>
      <c r="CS1" s="401" t="s">
        <v>208</v>
      </c>
      <c r="CT1" s="402"/>
      <c r="CU1" s="402"/>
      <c r="CV1" s="143">
        <v>0</v>
      </c>
    </row>
    <row r="2" spans="1:103" ht="23.25" customHeight="1" thickBot="1" x14ac:dyDescent="0.3">
      <c r="D2" s="394">
        <v>46266</v>
      </c>
      <c r="E2" s="395"/>
      <c r="F2" s="395"/>
      <c r="G2" s="394">
        <v>46267</v>
      </c>
      <c r="H2" s="395"/>
      <c r="I2" s="395"/>
      <c r="J2" s="394">
        <v>46268</v>
      </c>
      <c r="K2" s="395"/>
      <c r="L2" s="395"/>
      <c r="M2" s="394">
        <v>46269</v>
      </c>
      <c r="N2" s="395"/>
      <c r="O2" s="395"/>
      <c r="P2" s="394">
        <v>46270</v>
      </c>
      <c r="Q2" s="395"/>
      <c r="R2" s="395"/>
      <c r="S2" s="394">
        <v>46271</v>
      </c>
      <c r="T2" s="395"/>
      <c r="U2" s="395"/>
      <c r="V2" s="394">
        <v>46272</v>
      </c>
      <c r="W2" s="395"/>
      <c r="X2" s="395"/>
      <c r="Y2" s="394">
        <v>46273</v>
      </c>
      <c r="Z2" s="395"/>
      <c r="AA2" s="395"/>
      <c r="AB2" s="394">
        <v>46274</v>
      </c>
      <c r="AC2" s="395"/>
      <c r="AD2" s="395"/>
      <c r="AE2" s="394">
        <v>46275</v>
      </c>
      <c r="AF2" s="395"/>
      <c r="AG2" s="395"/>
      <c r="AH2" s="394">
        <v>46276</v>
      </c>
      <c r="AI2" s="395"/>
      <c r="AJ2" s="395"/>
      <c r="AK2" s="394">
        <v>46277</v>
      </c>
      <c r="AL2" s="395"/>
      <c r="AM2" s="395"/>
      <c r="AN2" s="394">
        <v>46278</v>
      </c>
      <c r="AO2" s="395"/>
      <c r="AP2" s="395"/>
      <c r="AQ2" s="394">
        <v>46279</v>
      </c>
      <c r="AR2" s="395"/>
      <c r="AS2" s="395"/>
      <c r="AT2" s="394">
        <v>46280</v>
      </c>
      <c r="AU2" s="395"/>
      <c r="AV2" s="395"/>
      <c r="AW2" s="394">
        <v>46281</v>
      </c>
      <c r="AX2" s="395"/>
      <c r="AY2" s="395"/>
      <c r="AZ2" s="394">
        <v>46282</v>
      </c>
      <c r="BA2" s="395"/>
      <c r="BB2" s="395"/>
      <c r="BC2" s="394">
        <v>46283</v>
      </c>
      <c r="BD2" s="395"/>
      <c r="BE2" s="395"/>
      <c r="BF2" s="394">
        <v>46284</v>
      </c>
      <c r="BG2" s="395"/>
      <c r="BH2" s="395"/>
      <c r="BI2" s="394">
        <v>46285</v>
      </c>
      <c r="BJ2" s="395"/>
      <c r="BK2" s="395"/>
      <c r="BL2" s="394">
        <v>46286</v>
      </c>
      <c r="BM2" s="395"/>
      <c r="BN2" s="395"/>
      <c r="BO2" s="394">
        <v>46287</v>
      </c>
      <c r="BP2" s="395"/>
      <c r="BQ2" s="395"/>
      <c r="BR2" s="394">
        <v>46288</v>
      </c>
      <c r="BS2" s="395"/>
      <c r="BT2" s="395"/>
      <c r="BU2" s="394">
        <v>46289</v>
      </c>
      <c r="BV2" s="395"/>
      <c r="BW2" s="395"/>
      <c r="BX2" s="394">
        <v>46290</v>
      </c>
      <c r="BY2" s="395"/>
      <c r="BZ2" s="395"/>
      <c r="CA2" s="394">
        <v>46291</v>
      </c>
      <c r="CB2" s="395"/>
      <c r="CC2" s="395"/>
      <c r="CD2" s="394">
        <v>46292</v>
      </c>
      <c r="CE2" s="395"/>
      <c r="CF2" s="395"/>
      <c r="CG2" s="394">
        <v>46293</v>
      </c>
      <c r="CH2" s="395"/>
      <c r="CI2" s="395"/>
      <c r="CJ2" s="394">
        <v>46294</v>
      </c>
      <c r="CK2" s="395"/>
      <c r="CL2" s="395"/>
      <c r="CM2" s="394">
        <v>46295</v>
      </c>
      <c r="CN2" s="395"/>
      <c r="CO2" s="395"/>
      <c r="CP2" s="398" t="s">
        <v>210</v>
      </c>
      <c r="CQ2" s="399"/>
      <c r="CR2" s="400"/>
      <c r="CS2" s="396" t="s">
        <v>211</v>
      </c>
      <c r="CT2" s="403"/>
      <c r="CU2" s="403"/>
      <c r="CV2" s="397"/>
      <c r="CX2" s="396" t="s">
        <v>380</v>
      </c>
      <c r="CY2" s="397"/>
    </row>
    <row r="3" spans="1:103" ht="45" customHeight="1" thickBot="1" x14ac:dyDescent="0.3">
      <c r="A3" s="276" t="s">
        <v>126</v>
      </c>
      <c r="B3" s="277" t="s">
        <v>311</v>
      </c>
      <c r="C3" s="278" t="s">
        <v>212</v>
      </c>
      <c r="D3" s="279" t="s">
        <v>213</v>
      </c>
      <c r="E3" s="279" t="s">
        <v>214</v>
      </c>
      <c r="F3" s="280" t="s">
        <v>74</v>
      </c>
      <c r="G3" s="279" t="s">
        <v>213</v>
      </c>
      <c r="H3" s="279" t="s">
        <v>214</v>
      </c>
      <c r="I3" s="279" t="s">
        <v>74</v>
      </c>
      <c r="J3" s="281" t="s">
        <v>213</v>
      </c>
      <c r="K3" s="279" t="s">
        <v>214</v>
      </c>
      <c r="L3" s="280" t="s">
        <v>74</v>
      </c>
      <c r="M3" s="279" t="s">
        <v>213</v>
      </c>
      <c r="N3" s="279" t="s">
        <v>214</v>
      </c>
      <c r="O3" s="279" t="s">
        <v>74</v>
      </c>
      <c r="P3" s="281" t="s">
        <v>213</v>
      </c>
      <c r="Q3" s="279" t="s">
        <v>214</v>
      </c>
      <c r="R3" s="280" t="s">
        <v>74</v>
      </c>
      <c r="S3" s="281" t="s">
        <v>213</v>
      </c>
      <c r="T3" s="279" t="s">
        <v>214</v>
      </c>
      <c r="U3" s="279" t="s">
        <v>74</v>
      </c>
      <c r="V3" s="281" t="s">
        <v>213</v>
      </c>
      <c r="W3" s="279" t="s">
        <v>214</v>
      </c>
      <c r="X3" s="280" t="s">
        <v>74</v>
      </c>
      <c r="Y3" s="279" t="s">
        <v>213</v>
      </c>
      <c r="Z3" s="279" t="s">
        <v>214</v>
      </c>
      <c r="AA3" s="279" t="s">
        <v>74</v>
      </c>
      <c r="AB3" s="281" t="s">
        <v>213</v>
      </c>
      <c r="AC3" s="279" t="s">
        <v>214</v>
      </c>
      <c r="AD3" s="280" t="s">
        <v>74</v>
      </c>
      <c r="AE3" s="279" t="s">
        <v>213</v>
      </c>
      <c r="AF3" s="279" t="s">
        <v>214</v>
      </c>
      <c r="AG3" s="279" t="s">
        <v>74</v>
      </c>
      <c r="AH3" s="281" t="s">
        <v>213</v>
      </c>
      <c r="AI3" s="279" t="s">
        <v>214</v>
      </c>
      <c r="AJ3" s="280" t="s">
        <v>74</v>
      </c>
      <c r="AK3" s="279" t="s">
        <v>213</v>
      </c>
      <c r="AL3" s="279" t="s">
        <v>214</v>
      </c>
      <c r="AM3" s="279" t="s">
        <v>74</v>
      </c>
      <c r="AN3" s="281" t="s">
        <v>213</v>
      </c>
      <c r="AO3" s="279" t="s">
        <v>214</v>
      </c>
      <c r="AP3" s="279" t="s">
        <v>74</v>
      </c>
      <c r="AQ3" s="281" t="s">
        <v>213</v>
      </c>
      <c r="AR3" s="279" t="s">
        <v>214</v>
      </c>
      <c r="AS3" s="280" t="s">
        <v>74</v>
      </c>
      <c r="AT3" s="279" t="s">
        <v>213</v>
      </c>
      <c r="AU3" s="279" t="s">
        <v>214</v>
      </c>
      <c r="AV3" s="279" t="s">
        <v>74</v>
      </c>
      <c r="AW3" s="281" t="s">
        <v>213</v>
      </c>
      <c r="AX3" s="279" t="s">
        <v>214</v>
      </c>
      <c r="AY3" s="280" t="s">
        <v>74</v>
      </c>
      <c r="AZ3" s="279" t="s">
        <v>213</v>
      </c>
      <c r="BA3" s="279" t="s">
        <v>214</v>
      </c>
      <c r="BB3" s="279" t="s">
        <v>74</v>
      </c>
      <c r="BC3" s="282" t="s">
        <v>213</v>
      </c>
      <c r="BD3" s="279" t="s">
        <v>214</v>
      </c>
      <c r="BE3" s="280" t="s">
        <v>74</v>
      </c>
      <c r="BF3" s="279" t="s">
        <v>213</v>
      </c>
      <c r="BG3" s="279" t="s">
        <v>214</v>
      </c>
      <c r="BH3" s="279" t="s">
        <v>74</v>
      </c>
      <c r="BI3" s="281" t="s">
        <v>213</v>
      </c>
      <c r="BJ3" s="279" t="s">
        <v>214</v>
      </c>
      <c r="BK3" s="280" t="s">
        <v>74</v>
      </c>
      <c r="BL3" s="279" t="s">
        <v>213</v>
      </c>
      <c r="BM3" s="279" t="s">
        <v>214</v>
      </c>
      <c r="BN3" s="279" t="s">
        <v>74</v>
      </c>
      <c r="BO3" s="281" t="s">
        <v>213</v>
      </c>
      <c r="BP3" s="279" t="s">
        <v>214</v>
      </c>
      <c r="BQ3" s="280" t="s">
        <v>74</v>
      </c>
      <c r="BR3" s="279" t="s">
        <v>213</v>
      </c>
      <c r="BS3" s="279" t="s">
        <v>214</v>
      </c>
      <c r="BT3" s="279" t="s">
        <v>74</v>
      </c>
      <c r="BU3" s="281" t="s">
        <v>213</v>
      </c>
      <c r="BV3" s="279" t="s">
        <v>214</v>
      </c>
      <c r="BW3" s="280" t="s">
        <v>74</v>
      </c>
      <c r="BX3" s="279" t="s">
        <v>213</v>
      </c>
      <c r="BY3" s="279" t="s">
        <v>214</v>
      </c>
      <c r="BZ3" s="279" t="s">
        <v>74</v>
      </c>
      <c r="CA3" s="281" t="s">
        <v>213</v>
      </c>
      <c r="CB3" s="279" t="s">
        <v>214</v>
      </c>
      <c r="CC3" s="280" t="s">
        <v>74</v>
      </c>
      <c r="CD3" s="279" t="s">
        <v>213</v>
      </c>
      <c r="CE3" s="279" t="s">
        <v>214</v>
      </c>
      <c r="CF3" s="279" t="s">
        <v>74</v>
      </c>
      <c r="CG3" s="281" t="s">
        <v>213</v>
      </c>
      <c r="CH3" s="279" t="s">
        <v>214</v>
      </c>
      <c r="CI3" s="279" t="s">
        <v>74</v>
      </c>
      <c r="CJ3" s="283" t="s">
        <v>213</v>
      </c>
      <c r="CK3" s="284" t="s">
        <v>214</v>
      </c>
      <c r="CL3" s="285" t="s">
        <v>74</v>
      </c>
      <c r="CM3" s="279" t="s">
        <v>213</v>
      </c>
      <c r="CN3" s="279" t="s">
        <v>214</v>
      </c>
      <c r="CO3" s="280" t="s">
        <v>74</v>
      </c>
      <c r="CP3" s="281" t="s">
        <v>215</v>
      </c>
      <c r="CQ3" s="282" t="s">
        <v>216</v>
      </c>
      <c r="CR3" s="279" t="s">
        <v>189</v>
      </c>
      <c r="CS3" s="273" t="s">
        <v>217</v>
      </c>
      <c r="CT3" s="274" t="s">
        <v>218</v>
      </c>
      <c r="CU3" s="274" t="s">
        <v>219</v>
      </c>
      <c r="CV3" s="275" t="s">
        <v>220</v>
      </c>
      <c r="CW3" s="144" t="s">
        <v>221</v>
      </c>
      <c r="CX3" s="273" t="s">
        <v>381</v>
      </c>
      <c r="CY3" s="275" t="s">
        <v>382</v>
      </c>
    </row>
    <row r="4" spans="1:103" x14ac:dyDescent="0.25">
      <c r="A4" s="248" t="s">
        <v>141</v>
      </c>
      <c r="B4" s="254" t="s">
        <v>142</v>
      </c>
      <c r="C4" s="249">
        <f>'[1]Storehouse Replenishment Schedu'!CU4</f>
        <v>48</v>
      </c>
      <c r="D4" s="245">
        <v>0</v>
      </c>
      <c r="E4" s="18">
        <v>0</v>
      </c>
      <c r="F4" s="18"/>
      <c r="G4" s="71">
        <v>0</v>
      </c>
      <c r="H4" s="18">
        <v>0</v>
      </c>
      <c r="I4" s="18"/>
      <c r="J4" s="17">
        <v>36</v>
      </c>
      <c r="K4" s="18">
        <v>0</v>
      </c>
      <c r="L4" s="18"/>
      <c r="M4" s="17">
        <v>0</v>
      </c>
      <c r="N4" s="18">
        <v>0</v>
      </c>
      <c r="O4" s="18"/>
      <c r="P4" s="96"/>
      <c r="Q4" s="97"/>
      <c r="R4" s="97"/>
      <c r="S4" s="17">
        <v>0</v>
      </c>
      <c r="T4" s="18">
        <v>0</v>
      </c>
      <c r="U4" s="18"/>
      <c r="V4" s="72">
        <v>0</v>
      </c>
      <c r="W4" s="18">
        <v>0</v>
      </c>
      <c r="X4" s="18"/>
      <c r="Y4" s="17">
        <v>36</v>
      </c>
      <c r="Z4" s="18">
        <v>60</v>
      </c>
      <c r="AA4" s="18"/>
      <c r="AB4" s="17">
        <v>0</v>
      </c>
      <c r="AC4" s="18">
        <v>0</v>
      </c>
      <c r="AD4" s="18"/>
      <c r="AE4" s="17">
        <v>0</v>
      </c>
      <c r="AF4" s="18">
        <v>0</v>
      </c>
      <c r="AG4" s="18"/>
      <c r="AH4" s="17">
        <v>0</v>
      </c>
      <c r="AI4" s="18">
        <v>0</v>
      </c>
      <c r="AJ4" s="18"/>
      <c r="AK4" s="96"/>
      <c r="AL4" s="97"/>
      <c r="AM4" s="97"/>
      <c r="AN4" s="103"/>
      <c r="AO4" s="104"/>
      <c r="AP4" s="104"/>
      <c r="AQ4" s="17">
        <v>0</v>
      </c>
      <c r="AR4" s="18">
        <v>0</v>
      </c>
      <c r="AS4" s="18"/>
      <c r="AT4" s="17">
        <v>36</v>
      </c>
      <c r="AU4" s="18">
        <v>60</v>
      </c>
      <c r="AV4" s="18"/>
      <c r="AW4" s="17">
        <v>0</v>
      </c>
      <c r="AX4" s="18"/>
      <c r="AY4" s="18"/>
      <c r="AZ4" s="17">
        <v>0</v>
      </c>
      <c r="BA4" s="18"/>
      <c r="BB4" s="18"/>
      <c r="BC4" s="38">
        <v>0</v>
      </c>
      <c r="BD4" s="18">
        <v>0</v>
      </c>
      <c r="BE4" s="18"/>
      <c r="BF4" s="96"/>
      <c r="BG4" s="97"/>
      <c r="BH4" s="97"/>
      <c r="BI4" s="96"/>
      <c r="BJ4" s="97"/>
      <c r="BK4" s="97"/>
      <c r="BL4" s="17">
        <v>36</v>
      </c>
      <c r="BM4" s="18">
        <v>0</v>
      </c>
      <c r="BN4" s="18"/>
      <c r="BO4" s="17">
        <v>0</v>
      </c>
      <c r="BP4" s="18">
        <v>0</v>
      </c>
      <c r="BQ4" s="18"/>
      <c r="BR4" s="71">
        <v>24</v>
      </c>
      <c r="BS4" s="18">
        <v>0</v>
      </c>
      <c r="BT4" s="18"/>
      <c r="BU4" s="17">
        <v>0</v>
      </c>
      <c r="BV4" s="18">
        <v>0</v>
      </c>
      <c r="BW4" s="18"/>
      <c r="BX4" s="17">
        <v>0</v>
      </c>
      <c r="BY4" s="18">
        <v>0</v>
      </c>
      <c r="BZ4" s="18"/>
      <c r="CA4" s="96"/>
      <c r="CB4" s="97"/>
      <c r="CC4" s="97"/>
      <c r="CD4" s="96"/>
      <c r="CE4" s="97"/>
      <c r="CF4" s="97"/>
      <c r="CG4" s="63">
        <v>24</v>
      </c>
      <c r="CH4" s="49">
        <v>72</v>
      </c>
      <c r="CI4" s="18"/>
      <c r="CJ4" s="235">
        <v>0</v>
      </c>
      <c r="CK4" s="236">
        <v>0</v>
      </c>
      <c r="CL4" s="236"/>
      <c r="CM4" s="237">
        <v>0</v>
      </c>
      <c r="CN4" s="236">
        <v>0</v>
      </c>
      <c r="CO4" s="238"/>
      <c r="CP4" s="49">
        <f>SUMIF($D$3:$CO$3,"Stock Out ",D4:CO4)</f>
        <v>192</v>
      </c>
      <c r="CQ4" s="18">
        <f t="shared" ref="CQ4:CQ14" si="0">SUMIF($D$3:$CO$3,"Stock In ",D4:CO4)</f>
        <v>192</v>
      </c>
      <c r="CR4" s="258">
        <f t="shared" ref="CR4:CR14" si="1">C4-CP4+CQ4</f>
        <v>48</v>
      </c>
      <c r="CS4" s="269">
        <v>48</v>
      </c>
      <c r="CT4" s="270">
        <f t="shared" ref="CT4:CT14" si="2">IF(CS4="","",CS4-CR4)</f>
        <v>0</v>
      </c>
      <c r="CU4" s="271" t="str">
        <f t="shared" ref="CU4:CU14" si="3">IF(CS4="","NOT COUNTED",IF(ABS(CT4)&lt;=$CV$1,"TALLY","MISMATCH"))</f>
        <v>TALLY</v>
      </c>
      <c r="CV4" s="272"/>
      <c r="CW4" s="146" t="str">
        <f>IF(CU4="MISMATCH",COUNTIF($CU$4:CU4,"MISMATCH"),"")</f>
        <v/>
      </c>
      <c r="CX4" s="269"/>
      <c r="CY4" s="272"/>
    </row>
    <row r="5" spans="1:103" x14ac:dyDescent="0.25">
      <c r="A5" s="250" t="s">
        <v>141</v>
      </c>
      <c r="B5" s="255" t="s">
        <v>143</v>
      </c>
      <c r="C5" s="249">
        <f>'[1]Storehouse Replenishment Schedu'!CU5</f>
        <v>20</v>
      </c>
      <c r="D5" s="246">
        <v>0</v>
      </c>
      <c r="E5">
        <v>0</v>
      </c>
      <c r="G5" s="73">
        <v>0</v>
      </c>
      <c r="H5">
        <v>0</v>
      </c>
      <c r="J5" s="10">
        <v>0</v>
      </c>
      <c r="K5">
        <v>0</v>
      </c>
      <c r="M5" s="10">
        <v>0</v>
      </c>
      <c r="N5">
        <v>0</v>
      </c>
      <c r="P5" s="98"/>
      <c r="Q5" s="22"/>
      <c r="R5" s="22"/>
      <c r="S5" s="10">
        <v>0</v>
      </c>
      <c r="T5">
        <v>0</v>
      </c>
      <c r="V5" s="74">
        <v>0</v>
      </c>
      <c r="W5">
        <v>0</v>
      </c>
      <c r="Y5" s="10">
        <v>0</v>
      </c>
      <c r="Z5">
        <v>0</v>
      </c>
      <c r="AB5" s="10">
        <v>10</v>
      </c>
      <c r="AC5">
        <v>0</v>
      </c>
      <c r="AE5" s="10">
        <v>0</v>
      </c>
      <c r="AF5">
        <v>0</v>
      </c>
      <c r="AH5" s="73">
        <v>0</v>
      </c>
      <c r="AI5">
        <v>0</v>
      </c>
      <c r="AK5" s="99"/>
      <c r="AL5" s="22"/>
      <c r="AM5" s="22"/>
      <c r="AN5" s="105"/>
      <c r="AO5" s="22"/>
      <c r="AP5" s="106"/>
      <c r="AQ5" s="10">
        <v>0</v>
      </c>
      <c r="AR5">
        <v>0</v>
      </c>
      <c r="AT5" s="10">
        <v>10</v>
      </c>
      <c r="AU5">
        <v>0</v>
      </c>
      <c r="AW5" s="10">
        <v>0</v>
      </c>
      <c r="AZ5" s="10">
        <v>0</v>
      </c>
      <c r="BC5" s="73">
        <v>0</v>
      </c>
      <c r="BD5">
        <v>0</v>
      </c>
      <c r="BF5" s="105"/>
      <c r="BG5" s="22"/>
      <c r="BH5" s="22"/>
      <c r="BI5" s="99"/>
      <c r="BJ5" s="22"/>
      <c r="BK5" s="22"/>
      <c r="BL5" s="73">
        <v>0</v>
      </c>
      <c r="BM5">
        <v>0</v>
      </c>
      <c r="BO5" s="10">
        <v>0</v>
      </c>
      <c r="BP5">
        <v>0</v>
      </c>
      <c r="BR5" s="73">
        <v>0</v>
      </c>
      <c r="BS5">
        <v>0</v>
      </c>
      <c r="BU5" s="10">
        <v>0</v>
      </c>
      <c r="BV5">
        <v>0</v>
      </c>
      <c r="BX5" s="10">
        <v>0</v>
      </c>
      <c r="BY5">
        <v>0</v>
      </c>
      <c r="CA5" s="99"/>
      <c r="CB5" s="22"/>
      <c r="CC5" s="22"/>
      <c r="CD5" s="99"/>
      <c r="CE5" s="22"/>
      <c r="CF5" s="22"/>
      <c r="CG5" s="75">
        <v>0</v>
      </c>
      <c r="CH5" s="6">
        <v>0</v>
      </c>
      <c r="CJ5" s="239">
        <v>0</v>
      </c>
      <c r="CK5" s="211">
        <v>0</v>
      </c>
      <c r="CL5" s="211"/>
      <c r="CM5" s="41">
        <v>0</v>
      </c>
      <c r="CN5" s="211">
        <v>0</v>
      </c>
      <c r="CO5" s="240"/>
      <c r="CP5" s="234">
        <f t="shared" ref="CP5:CP14" si="4">SUMIF($D$3:$CO$3,"Stock Out ",D5:CO5)</f>
        <v>20</v>
      </c>
      <c r="CQ5">
        <f t="shared" si="0"/>
        <v>0</v>
      </c>
      <c r="CR5" s="259">
        <f t="shared" si="1"/>
        <v>0</v>
      </c>
      <c r="CS5" s="261">
        <v>0</v>
      </c>
      <c r="CT5" s="262">
        <f t="shared" si="2"/>
        <v>0</v>
      </c>
      <c r="CU5" s="263" t="str">
        <f t="shared" si="3"/>
        <v>TALLY</v>
      </c>
      <c r="CV5" s="264"/>
      <c r="CW5" s="146" t="str">
        <f>IF(CU5="MISMATCH",COUNTIF($CU$4:CU5,"MISMATCH"),"")</f>
        <v/>
      </c>
      <c r="CX5" s="261"/>
      <c r="CY5" s="264"/>
    </row>
    <row r="6" spans="1:103" x14ac:dyDescent="0.25">
      <c r="A6" s="250" t="s">
        <v>141</v>
      </c>
      <c r="B6" s="255" t="s">
        <v>144</v>
      </c>
      <c r="C6" s="249">
        <f>'[1]Storehouse Replenishment Schedu'!CU6</f>
        <v>0</v>
      </c>
      <c r="D6" s="246">
        <v>0</v>
      </c>
      <c r="E6">
        <v>0</v>
      </c>
      <c r="G6" s="73">
        <v>0</v>
      </c>
      <c r="H6">
        <v>0</v>
      </c>
      <c r="J6" s="10">
        <v>0</v>
      </c>
      <c r="K6">
        <v>0</v>
      </c>
      <c r="M6" s="10">
        <v>0</v>
      </c>
      <c r="N6">
        <v>0</v>
      </c>
      <c r="P6" s="98"/>
      <c r="Q6" s="22"/>
      <c r="R6" s="22"/>
      <c r="S6" s="10">
        <v>0</v>
      </c>
      <c r="T6">
        <v>0</v>
      </c>
      <c r="V6" s="74">
        <v>0</v>
      </c>
      <c r="W6">
        <v>0</v>
      </c>
      <c r="Y6" s="10">
        <v>0</v>
      </c>
      <c r="Z6">
        <v>0</v>
      </c>
      <c r="AB6" s="10">
        <v>0</v>
      </c>
      <c r="AC6">
        <v>0</v>
      </c>
      <c r="AE6" s="10">
        <v>0</v>
      </c>
      <c r="AF6">
        <v>0</v>
      </c>
      <c r="AH6" s="73">
        <v>0</v>
      </c>
      <c r="AI6">
        <v>0</v>
      </c>
      <c r="AK6" s="99"/>
      <c r="AL6" s="22"/>
      <c r="AM6" s="22"/>
      <c r="AN6" s="105"/>
      <c r="AO6" s="22"/>
      <c r="AP6" s="106"/>
      <c r="AQ6" s="10">
        <v>0</v>
      </c>
      <c r="AR6">
        <v>0</v>
      </c>
      <c r="AT6" s="10">
        <v>0</v>
      </c>
      <c r="AU6">
        <v>80</v>
      </c>
      <c r="AW6" s="10">
        <v>0</v>
      </c>
      <c r="AZ6" s="10">
        <v>40</v>
      </c>
      <c r="BC6" s="73">
        <v>0</v>
      </c>
      <c r="BD6">
        <v>0</v>
      </c>
      <c r="BF6" s="105"/>
      <c r="BG6" s="22"/>
      <c r="BH6" s="22"/>
      <c r="BI6" s="99"/>
      <c r="BJ6" s="22"/>
      <c r="BK6" s="22"/>
      <c r="BL6" s="73">
        <v>24</v>
      </c>
      <c r="BM6">
        <v>0</v>
      </c>
      <c r="BO6" s="10">
        <v>0</v>
      </c>
      <c r="BP6">
        <v>0</v>
      </c>
      <c r="BR6" s="73">
        <v>16</v>
      </c>
      <c r="BS6">
        <v>0</v>
      </c>
      <c r="BU6" s="10">
        <v>0</v>
      </c>
      <c r="BV6">
        <v>0</v>
      </c>
      <c r="BX6" s="10">
        <v>0</v>
      </c>
      <c r="BY6">
        <v>0</v>
      </c>
      <c r="CA6" s="99"/>
      <c r="CB6" s="22"/>
      <c r="CC6" s="22"/>
      <c r="CD6" s="99"/>
      <c r="CE6" s="22"/>
      <c r="CF6" s="22"/>
      <c r="CG6" s="75">
        <v>40</v>
      </c>
      <c r="CH6" s="6">
        <v>80</v>
      </c>
      <c r="CJ6" s="239">
        <v>0</v>
      </c>
      <c r="CK6" s="211">
        <v>0</v>
      </c>
      <c r="CL6" s="211"/>
      <c r="CM6" s="41">
        <v>0</v>
      </c>
      <c r="CN6" s="211">
        <v>0</v>
      </c>
      <c r="CO6" s="240"/>
      <c r="CP6" s="234">
        <f t="shared" si="4"/>
        <v>120</v>
      </c>
      <c r="CQ6">
        <f t="shared" si="0"/>
        <v>160</v>
      </c>
      <c r="CR6" s="259">
        <f t="shared" si="1"/>
        <v>40</v>
      </c>
      <c r="CS6" s="261">
        <v>40</v>
      </c>
      <c r="CT6" s="262">
        <f t="shared" si="2"/>
        <v>0</v>
      </c>
      <c r="CU6" s="263" t="str">
        <f t="shared" si="3"/>
        <v>TALLY</v>
      </c>
      <c r="CV6" s="264"/>
      <c r="CW6" s="146" t="str">
        <f>IF(CU6="MISMATCH",COUNTIF($CU$4:CU6,"MISMATCH"),"")</f>
        <v/>
      </c>
      <c r="CX6" s="261"/>
      <c r="CY6" s="264"/>
    </row>
    <row r="7" spans="1:103" x14ac:dyDescent="0.25">
      <c r="A7" s="250" t="s">
        <v>141</v>
      </c>
      <c r="B7" s="255" t="s">
        <v>145</v>
      </c>
      <c r="C7" s="249">
        <f>'[1]Storehouse Replenishment Schedu'!CU7</f>
        <v>0</v>
      </c>
      <c r="D7" s="246">
        <v>0</v>
      </c>
      <c r="E7">
        <v>0</v>
      </c>
      <c r="G7" s="73">
        <v>0</v>
      </c>
      <c r="H7">
        <v>0</v>
      </c>
      <c r="J7" s="10">
        <v>0</v>
      </c>
      <c r="K7">
        <v>0</v>
      </c>
      <c r="M7" s="10">
        <v>0</v>
      </c>
      <c r="N7">
        <v>0</v>
      </c>
      <c r="P7" s="98"/>
      <c r="Q7" s="22"/>
      <c r="R7" s="22"/>
      <c r="S7" s="10">
        <v>0</v>
      </c>
      <c r="T7">
        <v>60</v>
      </c>
      <c r="V7" s="74">
        <v>0</v>
      </c>
      <c r="W7">
        <v>0</v>
      </c>
      <c r="Y7" s="10">
        <v>36</v>
      </c>
      <c r="Z7">
        <v>0</v>
      </c>
      <c r="AB7" s="10">
        <v>0</v>
      </c>
      <c r="AC7">
        <v>0</v>
      </c>
      <c r="AE7" s="10">
        <v>0</v>
      </c>
      <c r="AF7">
        <v>0</v>
      </c>
      <c r="AH7" s="73">
        <v>0</v>
      </c>
      <c r="AI7">
        <v>0</v>
      </c>
      <c r="AK7" s="99"/>
      <c r="AL7" s="22"/>
      <c r="AM7" s="22"/>
      <c r="AN7" s="105"/>
      <c r="AO7" s="22"/>
      <c r="AP7" s="106"/>
      <c r="AQ7" s="10">
        <v>0</v>
      </c>
      <c r="AR7">
        <v>0</v>
      </c>
      <c r="AT7" s="10">
        <v>24</v>
      </c>
      <c r="AU7">
        <v>0</v>
      </c>
      <c r="AW7" s="10">
        <v>0</v>
      </c>
      <c r="AZ7" s="10">
        <v>0</v>
      </c>
      <c r="BC7" s="73">
        <v>0</v>
      </c>
      <c r="BD7">
        <v>0</v>
      </c>
      <c r="BF7" s="105"/>
      <c r="BG7" s="22"/>
      <c r="BH7" s="22"/>
      <c r="BI7" s="99"/>
      <c r="BJ7" s="22"/>
      <c r="BK7" s="22"/>
      <c r="BL7" s="73">
        <v>0</v>
      </c>
      <c r="BM7">
        <v>0</v>
      </c>
      <c r="BO7" s="10">
        <v>0</v>
      </c>
      <c r="BP7">
        <v>0</v>
      </c>
      <c r="BR7" s="73">
        <v>0</v>
      </c>
      <c r="BS7">
        <v>0</v>
      </c>
      <c r="BU7" s="10">
        <v>0</v>
      </c>
      <c r="BV7">
        <v>0</v>
      </c>
      <c r="BX7" s="10">
        <v>0</v>
      </c>
      <c r="BY7">
        <v>0</v>
      </c>
      <c r="CA7" s="99"/>
      <c r="CB7" s="22"/>
      <c r="CC7" s="22"/>
      <c r="CD7" s="99"/>
      <c r="CE7" s="22"/>
      <c r="CF7" s="22"/>
      <c r="CG7" s="75">
        <v>36</v>
      </c>
      <c r="CH7" s="6">
        <v>72</v>
      </c>
      <c r="CJ7" s="239">
        <v>0</v>
      </c>
      <c r="CK7" s="211">
        <v>0</v>
      </c>
      <c r="CL7" s="211"/>
      <c r="CM7" s="41">
        <v>0</v>
      </c>
      <c r="CN7" s="211">
        <v>0</v>
      </c>
      <c r="CO7" s="240"/>
      <c r="CP7" s="234">
        <f t="shared" si="4"/>
        <v>96</v>
      </c>
      <c r="CQ7">
        <f t="shared" si="0"/>
        <v>132</v>
      </c>
      <c r="CR7" s="259">
        <f t="shared" si="1"/>
        <v>36</v>
      </c>
      <c r="CS7" s="261">
        <v>36</v>
      </c>
      <c r="CT7" s="262">
        <f t="shared" si="2"/>
        <v>0</v>
      </c>
      <c r="CU7" s="263" t="str">
        <f t="shared" si="3"/>
        <v>TALLY</v>
      </c>
      <c r="CV7" s="264"/>
      <c r="CW7" s="146" t="str">
        <f>IF(CU7="MISMATCH",COUNTIF($CU$4:CU7,"MISMATCH"),"")</f>
        <v/>
      </c>
      <c r="CX7" s="261"/>
      <c r="CY7" s="264"/>
    </row>
    <row r="8" spans="1:103" x14ac:dyDescent="0.25">
      <c r="A8" s="248" t="s">
        <v>146</v>
      </c>
      <c r="B8" s="256" t="s">
        <v>147</v>
      </c>
      <c r="C8" s="249">
        <f>'[1]Storehouse Replenishment Schedu'!CU8</f>
        <v>0</v>
      </c>
      <c r="D8" s="246">
        <v>0</v>
      </c>
      <c r="E8">
        <v>0</v>
      </c>
      <c r="G8" s="73">
        <v>0</v>
      </c>
      <c r="H8">
        <v>0</v>
      </c>
      <c r="J8" s="10">
        <v>0</v>
      </c>
      <c r="K8">
        <v>0</v>
      </c>
      <c r="M8" s="10">
        <v>0</v>
      </c>
      <c r="N8">
        <v>0</v>
      </c>
      <c r="P8" s="98"/>
      <c r="Q8" s="22"/>
      <c r="R8" s="22"/>
      <c r="S8" s="10">
        <v>0</v>
      </c>
      <c r="T8">
        <v>0</v>
      </c>
      <c r="V8" s="74">
        <v>0</v>
      </c>
      <c r="W8">
        <v>0</v>
      </c>
      <c r="Y8" s="10">
        <v>0</v>
      </c>
      <c r="Z8">
        <v>0</v>
      </c>
      <c r="AB8" s="10">
        <v>0</v>
      </c>
      <c r="AC8">
        <v>0</v>
      </c>
      <c r="AE8" s="10">
        <v>0</v>
      </c>
      <c r="AF8">
        <v>0</v>
      </c>
      <c r="AH8" s="73">
        <v>0</v>
      </c>
      <c r="AI8">
        <v>0</v>
      </c>
      <c r="AK8" s="99"/>
      <c r="AL8" s="22"/>
      <c r="AM8" s="22"/>
      <c r="AN8" s="105"/>
      <c r="AO8" s="22"/>
      <c r="AP8" s="106"/>
      <c r="AQ8" s="10">
        <v>0</v>
      </c>
      <c r="AR8">
        <v>0</v>
      </c>
      <c r="AT8" s="10">
        <v>0</v>
      </c>
      <c r="AU8">
        <v>0</v>
      </c>
      <c r="AW8" s="10">
        <v>0</v>
      </c>
      <c r="AZ8" s="10">
        <v>0</v>
      </c>
      <c r="BC8" s="41">
        <v>0</v>
      </c>
      <c r="BD8">
        <v>0</v>
      </c>
      <c r="BF8" s="105"/>
      <c r="BG8" s="22"/>
      <c r="BH8" s="22"/>
      <c r="BI8" s="99"/>
      <c r="BJ8" s="22"/>
      <c r="BK8" s="22"/>
      <c r="BL8" s="73">
        <v>0</v>
      </c>
      <c r="BM8">
        <v>0</v>
      </c>
      <c r="BO8" s="10">
        <v>0</v>
      </c>
      <c r="BP8">
        <v>0</v>
      </c>
      <c r="BR8" s="73">
        <v>0</v>
      </c>
      <c r="BS8">
        <v>0</v>
      </c>
      <c r="BU8" s="10">
        <v>0</v>
      </c>
      <c r="BV8">
        <v>0</v>
      </c>
      <c r="BX8" s="10">
        <v>0</v>
      </c>
      <c r="BY8">
        <v>0</v>
      </c>
      <c r="CA8" s="99"/>
      <c r="CB8" s="22"/>
      <c r="CC8" s="22"/>
      <c r="CD8" s="99"/>
      <c r="CE8" s="22"/>
      <c r="CF8" s="22"/>
      <c r="CG8" s="75">
        <v>0</v>
      </c>
      <c r="CH8" s="6">
        <v>0</v>
      </c>
      <c r="CJ8" s="239">
        <v>0</v>
      </c>
      <c r="CK8" s="211">
        <v>0</v>
      </c>
      <c r="CL8" s="211"/>
      <c r="CM8" s="41">
        <v>0</v>
      </c>
      <c r="CN8" s="211">
        <v>0</v>
      </c>
      <c r="CO8" s="240"/>
      <c r="CP8" s="234">
        <f t="shared" si="4"/>
        <v>0</v>
      </c>
      <c r="CQ8">
        <f t="shared" si="0"/>
        <v>0</v>
      </c>
      <c r="CR8" s="259">
        <f t="shared" si="1"/>
        <v>0</v>
      </c>
      <c r="CS8" s="261">
        <v>0</v>
      </c>
      <c r="CT8" s="262">
        <f t="shared" si="2"/>
        <v>0</v>
      </c>
      <c r="CU8" s="263" t="str">
        <f t="shared" si="3"/>
        <v>TALLY</v>
      </c>
      <c r="CV8" s="264"/>
      <c r="CW8" s="146" t="str">
        <f>IF(CU8="MISMATCH",COUNTIF($CU$4:CU8,"MISMATCH"),"")</f>
        <v/>
      </c>
      <c r="CX8" s="261"/>
      <c r="CY8" s="264"/>
    </row>
    <row r="9" spans="1:103" x14ac:dyDescent="0.25">
      <c r="A9" s="248" t="s">
        <v>146</v>
      </c>
      <c r="B9" s="256" t="s">
        <v>148</v>
      </c>
      <c r="C9" s="249">
        <f>'[1]Storehouse Replenishment Schedu'!CU9</f>
        <v>0</v>
      </c>
      <c r="D9" s="246">
        <v>0</v>
      </c>
      <c r="E9">
        <v>0</v>
      </c>
      <c r="G9" s="73">
        <v>0</v>
      </c>
      <c r="H9">
        <v>0</v>
      </c>
      <c r="J9" s="10">
        <v>0</v>
      </c>
      <c r="K9">
        <v>0</v>
      </c>
      <c r="M9" s="10">
        <v>0</v>
      </c>
      <c r="N9">
        <v>0</v>
      </c>
      <c r="P9" s="98"/>
      <c r="Q9" s="22"/>
      <c r="R9" s="22"/>
      <c r="S9" s="10">
        <v>0</v>
      </c>
      <c r="T9">
        <v>0</v>
      </c>
      <c r="V9" s="74">
        <v>0</v>
      </c>
      <c r="W9">
        <v>0</v>
      </c>
      <c r="Y9" s="10">
        <v>0</v>
      </c>
      <c r="Z9">
        <v>0</v>
      </c>
      <c r="AB9" s="10">
        <v>0</v>
      </c>
      <c r="AC9">
        <v>0</v>
      </c>
      <c r="AE9" s="10">
        <v>0</v>
      </c>
      <c r="AF9">
        <v>0</v>
      </c>
      <c r="AH9" s="73">
        <v>0</v>
      </c>
      <c r="AI9">
        <v>0</v>
      </c>
      <c r="AK9" s="99"/>
      <c r="AL9" s="22"/>
      <c r="AM9" s="22"/>
      <c r="AN9" s="105"/>
      <c r="AO9" s="22"/>
      <c r="AP9" s="106"/>
      <c r="AQ9" s="10">
        <v>0</v>
      </c>
      <c r="AR9">
        <v>0</v>
      </c>
      <c r="AT9" s="10">
        <v>0</v>
      </c>
      <c r="AU9">
        <v>0</v>
      </c>
      <c r="AW9" s="10">
        <v>0</v>
      </c>
      <c r="AZ9" s="10">
        <v>0</v>
      </c>
      <c r="BC9" s="41">
        <v>0</v>
      </c>
      <c r="BD9">
        <v>0</v>
      </c>
      <c r="BF9" s="105"/>
      <c r="BG9" s="22"/>
      <c r="BH9" s="22"/>
      <c r="BI9" s="99"/>
      <c r="BJ9" s="22"/>
      <c r="BK9" s="22"/>
      <c r="BL9" s="73">
        <v>0</v>
      </c>
      <c r="BM9">
        <v>0</v>
      </c>
      <c r="BO9" s="10">
        <v>0</v>
      </c>
      <c r="BP9">
        <v>0</v>
      </c>
      <c r="BR9" s="73">
        <v>0</v>
      </c>
      <c r="BS9">
        <v>0</v>
      </c>
      <c r="BU9" s="10">
        <v>0</v>
      </c>
      <c r="BV9">
        <v>0</v>
      </c>
      <c r="BX9" s="10">
        <v>0</v>
      </c>
      <c r="BY9">
        <v>0</v>
      </c>
      <c r="CA9" s="99"/>
      <c r="CB9" s="22"/>
      <c r="CC9" s="22"/>
      <c r="CD9" s="99"/>
      <c r="CE9" s="22"/>
      <c r="CF9" s="22"/>
      <c r="CG9" s="75">
        <v>0</v>
      </c>
      <c r="CH9" s="6">
        <v>0</v>
      </c>
      <c r="CJ9" s="239">
        <v>0</v>
      </c>
      <c r="CK9" s="211">
        <v>0</v>
      </c>
      <c r="CL9" s="211"/>
      <c r="CM9" s="41">
        <v>0</v>
      </c>
      <c r="CN9" s="211">
        <v>0</v>
      </c>
      <c r="CO9" s="240"/>
      <c r="CP9" s="234">
        <f t="shared" si="4"/>
        <v>0</v>
      </c>
      <c r="CQ9">
        <f t="shared" si="0"/>
        <v>0</v>
      </c>
      <c r="CR9" s="259">
        <f t="shared" si="1"/>
        <v>0</v>
      </c>
      <c r="CS9" s="261">
        <v>0</v>
      </c>
      <c r="CT9" s="262">
        <f t="shared" si="2"/>
        <v>0</v>
      </c>
      <c r="CU9" s="263" t="str">
        <f t="shared" si="3"/>
        <v>TALLY</v>
      </c>
      <c r="CV9" s="264"/>
      <c r="CW9" s="146" t="str">
        <f>IF(CU9="MISMATCH",COUNTIF($CU$4:CU9,"MISMATCH"),"")</f>
        <v/>
      </c>
      <c r="CX9" s="261"/>
      <c r="CY9" s="264"/>
    </row>
    <row r="10" spans="1:103" x14ac:dyDescent="0.25">
      <c r="A10" s="248" t="s">
        <v>149</v>
      </c>
      <c r="B10" s="256" t="s">
        <v>150</v>
      </c>
      <c r="C10" s="249">
        <f>'[1]Storehouse Replenishment Schedu'!CU10</f>
        <v>16</v>
      </c>
      <c r="D10" s="246">
        <v>0</v>
      </c>
      <c r="E10">
        <v>0</v>
      </c>
      <c r="G10" s="73">
        <v>0</v>
      </c>
      <c r="H10">
        <v>0</v>
      </c>
      <c r="J10" s="10">
        <v>0</v>
      </c>
      <c r="K10">
        <v>0</v>
      </c>
      <c r="M10" s="10">
        <v>0</v>
      </c>
      <c r="N10">
        <v>0</v>
      </c>
      <c r="P10" s="98"/>
      <c r="Q10" s="22"/>
      <c r="R10" s="22"/>
      <c r="S10" s="10">
        <v>0</v>
      </c>
      <c r="T10">
        <v>64</v>
      </c>
      <c r="V10" s="74">
        <v>0</v>
      </c>
      <c r="W10">
        <v>0</v>
      </c>
      <c r="Y10" s="10">
        <v>96</v>
      </c>
      <c r="Z10">
        <v>32</v>
      </c>
      <c r="AB10" s="10">
        <v>0</v>
      </c>
      <c r="AC10">
        <v>0</v>
      </c>
      <c r="AE10" s="10">
        <v>0</v>
      </c>
      <c r="AF10">
        <v>0</v>
      </c>
      <c r="AH10" s="73">
        <v>0</v>
      </c>
      <c r="AI10">
        <v>0</v>
      </c>
      <c r="AK10" s="99"/>
      <c r="AL10" s="22"/>
      <c r="AM10" s="22"/>
      <c r="AN10" s="105"/>
      <c r="AO10" s="22"/>
      <c r="AP10" s="106"/>
      <c r="AQ10" s="10">
        <v>0</v>
      </c>
      <c r="AR10">
        <v>0</v>
      </c>
      <c r="AT10" s="10">
        <v>0</v>
      </c>
      <c r="AU10">
        <v>0</v>
      </c>
      <c r="AW10" s="10">
        <v>0</v>
      </c>
      <c r="AZ10" s="10">
        <v>0</v>
      </c>
      <c r="BC10" s="41">
        <v>0</v>
      </c>
      <c r="BD10">
        <v>0</v>
      </c>
      <c r="BF10" s="105"/>
      <c r="BG10" s="22"/>
      <c r="BH10" s="22"/>
      <c r="BI10" s="99"/>
      <c r="BJ10" s="22"/>
      <c r="BK10" s="22"/>
      <c r="BL10" s="73">
        <v>0</v>
      </c>
      <c r="BM10">
        <v>400</v>
      </c>
      <c r="BO10" s="10">
        <v>200</v>
      </c>
      <c r="BP10">
        <v>0</v>
      </c>
      <c r="BR10" s="73">
        <v>0</v>
      </c>
      <c r="BS10">
        <v>0</v>
      </c>
      <c r="BU10" s="10">
        <v>0</v>
      </c>
      <c r="BV10">
        <v>0</v>
      </c>
      <c r="BX10" s="10">
        <v>0</v>
      </c>
      <c r="BY10">
        <v>0</v>
      </c>
      <c r="CA10" s="99"/>
      <c r="CB10" s="22"/>
      <c r="CC10" s="22"/>
      <c r="CD10" s="99"/>
      <c r="CE10" s="22"/>
      <c r="CF10" s="22"/>
      <c r="CG10" s="75">
        <v>160</v>
      </c>
      <c r="CH10" s="6">
        <v>416</v>
      </c>
      <c r="CJ10" s="239">
        <v>0</v>
      </c>
      <c r="CK10" s="211">
        <v>0</v>
      </c>
      <c r="CL10" s="211"/>
      <c r="CM10" s="41">
        <v>0</v>
      </c>
      <c r="CN10" s="211">
        <v>0</v>
      </c>
      <c r="CO10" s="240"/>
      <c r="CP10" s="234">
        <f t="shared" si="4"/>
        <v>456</v>
      </c>
      <c r="CQ10">
        <f t="shared" si="0"/>
        <v>912</v>
      </c>
      <c r="CR10" s="259">
        <f t="shared" si="1"/>
        <v>472</v>
      </c>
      <c r="CS10" s="261">
        <v>472</v>
      </c>
      <c r="CT10" s="262">
        <f t="shared" si="2"/>
        <v>0</v>
      </c>
      <c r="CU10" s="263" t="str">
        <f t="shared" si="3"/>
        <v>TALLY</v>
      </c>
      <c r="CV10" s="264"/>
      <c r="CW10" s="146" t="str">
        <f>IF(CU10="MISMATCH",COUNTIF($CU$4:CU10,"MISMATCH"),"")</f>
        <v/>
      </c>
      <c r="CX10" s="261"/>
      <c r="CY10" s="264"/>
    </row>
    <row r="11" spans="1:103" x14ac:dyDescent="0.25">
      <c r="A11" s="250" t="s">
        <v>151</v>
      </c>
      <c r="B11" s="255" t="s">
        <v>152</v>
      </c>
      <c r="C11" s="249">
        <f>'[1]Storehouse Replenishment Schedu'!CU11</f>
        <v>72</v>
      </c>
      <c r="D11" s="246">
        <v>0</v>
      </c>
      <c r="E11">
        <v>0</v>
      </c>
      <c r="G11" s="73">
        <v>0</v>
      </c>
      <c r="H11">
        <v>0</v>
      </c>
      <c r="J11" s="10">
        <v>24</v>
      </c>
      <c r="K11">
        <v>0</v>
      </c>
      <c r="M11" s="10">
        <v>0</v>
      </c>
      <c r="N11">
        <v>0</v>
      </c>
      <c r="P11" s="98"/>
      <c r="Q11" s="22"/>
      <c r="R11" s="22"/>
      <c r="S11" s="10">
        <v>0</v>
      </c>
      <c r="T11">
        <v>0</v>
      </c>
      <c r="V11" s="74">
        <v>0</v>
      </c>
      <c r="W11">
        <v>0</v>
      </c>
      <c r="Y11" s="10">
        <v>0</v>
      </c>
      <c r="Z11">
        <v>0</v>
      </c>
      <c r="AB11" s="10">
        <v>0</v>
      </c>
      <c r="AC11">
        <v>0</v>
      </c>
      <c r="AE11" s="10">
        <v>0</v>
      </c>
      <c r="AF11">
        <v>0</v>
      </c>
      <c r="AH11" s="73">
        <v>24</v>
      </c>
      <c r="AI11">
        <v>0</v>
      </c>
      <c r="AK11" s="99"/>
      <c r="AL11" s="22"/>
      <c r="AM11" s="22"/>
      <c r="AN11" s="105"/>
      <c r="AO11" s="22"/>
      <c r="AP11" s="106"/>
      <c r="AQ11" s="10">
        <v>0</v>
      </c>
      <c r="AR11">
        <v>0</v>
      </c>
      <c r="AT11" s="10">
        <v>0</v>
      </c>
      <c r="AU11">
        <v>0</v>
      </c>
      <c r="AW11" s="10">
        <v>0</v>
      </c>
      <c r="AZ11" s="10">
        <v>0</v>
      </c>
      <c r="BC11" s="41">
        <v>0</v>
      </c>
      <c r="BD11">
        <v>0</v>
      </c>
      <c r="BF11" s="105"/>
      <c r="BG11" s="22"/>
      <c r="BH11" s="22"/>
      <c r="BI11" s="99"/>
      <c r="BJ11" s="22"/>
      <c r="BK11" s="22"/>
      <c r="BL11" s="73">
        <v>0</v>
      </c>
      <c r="BM11">
        <v>0</v>
      </c>
      <c r="BO11" s="10">
        <v>0</v>
      </c>
      <c r="BP11">
        <v>0</v>
      </c>
      <c r="BR11" s="73">
        <v>0</v>
      </c>
      <c r="BS11">
        <v>0</v>
      </c>
      <c r="BU11" s="10">
        <v>0</v>
      </c>
      <c r="BV11">
        <v>0</v>
      </c>
      <c r="BX11" s="10">
        <v>0</v>
      </c>
      <c r="BY11">
        <v>0</v>
      </c>
      <c r="CA11" s="99"/>
      <c r="CB11" s="22"/>
      <c r="CC11" s="22"/>
      <c r="CD11" s="99"/>
      <c r="CE11" s="22"/>
      <c r="CF11" s="22"/>
      <c r="CG11" s="75">
        <v>24</v>
      </c>
      <c r="CH11" s="6">
        <v>0</v>
      </c>
      <c r="CJ11" s="239">
        <v>0</v>
      </c>
      <c r="CK11" s="211">
        <v>0</v>
      </c>
      <c r="CL11" s="211"/>
      <c r="CM11" s="41">
        <v>0</v>
      </c>
      <c r="CN11" s="211">
        <v>0</v>
      </c>
      <c r="CO11" s="240"/>
      <c r="CP11" s="234">
        <f t="shared" si="4"/>
        <v>72</v>
      </c>
      <c r="CQ11">
        <f t="shared" si="0"/>
        <v>0</v>
      </c>
      <c r="CR11" s="259">
        <f t="shared" si="1"/>
        <v>0</v>
      </c>
      <c r="CS11" s="261">
        <v>0</v>
      </c>
      <c r="CT11" s="262">
        <f t="shared" si="2"/>
        <v>0</v>
      </c>
      <c r="CU11" s="263" t="str">
        <f t="shared" si="3"/>
        <v>TALLY</v>
      </c>
      <c r="CV11" s="264"/>
      <c r="CW11" s="146" t="str">
        <f>IF(CU11="MISMATCH",COUNTIF($CU$4:CU11,"MISMATCH"),"")</f>
        <v/>
      </c>
      <c r="CX11" s="261"/>
      <c r="CY11" s="264"/>
    </row>
    <row r="12" spans="1:103" x14ac:dyDescent="0.25">
      <c r="A12" s="250" t="s">
        <v>151</v>
      </c>
      <c r="B12" s="255" t="s">
        <v>153</v>
      </c>
      <c r="C12" s="249">
        <f>'[1]Storehouse Replenishment Schedu'!CU12</f>
        <v>92</v>
      </c>
      <c r="D12" s="246">
        <v>24</v>
      </c>
      <c r="E12">
        <v>89</v>
      </c>
      <c r="G12" s="73">
        <v>24</v>
      </c>
      <c r="H12">
        <v>0</v>
      </c>
      <c r="J12" s="10">
        <v>24</v>
      </c>
      <c r="K12">
        <v>0</v>
      </c>
      <c r="M12" s="10">
        <v>0</v>
      </c>
      <c r="N12">
        <v>0</v>
      </c>
      <c r="P12" s="98"/>
      <c r="Q12" s="22"/>
      <c r="R12" s="22"/>
      <c r="S12" s="10">
        <v>0</v>
      </c>
      <c r="T12">
        <v>0</v>
      </c>
      <c r="V12" s="74">
        <v>24</v>
      </c>
      <c r="W12">
        <v>0</v>
      </c>
      <c r="Y12" s="10">
        <v>24</v>
      </c>
      <c r="Z12">
        <v>0</v>
      </c>
      <c r="AB12" s="10">
        <v>24</v>
      </c>
      <c r="AC12">
        <v>0</v>
      </c>
      <c r="AE12" s="10">
        <v>0</v>
      </c>
      <c r="AF12">
        <v>0</v>
      </c>
      <c r="AH12" s="73">
        <v>24</v>
      </c>
      <c r="AI12">
        <v>0</v>
      </c>
      <c r="AK12" s="99"/>
      <c r="AL12" s="22"/>
      <c r="AM12" s="22"/>
      <c r="AN12" s="105"/>
      <c r="AO12" s="22"/>
      <c r="AP12" s="106"/>
      <c r="AQ12" s="10">
        <v>0</v>
      </c>
      <c r="AR12">
        <v>0</v>
      </c>
      <c r="AT12" s="10">
        <v>13</v>
      </c>
      <c r="AU12">
        <v>20</v>
      </c>
      <c r="AW12" s="10">
        <v>0</v>
      </c>
      <c r="AZ12" s="10">
        <v>20</v>
      </c>
      <c r="BC12" s="41">
        <v>2</v>
      </c>
      <c r="BD12">
        <f>57+20</f>
        <v>77</v>
      </c>
      <c r="BF12" s="105"/>
      <c r="BG12" s="22"/>
      <c r="BH12" s="22"/>
      <c r="BI12" s="99"/>
      <c r="BJ12" s="22"/>
      <c r="BK12" s="22"/>
      <c r="BL12" s="73">
        <v>29</v>
      </c>
      <c r="BM12">
        <v>78</v>
      </c>
      <c r="BO12" s="10">
        <v>0</v>
      </c>
      <c r="BP12">
        <v>0</v>
      </c>
      <c r="BR12" s="73">
        <v>27</v>
      </c>
      <c r="BS12">
        <v>0</v>
      </c>
      <c r="BU12" s="10">
        <v>0</v>
      </c>
      <c r="BV12">
        <v>0</v>
      </c>
      <c r="BX12" s="10">
        <v>25</v>
      </c>
      <c r="BY12">
        <v>0</v>
      </c>
      <c r="CA12" s="99"/>
      <c r="CB12" s="22"/>
      <c r="CC12" s="22"/>
      <c r="CD12" s="99"/>
      <c r="CE12" s="22"/>
      <c r="CF12" s="22"/>
      <c r="CG12" s="75">
        <v>24</v>
      </c>
      <c r="CH12" s="6">
        <v>0</v>
      </c>
      <c r="CJ12" s="239">
        <v>0</v>
      </c>
      <c r="CK12" s="211">
        <v>0</v>
      </c>
      <c r="CL12" s="211"/>
      <c r="CM12" s="41">
        <v>24</v>
      </c>
      <c r="CN12" s="211">
        <v>69</v>
      </c>
      <c r="CO12" s="240"/>
      <c r="CP12" s="234">
        <f>SUMIF($D$3:$CO$3,"Stock Out ",D12:CO12)</f>
        <v>332</v>
      </c>
      <c r="CQ12">
        <f t="shared" si="0"/>
        <v>333</v>
      </c>
      <c r="CR12" s="259">
        <f t="shared" si="1"/>
        <v>93</v>
      </c>
      <c r="CS12" s="261">
        <v>93</v>
      </c>
      <c r="CT12" s="262">
        <f t="shared" si="2"/>
        <v>0</v>
      </c>
      <c r="CU12" s="263" t="str">
        <f t="shared" si="3"/>
        <v>TALLY</v>
      </c>
      <c r="CV12" s="264"/>
      <c r="CW12" s="146" t="str">
        <f>IF(CU12="MISMATCH",COUNTIF($CU$4:CU12,"MISMATCH"),"")</f>
        <v/>
      </c>
      <c r="CX12" s="261">
        <v>2</v>
      </c>
      <c r="CY12" s="264"/>
    </row>
    <row r="13" spans="1:103" x14ac:dyDescent="0.25">
      <c r="A13" s="248" t="s">
        <v>154</v>
      </c>
      <c r="B13" s="256" t="s">
        <v>155</v>
      </c>
      <c r="C13" s="249">
        <f>'[1]Storehouse Replenishment Schedu'!CU13</f>
        <v>60</v>
      </c>
      <c r="D13" s="246">
        <v>30</v>
      </c>
      <c r="E13">
        <v>0</v>
      </c>
      <c r="G13" s="73">
        <v>0</v>
      </c>
      <c r="H13">
        <v>0</v>
      </c>
      <c r="J13" s="10">
        <v>30</v>
      </c>
      <c r="K13">
        <v>0</v>
      </c>
      <c r="M13" s="10">
        <v>0</v>
      </c>
      <c r="N13">
        <v>0</v>
      </c>
      <c r="P13" s="98"/>
      <c r="Q13" s="22"/>
      <c r="R13" s="22"/>
      <c r="S13" s="10">
        <v>0</v>
      </c>
      <c r="T13">
        <v>0</v>
      </c>
      <c r="V13" s="74">
        <v>0</v>
      </c>
      <c r="W13">
        <v>0</v>
      </c>
      <c r="Y13" s="10">
        <v>45</v>
      </c>
      <c r="Z13">
        <v>75</v>
      </c>
      <c r="AB13" s="10">
        <v>0</v>
      </c>
      <c r="AC13">
        <v>0</v>
      </c>
      <c r="AE13" s="10">
        <v>30</v>
      </c>
      <c r="AF13">
        <v>0</v>
      </c>
      <c r="AH13" s="73">
        <v>0</v>
      </c>
      <c r="AI13">
        <v>0</v>
      </c>
      <c r="AK13" s="99"/>
      <c r="AL13" s="22"/>
      <c r="AM13" s="22"/>
      <c r="AN13" s="105"/>
      <c r="AO13" s="22"/>
      <c r="AP13" s="106"/>
      <c r="AQ13" s="10">
        <v>0</v>
      </c>
      <c r="AR13">
        <v>0</v>
      </c>
      <c r="AT13" s="10">
        <v>0</v>
      </c>
      <c r="AU13">
        <v>150</v>
      </c>
      <c r="AW13" s="10">
        <v>0</v>
      </c>
      <c r="AZ13" s="10">
        <v>45</v>
      </c>
      <c r="BC13" s="10">
        <v>0</v>
      </c>
      <c r="BD13">
        <v>0</v>
      </c>
      <c r="BF13" s="105"/>
      <c r="BG13" s="22"/>
      <c r="BH13" s="22"/>
      <c r="BI13" s="99"/>
      <c r="BJ13" s="22"/>
      <c r="BK13" s="22"/>
      <c r="BL13" s="73">
        <v>0</v>
      </c>
      <c r="BM13">
        <v>0</v>
      </c>
      <c r="BO13" s="10">
        <v>0</v>
      </c>
      <c r="BP13">
        <v>0</v>
      </c>
      <c r="BR13" s="73">
        <v>30</v>
      </c>
      <c r="BS13">
        <v>0</v>
      </c>
      <c r="BU13" s="10">
        <v>0</v>
      </c>
      <c r="BV13">
        <v>0</v>
      </c>
      <c r="BX13" s="10">
        <v>30</v>
      </c>
      <c r="BY13">
        <v>0</v>
      </c>
      <c r="CA13" s="99"/>
      <c r="CB13" s="22"/>
      <c r="CC13" s="22"/>
      <c r="CD13" s="99"/>
      <c r="CE13" s="22"/>
      <c r="CF13" s="22"/>
      <c r="CG13" s="75">
        <v>0</v>
      </c>
      <c r="CH13" s="6">
        <v>0</v>
      </c>
      <c r="CJ13" s="239">
        <v>0</v>
      </c>
      <c r="CK13" s="211">
        <v>0</v>
      </c>
      <c r="CL13" s="211"/>
      <c r="CM13" s="41">
        <v>45</v>
      </c>
      <c r="CN13" s="211">
        <v>0</v>
      </c>
      <c r="CO13" s="240"/>
      <c r="CP13" s="234">
        <f>SUMIF($D$3:$CO$3,"Stock Out ",D13:CO13)</f>
        <v>285</v>
      </c>
      <c r="CQ13">
        <f t="shared" si="0"/>
        <v>225</v>
      </c>
      <c r="CR13" s="259">
        <f t="shared" si="1"/>
        <v>0</v>
      </c>
      <c r="CS13" s="261">
        <v>0</v>
      </c>
      <c r="CT13" s="262">
        <f t="shared" si="2"/>
        <v>0</v>
      </c>
      <c r="CU13" s="263" t="str">
        <f t="shared" si="3"/>
        <v>TALLY</v>
      </c>
      <c r="CV13" s="264"/>
      <c r="CW13" s="146" t="str">
        <f>IF(CU13="MISMATCH",COUNTIF($CU$4:CU13,"MISMATCH"),"")</f>
        <v/>
      </c>
      <c r="CX13" s="261"/>
      <c r="CY13" s="264"/>
    </row>
    <row r="14" spans="1:103" x14ac:dyDescent="0.25">
      <c r="A14" s="248" t="s">
        <v>154</v>
      </c>
      <c r="B14" s="256" t="s">
        <v>156</v>
      </c>
      <c r="C14" s="249">
        <f>'[1]Storehouse Replenishment Schedu'!CU14</f>
        <v>135</v>
      </c>
      <c r="D14" s="246">
        <v>45</v>
      </c>
      <c r="E14">
        <v>0</v>
      </c>
      <c r="G14" s="73">
        <v>0</v>
      </c>
      <c r="H14">
        <v>0</v>
      </c>
      <c r="J14" s="10">
        <v>30</v>
      </c>
      <c r="K14">
        <v>0</v>
      </c>
      <c r="M14" s="10">
        <v>0</v>
      </c>
      <c r="N14">
        <v>0</v>
      </c>
      <c r="P14" s="99"/>
      <c r="Q14" s="22"/>
      <c r="R14" s="22"/>
      <c r="S14" s="10">
        <v>0</v>
      </c>
      <c r="T14">
        <v>0</v>
      </c>
      <c r="V14" s="74">
        <v>0</v>
      </c>
      <c r="W14">
        <v>0</v>
      </c>
      <c r="Y14" s="10">
        <v>30</v>
      </c>
      <c r="Z14">
        <v>75</v>
      </c>
      <c r="AB14" s="10">
        <v>0</v>
      </c>
      <c r="AC14">
        <v>0</v>
      </c>
      <c r="AE14" s="10">
        <v>0</v>
      </c>
      <c r="AF14">
        <v>0</v>
      </c>
      <c r="AH14" s="73">
        <v>0</v>
      </c>
      <c r="AI14">
        <v>0</v>
      </c>
      <c r="AK14" s="99"/>
      <c r="AL14" s="22"/>
      <c r="AM14" s="22"/>
      <c r="AN14" s="105"/>
      <c r="AO14" s="22"/>
      <c r="AP14" s="22"/>
      <c r="AQ14" s="10">
        <v>0</v>
      </c>
      <c r="AR14">
        <v>0</v>
      </c>
      <c r="AT14" s="10">
        <v>30</v>
      </c>
      <c r="AU14">
        <v>0</v>
      </c>
      <c r="AW14" s="10">
        <v>0</v>
      </c>
      <c r="AZ14" s="10">
        <v>0</v>
      </c>
      <c r="BC14" s="10">
        <v>0</v>
      </c>
      <c r="BD14">
        <v>0</v>
      </c>
      <c r="BF14" s="105"/>
      <c r="BG14" s="22"/>
      <c r="BH14" s="22"/>
      <c r="BI14" s="99"/>
      <c r="BJ14" s="22"/>
      <c r="BK14" s="22"/>
      <c r="BL14" s="73">
        <v>0</v>
      </c>
      <c r="BM14">
        <v>0</v>
      </c>
      <c r="BO14" s="10">
        <v>0</v>
      </c>
      <c r="BP14">
        <v>0</v>
      </c>
      <c r="BR14" s="73">
        <v>30</v>
      </c>
      <c r="BS14">
        <v>0</v>
      </c>
      <c r="BU14" s="10">
        <v>0</v>
      </c>
      <c r="BV14">
        <v>0</v>
      </c>
      <c r="BX14" s="10">
        <v>30</v>
      </c>
      <c r="BY14">
        <v>0</v>
      </c>
      <c r="CA14" s="99"/>
      <c r="CB14" s="22"/>
      <c r="CC14" s="22"/>
      <c r="CD14" s="99"/>
      <c r="CE14" s="22"/>
      <c r="CF14" s="22"/>
      <c r="CG14" s="75">
        <v>0</v>
      </c>
      <c r="CH14" s="6">
        <v>0</v>
      </c>
      <c r="CJ14" s="239">
        <v>0</v>
      </c>
      <c r="CK14" s="211">
        <v>0</v>
      </c>
      <c r="CL14" s="211"/>
      <c r="CM14" s="41">
        <v>15</v>
      </c>
      <c r="CN14" s="211">
        <v>0</v>
      </c>
      <c r="CO14" s="240"/>
      <c r="CP14" s="234">
        <f t="shared" si="4"/>
        <v>210</v>
      </c>
      <c r="CQ14">
        <f t="shared" si="0"/>
        <v>75</v>
      </c>
      <c r="CR14" s="259">
        <f t="shared" si="1"/>
        <v>0</v>
      </c>
      <c r="CS14" s="261">
        <v>0</v>
      </c>
      <c r="CT14" s="262">
        <f t="shared" si="2"/>
        <v>0</v>
      </c>
      <c r="CU14" s="263" t="str">
        <f t="shared" si="3"/>
        <v>TALLY</v>
      </c>
      <c r="CV14" s="264"/>
      <c r="CW14" s="146" t="str">
        <f>IF(CU14="MISMATCH",COUNTIF($CU$4:CU14,"MISMATCH"),"")</f>
        <v/>
      </c>
      <c r="CX14" s="261"/>
      <c r="CY14" s="264"/>
    </row>
    <row r="15" spans="1:103" x14ac:dyDescent="0.25">
      <c r="A15" s="248"/>
      <c r="B15" s="256"/>
      <c r="C15" s="249"/>
      <c r="D15" s="246"/>
      <c r="G15" s="73"/>
      <c r="J15" s="10"/>
      <c r="M15" s="10"/>
      <c r="P15" s="98"/>
      <c r="Q15" s="22"/>
      <c r="R15" s="22"/>
      <c r="S15" s="10"/>
      <c r="V15" s="74"/>
      <c r="Y15" s="10"/>
      <c r="AB15" s="10"/>
      <c r="AE15" s="10"/>
      <c r="AH15" s="73"/>
      <c r="AK15" s="99"/>
      <c r="AL15" s="22"/>
      <c r="AM15" s="22"/>
      <c r="AN15" s="105"/>
      <c r="AO15" s="22"/>
      <c r="AP15" s="22"/>
      <c r="AQ15" s="10"/>
      <c r="AT15" s="10"/>
      <c r="AW15" s="10"/>
      <c r="AZ15" s="10"/>
      <c r="BC15" s="10"/>
      <c r="BF15" s="105"/>
      <c r="BG15" s="22"/>
      <c r="BH15" s="22"/>
      <c r="BI15" s="99"/>
      <c r="BJ15" s="22"/>
      <c r="BK15" s="22"/>
      <c r="BL15" s="73"/>
      <c r="BO15" s="10"/>
      <c r="BR15" s="73"/>
      <c r="BU15" s="10"/>
      <c r="BX15" s="10"/>
      <c r="BY15">
        <v>0</v>
      </c>
      <c r="CA15" s="99"/>
      <c r="CB15" s="22"/>
      <c r="CC15" s="22"/>
      <c r="CD15" s="99"/>
      <c r="CE15" s="22"/>
      <c r="CF15" s="22"/>
      <c r="CG15" s="75"/>
      <c r="CH15" s="6"/>
      <c r="CJ15" s="239"/>
      <c r="CK15" s="211"/>
      <c r="CL15" s="211"/>
      <c r="CM15" s="41"/>
      <c r="CN15" s="211"/>
      <c r="CO15" s="240"/>
      <c r="CP15" s="234"/>
      <c r="CR15" s="211"/>
      <c r="CS15" s="248"/>
      <c r="CT15" s="211"/>
      <c r="CU15" s="212"/>
      <c r="CV15" s="240"/>
      <c r="CX15" s="248"/>
      <c r="CY15" s="240"/>
    </row>
    <row r="16" spans="1:103" x14ac:dyDescent="0.25">
      <c r="A16" s="248" t="s">
        <v>157</v>
      </c>
      <c r="B16" s="256" t="s">
        <v>158</v>
      </c>
      <c r="C16" s="249">
        <f>'[1]Storehouse Replenishment Schedu'!CU16</f>
        <v>24</v>
      </c>
      <c r="D16" s="246">
        <v>0</v>
      </c>
      <c r="E16">
        <v>0</v>
      </c>
      <c r="G16" s="73">
        <v>24</v>
      </c>
      <c r="H16">
        <v>0</v>
      </c>
      <c r="J16" s="10">
        <v>0</v>
      </c>
      <c r="K16">
        <v>0</v>
      </c>
      <c r="M16" s="10">
        <v>0</v>
      </c>
      <c r="N16">
        <v>120</v>
      </c>
      <c r="P16" s="98"/>
      <c r="Q16" s="22"/>
      <c r="R16" s="22"/>
      <c r="S16" s="10">
        <v>0</v>
      </c>
      <c r="T16">
        <v>0</v>
      </c>
      <c r="V16" s="74">
        <v>48</v>
      </c>
      <c r="W16">
        <v>0</v>
      </c>
      <c r="Y16" s="10">
        <v>0</v>
      </c>
      <c r="Z16">
        <v>0</v>
      </c>
      <c r="AB16" s="10">
        <v>48</v>
      </c>
      <c r="AC16">
        <v>0</v>
      </c>
      <c r="AE16" s="10">
        <v>0</v>
      </c>
      <c r="AF16">
        <v>0</v>
      </c>
      <c r="AH16" s="73">
        <v>0</v>
      </c>
      <c r="AI16">
        <v>0</v>
      </c>
      <c r="AK16" s="99"/>
      <c r="AL16" s="22"/>
      <c r="AM16" s="22"/>
      <c r="AN16" s="105"/>
      <c r="AO16" s="22"/>
      <c r="AP16" s="22"/>
      <c r="AQ16" s="10">
        <v>0</v>
      </c>
      <c r="AR16">
        <v>0</v>
      </c>
      <c r="AT16" s="10">
        <v>24</v>
      </c>
      <c r="AU16">
        <v>0</v>
      </c>
      <c r="AW16" s="10">
        <v>0</v>
      </c>
      <c r="AZ16" s="10">
        <v>0</v>
      </c>
      <c r="BC16" s="10">
        <v>0</v>
      </c>
      <c r="BD16">
        <v>0</v>
      </c>
      <c r="BF16" s="105"/>
      <c r="BG16" s="22"/>
      <c r="BH16" s="22"/>
      <c r="BI16" s="99"/>
      <c r="BJ16" s="22"/>
      <c r="BK16" s="22"/>
      <c r="BL16" s="73">
        <v>0</v>
      </c>
      <c r="BM16">
        <v>0</v>
      </c>
      <c r="BO16" s="10">
        <v>0</v>
      </c>
      <c r="BP16">
        <v>0</v>
      </c>
      <c r="BR16" s="73">
        <v>0</v>
      </c>
      <c r="BS16">
        <v>0</v>
      </c>
      <c r="BU16" s="10">
        <v>0</v>
      </c>
      <c r="BV16">
        <v>0</v>
      </c>
      <c r="BX16" s="10">
        <v>0</v>
      </c>
      <c r="BY16">
        <v>0</v>
      </c>
      <c r="CA16" s="99"/>
      <c r="CB16" s="22"/>
      <c r="CC16" s="22"/>
      <c r="CD16" s="99"/>
      <c r="CE16" s="22"/>
      <c r="CF16" s="22"/>
      <c r="CG16" s="75">
        <v>48</v>
      </c>
      <c r="CH16" s="6">
        <v>96</v>
      </c>
      <c r="CJ16" s="239">
        <v>0</v>
      </c>
      <c r="CK16" s="211">
        <v>0</v>
      </c>
      <c r="CL16" s="211"/>
      <c r="CM16" s="41">
        <v>48</v>
      </c>
      <c r="CN16" s="211">
        <v>0</v>
      </c>
      <c r="CO16" s="240"/>
      <c r="CP16" s="234">
        <f t="shared" ref="CP16:CP29" si="5">SUMIF($D$3:$CO$3,"Stock Out ",D16:CO16)</f>
        <v>240</v>
      </c>
      <c r="CQ16">
        <f t="shared" ref="CQ16:CQ30" si="6">SUMIF($D$3:$CO$3,"Stock In ",D16:CO16)</f>
        <v>216</v>
      </c>
      <c r="CR16" s="259">
        <f t="shared" ref="CR16:CR23" si="7">C16-CP16+CQ16</f>
        <v>0</v>
      </c>
      <c r="CS16" s="261">
        <v>0</v>
      </c>
      <c r="CT16" s="262">
        <f t="shared" ref="CT16:CT30" si="8">IF(CS16="","",CS16-CR16)</f>
        <v>0</v>
      </c>
      <c r="CU16" s="263" t="str">
        <f t="shared" ref="CU16:CU30" si="9">IF(CS16="","NOT COUNTED",IF(ABS(CT16)&lt;=$CV$1,"TALLY","MISMATCH"))</f>
        <v>TALLY</v>
      </c>
      <c r="CV16" s="264"/>
      <c r="CW16" s="146" t="str">
        <f>IF(CU16="MISMATCH",COUNTIF($CU$4:CU16,"MISMATCH"),"")</f>
        <v/>
      </c>
      <c r="CX16" s="261"/>
      <c r="CY16" s="264"/>
    </row>
    <row r="17" spans="1:103" x14ac:dyDescent="0.25">
      <c r="A17" s="248" t="s">
        <v>157</v>
      </c>
      <c r="B17" s="256" t="s">
        <v>159</v>
      </c>
      <c r="C17" s="249">
        <f>'[1]Storehouse Replenishment Schedu'!CU17</f>
        <v>72</v>
      </c>
      <c r="D17" s="246">
        <v>0</v>
      </c>
      <c r="E17">
        <v>0</v>
      </c>
      <c r="G17" s="73">
        <v>0</v>
      </c>
      <c r="H17">
        <v>0</v>
      </c>
      <c r="J17" s="10">
        <v>0</v>
      </c>
      <c r="K17">
        <v>0</v>
      </c>
      <c r="M17" s="10">
        <v>0</v>
      </c>
      <c r="N17">
        <v>0</v>
      </c>
      <c r="P17" s="98"/>
      <c r="Q17" s="22"/>
      <c r="R17" s="22"/>
      <c r="S17" s="10">
        <v>0</v>
      </c>
      <c r="T17">
        <v>0</v>
      </c>
      <c r="V17" s="74">
        <v>0</v>
      </c>
      <c r="W17">
        <v>0</v>
      </c>
      <c r="Y17" s="10">
        <v>24</v>
      </c>
      <c r="Z17">
        <v>0</v>
      </c>
      <c r="AB17" s="10">
        <v>0</v>
      </c>
      <c r="AC17">
        <v>0</v>
      </c>
      <c r="AE17" s="10">
        <v>0</v>
      </c>
      <c r="AF17">
        <v>0</v>
      </c>
      <c r="AH17" s="73">
        <v>0</v>
      </c>
      <c r="AI17">
        <v>0</v>
      </c>
      <c r="AK17" s="99"/>
      <c r="AL17" s="22"/>
      <c r="AM17" s="22"/>
      <c r="AN17" s="105"/>
      <c r="AO17" s="22"/>
      <c r="AP17" s="22"/>
      <c r="AQ17" s="10">
        <v>0</v>
      </c>
      <c r="AR17">
        <v>0</v>
      </c>
      <c r="AT17" s="10">
        <v>0</v>
      </c>
      <c r="AU17">
        <v>0</v>
      </c>
      <c r="AW17" s="10">
        <v>0</v>
      </c>
      <c r="AZ17" s="10">
        <v>0</v>
      </c>
      <c r="BC17" s="10">
        <v>24</v>
      </c>
      <c r="BD17">
        <v>0</v>
      </c>
      <c r="BF17" s="105"/>
      <c r="BG17" s="22"/>
      <c r="BH17" s="22"/>
      <c r="BI17" s="99"/>
      <c r="BJ17" s="22"/>
      <c r="BK17" s="22"/>
      <c r="BL17" s="73">
        <v>0</v>
      </c>
      <c r="BM17">
        <v>0</v>
      </c>
      <c r="BO17" s="10">
        <v>0</v>
      </c>
      <c r="BP17">
        <v>0</v>
      </c>
      <c r="BR17" s="73">
        <v>0</v>
      </c>
      <c r="BS17">
        <v>0</v>
      </c>
      <c r="BU17" s="10">
        <v>0</v>
      </c>
      <c r="BV17">
        <v>0</v>
      </c>
      <c r="BX17" s="10">
        <v>0</v>
      </c>
      <c r="BY17">
        <v>0</v>
      </c>
      <c r="CA17" s="99"/>
      <c r="CB17" s="22"/>
      <c r="CC17" s="22"/>
      <c r="CD17" s="99"/>
      <c r="CE17" s="22"/>
      <c r="CF17" s="22"/>
      <c r="CG17" s="75">
        <v>0</v>
      </c>
      <c r="CH17" s="6">
        <v>0</v>
      </c>
      <c r="CJ17" s="239">
        <v>0</v>
      </c>
      <c r="CK17" s="211">
        <v>0</v>
      </c>
      <c r="CL17" s="211"/>
      <c r="CM17" s="41">
        <v>0</v>
      </c>
      <c r="CN17" s="211">
        <v>0</v>
      </c>
      <c r="CO17" s="240"/>
      <c r="CP17" s="234">
        <f t="shared" si="5"/>
        <v>48</v>
      </c>
      <c r="CQ17">
        <f t="shared" si="6"/>
        <v>0</v>
      </c>
      <c r="CR17" s="259">
        <f t="shared" si="7"/>
        <v>24</v>
      </c>
      <c r="CS17" s="261">
        <v>24</v>
      </c>
      <c r="CT17" s="262">
        <f t="shared" si="8"/>
        <v>0</v>
      </c>
      <c r="CU17" s="263" t="str">
        <f t="shared" si="9"/>
        <v>TALLY</v>
      </c>
      <c r="CV17" s="264"/>
      <c r="CW17" s="146" t="str">
        <f>IF(CU17="MISMATCH",COUNTIF($CU$4:CU17,"MISMATCH"),"")</f>
        <v/>
      </c>
      <c r="CX17" s="261"/>
      <c r="CY17" s="264"/>
    </row>
    <row r="18" spans="1:103" x14ac:dyDescent="0.25">
      <c r="A18" s="248" t="s">
        <v>157</v>
      </c>
      <c r="B18" s="256" t="s">
        <v>160</v>
      </c>
      <c r="C18" s="249">
        <f>'[1]Storehouse Replenishment Schedu'!CU18</f>
        <v>96</v>
      </c>
      <c r="D18" s="246">
        <v>0</v>
      </c>
      <c r="E18">
        <v>0</v>
      </c>
      <c r="G18" s="73">
        <v>0</v>
      </c>
      <c r="H18">
        <v>0</v>
      </c>
      <c r="J18" s="10">
        <v>0</v>
      </c>
      <c r="K18">
        <v>0</v>
      </c>
      <c r="M18" s="10">
        <v>0</v>
      </c>
      <c r="N18">
        <v>0</v>
      </c>
      <c r="P18" s="98"/>
      <c r="Q18" s="22"/>
      <c r="R18" s="22"/>
      <c r="S18" s="10">
        <v>0</v>
      </c>
      <c r="T18">
        <v>0</v>
      </c>
      <c r="V18" s="74">
        <v>0</v>
      </c>
      <c r="W18">
        <v>0</v>
      </c>
      <c r="Y18" s="10">
        <v>24</v>
      </c>
      <c r="Z18">
        <v>0</v>
      </c>
      <c r="AB18" s="10">
        <v>0</v>
      </c>
      <c r="AC18">
        <v>0</v>
      </c>
      <c r="AE18" s="10">
        <v>0</v>
      </c>
      <c r="AF18">
        <v>0</v>
      </c>
      <c r="AH18" s="73">
        <v>0</v>
      </c>
      <c r="AI18">
        <v>0</v>
      </c>
      <c r="AK18" s="99"/>
      <c r="AL18" s="22"/>
      <c r="AM18" s="22"/>
      <c r="AN18" s="105"/>
      <c r="AO18" s="22"/>
      <c r="AP18" s="106"/>
      <c r="AQ18" s="10">
        <v>0</v>
      </c>
      <c r="AR18">
        <v>0</v>
      </c>
      <c r="AT18" s="10">
        <v>0</v>
      </c>
      <c r="AU18">
        <v>0</v>
      </c>
      <c r="AW18" s="10">
        <v>0</v>
      </c>
      <c r="AZ18" s="10">
        <v>0</v>
      </c>
      <c r="BC18" s="10">
        <v>24</v>
      </c>
      <c r="BD18">
        <v>0</v>
      </c>
      <c r="BF18" s="105"/>
      <c r="BG18" s="22"/>
      <c r="BH18" s="22"/>
      <c r="BI18" s="99"/>
      <c r="BJ18" s="22"/>
      <c r="BK18" s="22"/>
      <c r="BL18" s="73">
        <v>0</v>
      </c>
      <c r="BM18">
        <v>0</v>
      </c>
      <c r="BO18" s="10">
        <v>0</v>
      </c>
      <c r="BP18">
        <v>0</v>
      </c>
      <c r="BR18" s="73">
        <v>0</v>
      </c>
      <c r="BS18">
        <v>0</v>
      </c>
      <c r="BU18" s="10">
        <v>0</v>
      </c>
      <c r="BV18">
        <v>0</v>
      </c>
      <c r="BX18" s="10">
        <v>0</v>
      </c>
      <c r="BY18">
        <v>0</v>
      </c>
      <c r="CA18" s="99"/>
      <c r="CB18" s="22"/>
      <c r="CC18" s="22"/>
      <c r="CD18" s="99"/>
      <c r="CE18" s="22"/>
      <c r="CF18" s="22"/>
      <c r="CG18" s="75">
        <v>0</v>
      </c>
      <c r="CH18" s="6">
        <v>0</v>
      </c>
      <c r="CJ18" s="239">
        <v>0</v>
      </c>
      <c r="CK18" s="211">
        <v>0</v>
      </c>
      <c r="CL18" s="211"/>
      <c r="CM18" s="41">
        <v>24</v>
      </c>
      <c r="CN18" s="211">
        <v>0</v>
      </c>
      <c r="CO18" s="240"/>
      <c r="CP18" s="234">
        <f t="shared" si="5"/>
        <v>72</v>
      </c>
      <c r="CQ18">
        <f t="shared" si="6"/>
        <v>0</v>
      </c>
      <c r="CR18" s="259">
        <f t="shared" si="7"/>
        <v>24</v>
      </c>
      <c r="CS18" s="261">
        <v>24</v>
      </c>
      <c r="CT18" s="262">
        <f t="shared" si="8"/>
        <v>0</v>
      </c>
      <c r="CU18" s="263" t="str">
        <f t="shared" si="9"/>
        <v>TALLY</v>
      </c>
      <c r="CV18" s="264"/>
      <c r="CW18" s="146" t="str">
        <f>IF(CU18="MISMATCH",COUNTIF($CU$4:CU18,"MISMATCH"),"")</f>
        <v/>
      </c>
      <c r="CX18" s="261"/>
      <c r="CY18" s="264"/>
    </row>
    <row r="19" spans="1:103" x14ac:dyDescent="0.25">
      <c r="A19" s="248" t="s">
        <v>161</v>
      </c>
      <c r="B19" s="256" t="s">
        <v>162</v>
      </c>
      <c r="C19" s="249">
        <f>'[1]Storehouse Replenishment Schedu'!CU19</f>
        <v>0</v>
      </c>
      <c r="D19" s="246">
        <v>0</v>
      </c>
      <c r="E19">
        <v>0</v>
      </c>
      <c r="G19" s="73">
        <v>0</v>
      </c>
      <c r="H19">
        <v>0</v>
      </c>
      <c r="J19" s="10">
        <v>0</v>
      </c>
      <c r="K19">
        <v>0</v>
      </c>
      <c r="M19" s="10">
        <v>0</v>
      </c>
      <c r="N19">
        <v>300</v>
      </c>
      <c r="P19" s="98"/>
      <c r="Q19" s="22"/>
      <c r="R19" s="22"/>
      <c r="S19" s="10">
        <v>0</v>
      </c>
      <c r="T19">
        <v>0</v>
      </c>
      <c r="V19" s="74">
        <v>72</v>
      </c>
      <c r="W19">
        <v>0</v>
      </c>
      <c r="Y19" s="10">
        <v>48</v>
      </c>
      <c r="Z19">
        <v>0</v>
      </c>
      <c r="AB19" s="10">
        <v>48</v>
      </c>
      <c r="AC19">
        <v>0</v>
      </c>
      <c r="AE19" s="10">
        <v>0</v>
      </c>
      <c r="AF19">
        <v>0</v>
      </c>
      <c r="AH19" s="73">
        <v>48</v>
      </c>
      <c r="AI19">
        <v>0</v>
      </c>
      <c r="AK19" s="99"/>
      <c r="AL19" s="22"/>
      <c r="AM19" s="22"/>
      <c r="AN19" s="105"/>
      <c r="AO19" s="22"/>
      <c r="AP19" s="106"/>
      <c r="AQ19" s="10">
        <v>0</v>
      </c>
      <c r="AR19">
        <v>0</v>
      </c>
      <c r="AT19" s="10">
        <v>84</v>
      </c>
      <c r="AU19">
        <v>0</v>
      </c>
      <c r="AW19" s="10">
        <v>0</v>
      </c>
      <c r="AZ19" s="10">
        <v>0</v>
      </c>
      <c r="BC19" s="73">
        <v>0</v>
      </c>
      <c r="BD19">
        <v>0</v>
      </c>
      <c r="BF19" s="105"/>
      <c r="BG19" s="22"/>
      <c r="BH19" s="22"/>
      <c r="BI19" s="99"/>
      <c r="BJ19" s="22"/>
      <c r="BK19" s="22"/>
      <c r="BL19" s="73">
        <v>0</v>
      </c>
      <c r="BM19" s="21">
        <v>360</v>
      </c>
      <c r="BO19" s="10">
        <v>96</v>
      </c>
      <c r="BP19">
        <v>0</v>
      </c>
      <c r="BR19" s="73">
        <v>72</v>
      </c>
      <c r="BS19">
        <v>0</v>
      </c>
      <c r="BU19" s="10">
        <v>72</v>
      </c>
      <c r="BV19">
        <v>0</v>
      </c>
      <c r="BX19" s="10">
        <v>0</v>
      </c>
      <c r="BY19">
        <v>0</v>
      </c>
      <c r="CA19" s="99"/>
      <c r="CB19" s="22"/>
      <c r="CC19" s="22"/>
      <c r="CD19" s="99"/>
      <c r="CE19" s="22"/>
      <c r="CF19" s="22"/>
      <c r="CG19" s="75">
        <v>0</v>
      </c>
      <c r="CH19" s="6">
        <v>0</v>
      </c>
      <c r="CJ19" s="239">
        <v>72</v>
      </c>
      <c r="CK19" s="211">
        <v>240</v>
      </c>
      <c r="CL19" s="211"/>
      <c r="CM19" s="41">
        <v>0</v>
      </c>
      <c r="CN19" s="211">
        <v>0</v>
      </c>
      <c r="CO19" s="240"/>
      <c r="CP19" s="234">
        <f t="shared" si="5"/>
        <v>612</v>
      </c>
      <c r="CQ19">
        <f t="shared" si="6"/>
        <v>900</v>
      </c>
      <c r="CR19" s="259">
        <f t="shared" si="7"/>
        <v>288</v>
      </c>
      <c r="CS19" s="261">
        <v>288</v>
      </c>
      <c r="CT19" s="262">
        <f t="shared" si="8"/>
        <v>0</v>
      </c>
      <c r="CU19" s="263" t="str">
        <f t="shared" si="9"/>
        <v>TALLY</v>
      </c>
      <c r="CV19" s="264"/>
      <c r="CW19" s="146" t="str">
        <f>IF(CU19="MISMATCH",COUNTIF($CU$4:CU19,"MISMATCH"),"")</f>
        <v/>
      </c>
      <c r="CX19" s="261"/>
      <c r="CY19" s="264"/>
    </row>
    <row r="20" spans="1:103" x14ac:dyDescent="0.25">
      <c r="A20" s="248" t="s">
        <v>186</v>
      </c>
      <c r="B20" s="256" t="s">
        <v>165</v>
      </c>
      <c r="C20" s="249"/>
      <c r="D20" s="246"/>
      <c r="G20" s="73"/>
      <c r="J20" s="10"/>
      <c r="M20" s="10"/>
      <c r="P20" s="98"/>
      <c r="Q20" s="22"/>
      <c r="R20" s="22"/>
      <c r="S20" s="10"/>
      <c r="V20" s="74"/>
      <c r="Y20" s="10"/>
      <c r="AB20" s="10"/>
      <c r="AE20" s="10"/>
      <c r="AH20" s="73"/>
      <c r="AK20" s="99"/>
      <c r="AL20" s="22"/>
      <c r="AM20" s="22"/>
      <c r="AN20" s="105"/>
      <c r="AO20" s="22"/>
      <c r="AP20" s="106"/>
      <c r="AQ20" s="10"/>
      <c r="AT20" s="10"/>
      <c r="AW20" s="10"/>
      <c r="AZ20" s="10"/>
      <c r="BC20" s="73"/>
      <c r="BF20" s="105"/>
      <c r="BG20" s="22"/>
      <c r="BH20" s="22"/>
      <c r="BI20" s="99"/>
      <c r="BJ20" s="22"/>
      <c r="BK20" s="22"/>
      <c r="BL20" s="73"/>
      <c r="BO20" s="10"/>
      <c r="BR20" s="73"/>
      <c r="BU20" s="10">
        <v>0</v>
      </c>
      <c r="BV20">
        <v>72</v>
      </c>
      <c r="BX20" s="10">
        <v>0</v>
      </c>
      <c r="BY20">
        <v>0</v>
      </c>
      <c r="CA20" s="99"/>
      <c r="CB20" s="22"/>
      <c r="CC20" s="22"/>
      <c r="CD20" s="99"/>
      <c r="CE20" s="22"/>
      <c r="CF20" s="22"/>
      <c r="CG20" s="75">
        <v>0</v>
      </c>
      <c r="CH20" s="6">
        <v>0</v>
      </c>
      <c r="CJ20" s="239">
        <v>0</v>
      </c>
      <c r="CK20" s="211">
        <v>0</v>
      </c>
      <c r="CL20" s="211"/>
      <c r="CM20" s="41">
        <v>0</v>
      </c>
      <c r="CN20" s="211">
        <v>0</v>
      </c>
      <c r="CO20" s="240"/>
      <c r="CP20" s="234">
        <f t="shared" si="5"/>
        <v>0</v>
      </c>
      <c r="CQ20">
        <f t="shared" si="6"/>
        <v>72</v>
      </c>
      <c r="CR20" s="259">
        <f t="shared" si="7"/>
        <v>72</v>
      </c>
      <c r="CS20" s="261">
        <v>72</v>
      </c>
      <c r="CT20" s="262">
        <f t="shared" si="8"/>
        <v>0</v>
      </c>
      <c r="CU20" s="263" t="str">
        <f t="shared" si="9"/>
        <v>TALLY</v>
      </c>
      <c r="CV20" s="264"/>
      <c r="CW20" s="146" t="str">
        <f>IF(CU20="MISMATCH",COUNTIF($CU$4:CU20,"MISMATCH"),"")</f>
        <v/>
      </c>
      <c r="CX20" s="261"/>
      <c r="CY20" s="264"/>
    </row>
    <row r="21" spans="1:103" x14ac:dyDescent="0.25">
      <c r="A21" s="250" t="s">
        <v>163</v>
      </c>
      <c r="B21" s="255" t="s">
        <v>164</v>
      </c>
      <c r="C21" s="249">
        <f>'[1]Storehouse Replenishment Schedu'!CU20</f>
        <v>0</v>
      </c>
      <c r="D21" s="246">
        <v>0</v>
      </c>
      <c r="E21">
        <v>0</v>
      </c>
      <c r="G21" s="73">
        <v>0</v>
      </c>
      <c r="H21">
        <v>0</v>
      </c>
      <c r="J21" s="10">
        <v>0</v>
      </c>
      <c r="K21">
        <v>0</v>
      </c>
      <c r="M21" s="10">
        <v>0</v>
      </c>
      <c r="N21">
        <v>0</v>
      </c>
      <c r="P21" s="98"/>
      <c r="Q21" s="22"/>
      <c r="R21" s="22"/>
      <c r="S21" s="10">
        <v>0</v>
      </c>
      <c r="T21">
        <v>0</v>
      </c>
      <c r="V21" s="74">
        <v>0</v>
      </c>
      <c r="W21">
        <v>0</v>
      </c>
      <c r="Y21" s="10">
        <v>48</v>
      </c>
      <c r="Z21">
        <v>96</v>
      </c>
      <c r="AB21" s="10">
        <v>0</v>
      </c>
      <c r="AC21">
        <v>0</v>
      </c>
      <c r="AE21" s="10">
        <v>0</v>
      </c>
      <c r="AF21">
        <v>0</v>
      </c>
      <c r="AH21" s="73">
        <v>24</v>
      </c>
      <c r="AI21">
        <v>0</v>
      </c>
      <c r="AK21" s="99"/>
      <c r="AL21" s="22"/>
      <c r="AM21" s="22"/>
      <c r="AN21" s="105"/>
      <c r="AO21" s="22"/>
      <c r="AP21" s="22"/>
      <c r="AQ21" s="10">
        <v>0</v>
      </c>
      <c r="AR21">
        <v>0</v>
      </c>
      <c r="AT21" s="10">
        <v>24</v>
      </c>
      <c r="AU21">
        <v>0</v>
      </c>
      <c r="AW21" s="10">
        <v>0</v>
      </c>
      <c r="AZ21" s="10">
        <v>0</v>
      </c>
      <c r="BC21" s="73">
        <v>0</v>
      </c>
      <c r="BD21">
        <v>0</v>
      </c>
      <c r="BF21" s="105"/>
      <c r="BG21" s="22"/>
      <c r="BH21" s="22"/>
      <c r="BI21" s="99"/>
      <c r="BJ21" s="22"/>
      <c r="BK21" s="22"/>
      <c r="BL21" s="73">
        <v>24</v>
      </c>
      <c r="BM21">
        <v>96</v>
      </c>
      <c r="BO21" s="10">
        <v>0</v>
      </c>
      <c r="BP21">
        <v>0</v>
      </c>
      <c r="BR21" s="73">
        <v>0</v>
      </c>
      <c r="BS21">
        <v>0</v>
      </c>
      <c r="BU21" s="10">
        <v>24</v>
      </c>
      <c r="BV21">
        <v>0</v>
      </c>
      <c r="BX21" s="10">
        <v>0</v>
      </c>
      <c r="BY21">
        <v>0</v>
      </c>
      <c r="CA21" s="99"/>
      <c r="CB21" s="22"/>
      <c r="CC21" s="22"/>
      <c r="CD21" s="99"/>
      <c r="CE21" s="22"/>
      <c r="CF21" s="22"/>
      <c r="CG21" s="75">
        <v>0</v>
      </c>
      <c r="CH21" s="6">
        <v>0</v>
      </c>
      <c r="CJ21" s="239">
        <v>24</v>
      </c>
      <c r="CK21" s="211">
        <v>0</v>
      </c>
      <c r="CL21" s="211"/>
      <c r="CM21" s="41">
        <v>0</v>
      </c>
      <c r="CN21" s="211">
        <v>0</v>
      </c>
      <c r="CO21" s="240"/>
      <c r="CP21" s="234">
        <f t="shared" si="5"/>
        <v>168</v>
      </c>
      <c r="CQ21">
        <f t="shared" si="6"/>
        <v>192</v>
      </c>
      <c r="CR21" s="259">
        <f t="shared" si="7"/>
        <v>24</v>
      </c>
      <c r="CS21" s="261">
        <v>24</v>
      </c>
      <c r="CT21" s="262">
        <f t="shared" si="8"/>
        <v>0</v>
      </c>
      <c r="CU21" s="263" t="str">
        <f t="shared" si="9"/>
        <v>TALLY</v>
      </c>
      <c r="CV21" s="264"/>
      <c r="CW21" s="146" t="str">
        <f>IF(CU21="MISMATCH",COUNTIF($CU$4:CU21,"MISMATCH"),"")</f>
        <v/>
      </c>
      <c r="CX21" s="261"/>
      <c r="CY21" s="264"/>
    </row>
    <row r="22" spans="1:103" x14ac:dyDescent="0.25">
      <c r="A22" s="250" t="s">
        <v>163</v>
      </c>
      <c r="B22" s="255" t="s">
        <v>166</v>
      </c>
      <c r="C22" s="249">
        <f>'[1]Storehouse Replenishment Schedu'!CU21</f>
        <v>36</v>
      </c>
      <c r="D22" s="246">
        <v>36</v>
      </c>
      <c r="E22">
        <v>0</v>
      </c>
      <c r="G22" s="73">
        <v>0</v>
      </c>
      <c r="H22">
        <v>0</v>
      </c>
      <c r="J22" s="10">
        <v>0</v>
      </c>
      <c r="K22">
        <v>0</v>
      </c>
      <c r="M22" s="10">
        <v>0</v>
      </c>
      <c r="N22">
        <v>0</v>
      </c>
      <c r="P22" s="98"/>
      <c r="Q22" s="22"/>
      <c r="R22" s="22"/>
      <c r="S22" s="10">
        <v>0</v>
      </c>
      <c r="T22">
        <v>0</v>
      </c>
      <c r="V22" s="74">
        <v>0</v>
      </c>
      <c r="W22">
        <v>0</v>
      </c>
      <c r="Y22" s="10">
        <v>36</v>
      </c>
      <c r="Z22">
        <v>144</v>
      </c>
      <c r="AB22" s="10">
        <v>24</v>
      </c>
      <c r="AC22">
        <v>0</v>
      </c>
      <c r="AE22" s="10">
        <v>36</v>
      </c>
      <c r="AF22">
        <v>0</v>
      </c>
      <c r="AH22" s="73">
        <v>24</v>
      </c>
      <c r="AI22">
        <v>0</v>
      </c>
      <c r="AK22" s="99"/>
      <c r="AL22" s="22"/>
      <c r="AM22" s="22"/>
      <c r="AN22" s="105"/>
      <c r="AO22" s="22"/>
      <c r="AP22" s="22"/>
      <c r="AQ22" s="10">
        <v>24</v>
      </c>
      <c r="AR22">
        <v>0</v>
      </c>
      <c r="AT22" s="10">
        <v>0</v>
      </c>
      <c r="AU22">
        <v>0</v>
      </c>
      <c r="AV22" s="76"/>
      <c r="AW22" s="10">
        <v>0</v>
      </c>
      <c r="AZ22" s="10">
        <v>0</v>
      </c>
      <c r="BC22" s="73">
        <v>0</v>
      </c>
      <c r="BD22">
        <v>0</v>
      </c>
      <c r="BF22" s="105"/>
      <c r="BG22" s="22"/>
      <c r="BH22" s="22"/>
      <c r="BI22" s="99"/>
      <c r="BJ22" s="22"/>
      <c r="BK22" s="22"/>
      <c r="BL22" s="73">
        <v>36</v>
      </c>
      <c r="BM22">
        <v>144</v>
      </c>
      <c r="BO22" s="10">
        <v>24</v>
      </c>
      <c r="BP22">
        <v>0</v>
      </c>
      <c r="BR22" s="73">
        <v>24</v>
      </c>
      <c r="BS22">
        <v>0</v>
      </c>
      <c r="BU22" s="10">
        <v>24</v>
      </c>
      <c r="BV22">
        <v>0</v>
      </c>
      <c r="BX22" s="10">
        <v>24</v>
      </c>
      <c r="BY22">
        <v>0</v>
      </c>
      <c r="CA22" s="99"/>
      <c r="CB22" s="22"/>
      <c r="CC22" s="22"/>
      <c r="CD22" s="99"/>
      <c r="CE22" s="22"/>
      <c r="CF22" s="22"/>
      <c r="CG22" s="75">
        <v>36</v>
      </c>
      <c r="CH22" s="6">
        <v>144</v>
      </c>
      <c r="CJ22" s="239">
        <v>36</v>
      </c>
      <c r="CK22" s="211">
        <v>0</v>
      </c>
      <c r="CL22" s="211"/>
      <c r="CM22" s="41">
        <v>36</v>
      </c>
      <c r="CN22" s="211">
        <v>0</v>
      </c>
      <c r="CO22" s="240"/>
      <c r="CP22" s="234">
        <f t="shared" si="5"/>
        <v>420</v>
      </c>
      <c r="CQ22">
        <f t="shared" si="6"/>
        <v>432</v>
      </c>
      <c r="CR22" s="259">
        <f t="shared" si="7"/>
        <v>48</v>
      </c>
      <c r="CS22" s="261">
        <v>48</v>
      </c>
      <c r="CT22" s="262">
        <f t="shared" si="8"/>
        <v>0</v>
      </c>
      <c r="CU22" s="263" t="str">
        <f t="shared" si="9"/>
        <v>TALLY</v>
      </c>
      <c r="CV22" s="264"/>
      <c r="CW22" s="146" t="str">
        <f>IF(CU22="MISMATCH",COUNTIF($CU$4:CU22,"MISMATCH"),"")</f>
        <v/>
      </c>
      <c r="CX22" s="261"/>
      <c r="CY22" s="264"/>
    </row>
    <row r="23" spans="1:103" x14ac:dyDescent="0.25">
      <c r="A23" s="248" t="s">
        <v>163</v>
      </c>
      <c r="B23" s="256" t="s">
        <v>167</v>
      </c>
      <c r="C23" s="249">
        <f>'[1]Storehouse Replenishment Schedu'!CU22</f>
        <v>36</v>
      </c>
      <c r="D23" s="246">
        <v>36</v>
      </c>
      <c r="E23">
        <v>0</v>
      </c>
      <c r="G23" s="73">
        <v>0</v>
      </c>
      <c r="H23">
        <v>0</v>
      </c>
      <c r="J23" s="10">
        <v>0</v>
      </c>
      <c r="K23">
        <v>0</v>
      </c>
      <c r="M23" s="73">
        <v>0</v>
      </c>
      <c r="N23">
        <v>0</v>
      </c>
      <c r="P23" s="98"/>
      <c r="Q23" s="22"/>
      <c r="R23" s="22"/>
      <c r="S23" s="10">
        <v>0</v>
      </c>
      <c r="T23">
        <v>0</v>
      </c>
      <c r="V23" s="74">
        <v>0</v>
      </c>
      <c r="W23">
        <v>0</v>
      </c>
      <c r="Y23" s="10">
        <v>36</v>
      </c>
      <c r="Z23">
        <v>120</v>
      </c>
      <c r="AB23" s="73">
        <v>24</v>
      </c>
      <c r="AC23">
        <v>0</v>
      </c>
      <c r="AE23" s="10">
        <v>36</v>
      </c>
      <c r="AF23">
        <v>0</v>
      </c>
      <c r="AH23" s="73">
        <v>24</v>
      </c>
      <c r="AI23">
        <v>0</v>
      </c>
      <c r="AK23" s="99"/>
      <c r="AL23" s="22"/>
      <c r="AM23" s="22"/>
      <c r="AN23" s="105"/>
      <c r="AO23" s="22"/>
      <c r="AP23" s="22"/>
      <c r="AQ23" s="10">
        <v>0</v>
      </c>
      <c r="AR23">
        <v>0</v>
      </c>
      <c r="AT23" s="10">
        <v>0</v>
      </c>
      <c r="AU23">
        <v>0</v>
      </c>
      <c r="AW23" s="10">
        <v>0</v>
      </c>
      <c r="AZ23" s="73">
        <v>0</v>
      </c>
      <c r="BC23" s="73">
        <v>0</v>
      </c>
      <c r="BD23">
        <v>0</v>
      </c>
      <c r="BF23" s="105"/>
      <c r="BG23" s="22"/>
      <c r="BH23" s="22"/>
      <c r="BI23" s="99"/>
      <c r="BJ23" s="22"/>
      <c r="BK23" s="22"/>
      <c r="BL23" s="73">
        <v>36</v>
      </c>
      <c r="BM23">
        <v>144</v>
      </c>
      <c r="BO23" s="10">
        <v>24</v>
      </c>
      <c r="BP23">
        <v>0</v>
      </c>
      <c r="BR23" s="73">
        <v>24</v>
      </c>
      <c r="BS23">
        <v>0</v>
      </c>
      <c r="BU23" s="10">
        <v>24</v>
      </c>
      <c r="BV23">
        <v>0</v>
      </c>
      <c r="BX23" s="10">
        <v>12</v>
      </c>
      <c r="BY23">
        <v>0</v>
      </c>
      <c r="CA23" s="99"/>
      <c r="CB23" s="22"/>
      <c r="CC23" s="22"/>
      <c r="CD23" s="99"/>
      <c r="CE23" s="22"/>
      <c r="CF23" s="22"/>
      <c r="CG23" s="75">
        <v>36</v>
      </c>
      <c r="CH23" s="6">
        <v>144</v>
      </c>
      <c r="CJ23" s="239">
        <v>24</v>
      </c>
      <c r="CK23" s="211">
        <v>0</v>
      </c>
      <c r="CL23" s="211"/>
      <c r="CM23" s="41">
        <v>24</v>
      </c>
      <c r="CN23" s="211">
        <v>0</v>
      </c>
      <c r="CO23" s="240"/>
      <c r="CP23" s="234">
        <f t="shared" si="5"/>
        <v>360</v>
      </c>
      <c r="CQ23">
        <f t="shared" si="6"/>
        <v>408</v>
      </c>
      <c r="CR23" s="259">
        <f t="shared" si="7"/>
        <v>84</v>
      </c>
      <c r="CS23" s="261">
        <v>84</v>
      </c>
      <c r="CT23" s="262">
        <f t="shared" si="8"/>
        <v>0</v>
      </c>
      <c r="CU23" s="263" t="str">
        <f t="shared" si="9"/>
        <v>TALLY</v>
      </c>
      <c r="CV23" s="264"/>
      <c r="CW23" s="146" t="str">
        <f>IF(CU23="MISMATCH",COUNTIF($CU$4:CU23,"MISMATCH"),"")</f>
        <v/>
      </c>
      <c r="CX23" s="261"/>
      <c r="CY23" s="264"/>
    </row>
    <row r="24" spans="1:103" x14ac:dyDescent="0.25">
      <c r="A24" s="248" t="s">
        <v>168</v>
      </c>
      <c r="B24" s="256" t="s">
        <v>169</v>
      </c>
      <c r="C24" s="249">
        <f>'[1]Storehouse Replenishment Schedu'!CU23</f>
        <v>96</v>
      </c>
      <c r="D24" s="246">
        <v>0</v>
      </c>
      <c r="E24">
        <v>0</v>
      </c>
      <c r="G24" s="73">
        <v>48</v>
      </c>
      <c r="H24">
        <v>0</v>
      </c>
      <c r="J24" s="10">
        <v>0</v>
      </c>
      <c r="K24">
        <v>0</v>
      </c>
      <c r="M24" s="10">
        <v>0</v>
      </c>
      <c r="N24">
        <v>0</v>
      </c>
      <c r="P24" s="98"/>
      <c r="Q24" s="22"/>
      <c r="R24" s="22"/>
      <c r="S24" s="10">
        <v>0</v>
      </c>
      <c r="T24">
        <v>0</v>
      </c>
      <c r="V24" s="74">
        <v>48</v>
      </c>
      <c r="W24">
        <v>0</v>
      </c>
      <c r="Y24" s="10">
        <v>0</v>
      </c>
      <c r="Z24">
        <v>0</v>
      </c>
      <c r="AB24" s="10">
        <v>0</v>
      </c>
      <c r="AC24">
        <v>0</v>
      </c>
      <c r="AE24" s="10">
        <v>0</v>
      </c>
      <c r="AF24">
        <v>0</v>
      </c>
      <c r="AH24" s="73">
        <v>0</v>
      </c>
      <c r="AI24">
        <v>0</v>
      </c>
      <c r="AK24" s="99"/>
      <c r="AL24" s="22"/>
      <c r="AM24" s="22"/>
      <c r="AN24" s="105"/>
      <c r="AO24" s="22"/>
      <c r="AP24" s="22"/>
      <c r="AQ24" s="10">
        <v>0</v>
      </c>
      <c r="AR24">
        <v>0</v>
      </c>
      <c r="AT24" s="10">
        <v>0</v>
      </c>
      <c r="AU24">
        <v>0</v>
      </c>
      <c r="AW24" s="10">
        <v>0</v>
      </c>
      <c r="AZ24" s="10">
        <v>0</v>
      </c>
      <c r="BC24" s="10">
        <v>0</v>
      </c>
      <c r="BD24">
        <v>0</v>
      </c>
      <c r="BF24" s="105"/>
      <c r="BG24" s="22"/>
      <c r="BH24" s="22"/>
      <c r="BI24" s="99"/>
      <c r="BJ24" s="22"/>
      <c r="BK24" s="22"/>
      <c r="BL24" s="73">
        <v>48</v>
      </c>
      <c r="BM24">
        <v>144</v>
      </c>
      <c r="BO24" s="10">
        <v>0</v>
      </c>
      <c r="BP24">
        <v>0</v>
      </c>
      <c r="BR24" s="73">
        <v>48</v>
      </c>
      <c r="BS24">
        <v>0</v>
      </c>
      <c r="BU24" s="10">
        <v>48</v>
      </c>
      <c r="BV24">
        <v>0</v>
      </c>
      <c r="BX24" s="10">
        <v>0</v>
      </c>
      <c r="BY24">
        <v>0</v>
      </c>
      <c r="CA24" s="99"/>
      <c r="CB24" s="22"/>
      <c r="CC24" s="22"/>
      <c r="CD24" s="99"/>
      <c r="CE24" s="22"/>
      <c r="CF24" s="22"/>
      <c r="CG24" s="75">
        <v>0</v>
      </c>
      <c r="CH24" s="6">
        <v>0</v>
      </c>
      <c r="CJ24" s="239">
        <v>0</v>
      </c>
      <c r="CK24" s="211">
        <v>0</v>
      </c>
      <c r="CL24" s="211"/>
      <c r="CM24" s="41">
        <v>0</v>
      </c>
      <c r="CN24" s="211">
        <v>0</v>
      </c>
      <c r="CO24" s="240"/>
      <c r="CP24" s="234">
        <f t="shared" si="5"/>
        <v>240</v>
      </c>
      <c r="CQ24">
        <f t="shared" si="6"/>
        <v>144</v>
      </c>
      <c r="CR24" s="259">
        <f>C24+CQ24-CP24</f>
        <v>0</v>
      </c>
      <c r="CS24" s="261">
        <v>0</v>
      </c>
      <c r="CT24" s="262">
        <f t="shared" si="8"/>
        <v>0</v>
      </c>
      <c r="CU24" s="263" t="str">
        <f t="shared" si="9"/>
        <v>TALLY</v>
      </c>
      <c r="CV24" s="264"/>
      <c r="CW24" s="146" t="str">
        <f>IF(CU24="MISMATCH",COUNTIF($CU$4:CU24,"MISMATCH"),"")</f>
        <v/>
      </c>
      <c r="CX24" s="261"/>
      <c r="CY24" s="264"/>
    </row>
    <row r="25" spans="1:103" x14ac:dyDescent="0.25">
      <c r="A25" s="248" t="s">
        <v>170</v>
      </c>
      <c r="B25" s="256" t="s">
        <v>171</v>
      </c>
      <c r="C25" s="249">
        <f>'[1]Storehouse Replenishment Schedu'!CU24</f>
        <v>0</v>
      </c>
      <c r="D25" s="246">
        <v>0</v>
      </c>
      <c r="E25">
        <v>0</v>
      </c>
      <c r="G25" s="73">
        <v>0</v>
      </c>
      <c r="H25">
        <v>0</v>
      </c>
      <c r="J25" s="10">
        <v>0</v>
      </c>
      <c r="K25">
        <v>0</v>
      </c>
      <c r="M25" s="10">
        <v>0</v>
      </c>
      <c r="N25">
        <v>0</v>
      </c>
      <c r="P25" s="98"/>
      <c r="Q25" s="22"/>
      <c r="R25" s="22"/>
      <c r="S25" s="10">
        <v>0</v>
      </c>
      <c r="T25">
        <v>0</v>
      </c>
      <c r="V25" s="74">
        <v>0</v>
      </c>
      <c r="W25">
        <v>0</v>
      </c>
      <c r="Y25" s="10">
        <v>72</v>
      </c>
      <c r="Z25">
        <v>72</v>
      </c>
      <c r="AB25" s="10">
        <v>0</v>
      </c>
      <c r="AC25">
        <v>0</v>
      </c>
      <c r="AE25" s="10">
        <v>0</v>
      </c>
      <c r="AF25">
        <v>0</v>
      </c>
      <c r="AH25" s="73">
        <v>0</v>
      </c>
      <c r="AI25">
        <v>0</v>
      </c>
      <c r="AK25" s="99"/>
      <c r="AL25" s="22"/>
      <c r="AM25" s="22"/>
      <c r="AN25" s="105"/>
      <c r="AO25" s="22"/>
      <c r="AP25" s="22"/>
      <c r="AQ25" s="10">
        <v>0</v>
      </c>
      <c r="AR25">
        <v>0</v>
      </c>
      <c r="AT25" s="10">
        <v>0</v>
      </c>
      <c r="AU25">
        <v>0</v>
      </c>
      <c r="AW25" s="10">
        <v>0</v>
      </c>
      <c r="AZ25" s="10">
        <v>0</v>
      </c>
      <c r="BC25" s="10">
        <v>0</v>
      </c>
      <c r="BD25">
        <v>0</v>
      </c>
      <c r="BF25" s="105"/>
      <c r="BG25" s="22"/>
      <c r="BH25" s="22"/>
      <c r="BI25" s="99"/>
      <c r="BJ25" s="22"/>
      <c r="BK25" s="22"/>
      <c r="BL25" s="73">
        <v>0</v>
      </c>
      <c r="BM25">
        <v>0</v>
      </c>
      <c r="BO25" s="10">
        <v>0</v>
      </c>
      <c r="BP25">
        <v>0</v>
      </c>
      <c r="BR25" s="73">
        <v>0</v>
      </c>
      <c r="BS25">
        <v>0</v>
      </c>
      <c r="BU25" s="10">
        <v>0</v>
      </c>
      <c r="BV25">
        <v>0</v>
      </c>
      <c r="BX25" s="10">
        <v>0</v>
      </c>
      <c r="BY25">
        <v>0</v>
      </c>
      <c r="CA25" s="99"/>
      <c r="CB25" s="22"/>
      <c r="CC25" s="22"/>
      <c r="CD25" s="99"/>
      <c r="CE25" s="22"/>
      <c r="CF25" s="22"/>
      <c r="CG25" s="75">
        <v>72</v>
      </c>
      <c r="CH25" s="6">
        <v>72</v>
      </c>
      <c r="CJ25" s="239">
        <v>0</v>
      </c>
      <c r="CK25" s="211">
        <v>0</v>
      </c>
      <c r="CL25" s="211"/>
      <c r="CM25" s="41">
        <v>0</v>
      </c>
      <c r="CN25" s="211">
        <v>0</v>
      </c>
      <c r="CO25" s="240"/>
      <c r="CP25" s="234">
        <f t="shared" si="5"/>
        <v>144</v>
      </c>
      <c r="CQ25">
        <f t="shared" si="6"/>
        <v>144</v>
      </c>
      <c r="CR25" s="259">
        <f t="shared" ref="CR25:CR30" si="10">C25-CP25+CQ25</f>
        <v>0</v>
      </c>
      <c r="CS25" s="261">
        <v>0</v>
      </c>
      <c r="CT25" s="262">
        <f t="shared" si="8"/>
        <v>0</v>
      </c>
      <c r="CU25" s="263" t="str">
        <f t="shared" si="9"/>
        <v>TALLY</v>
      </c>
      <c r="CV25" s="264"/>
      <c r="CW25" s="146" t="str">
        <f>IF(CU25="MISMATCH",COUNTIF($CU$4:CU25,"MISMATCH"),"")</f>
        <v/>
      </c>
      <c r="CX25" s="261"/>
      <c r="CY25" s="264"/>
    </row>
    <row r="26" spans="1:103" x14ac:dyDescent="0.25">
      <c r="A26" s="248" t="s">
        <v>172</v>
      </c>
      <c r="B26" s="256" t="s">
        <v>173</v>
      </c>
      <c r="C26" s="249">
        <f>'[1]Storehouse Replenishment Schedu'!CU25</f>
        <v>0</v>
      </c>
      <c r="D26" s="246">
        <v>0</v>
      </c>
      <c r="E26">
        <v>0</v>
      </c>
      <c r="G26" s="73">
        <v>0</v>
      </c>
      <c r="H26">
        <v>0</v>
      </c>
      <c r="J26" s="10">
        <v>0</v>
      </c>
      <c r="K26">
        <v>0</v>
      </c>
      <c r="M26" s="10">
        <v>0</v>
      </c>
      <c r="N26">
        <v>0</v>
      </c>
      <c r="P26" s="98"/>
      <c r="Q26" s="22"/>
      <c r="R26" s="22"/>
      <c r="S26" s="10">
        <v>0</v>
      </c>
      <c r="T26">
        <v>0</v>
      </c>
      <c r="V26" s="74">
        <v>0</v>
      </c>
      <c r="W26">
        <v>0</v>
      </c>
      <c r="Y26" s="10">
        <v>0</v>
      </c>
      <c r="Z26">
        <v>0</v>
      </c>
      <c r="AB26" s="10">
        <v>0</v>
      </c>
      <c r="AC26">
        <v>0</v>
      </c>
      <c r="AE26" s="10">
        <v>0</v>
      </c>
      <c r="AF26">
        <v>0</v>
      </c>
      <c r="AH26" s="73">
        <v>0</v>
      </c>
      <c r="AI26">
        <v>0</v>
      </c>
      <c r="AK26" s="99"/>
      <c r="AL26" s="22"/>
      <c r="AM26" s="22"/>
      <c r="AN26" s="99"/>
      <c r="AO26" s="22"/>
      <c r="AP26" s="22"/>
      <c r="AQ26" s="10">
        <v>0</v>
      </c>
      <c r="AR26">
        <v>0</v>
      </c>
      <c r="AT26" s="10">
        <v>0</v>
      </c>
      <c r="AU26">
        <v>0</v>
      </c>
      <c r="AW26" s="10">
        <v>0</v>
      </c>
      <c r="AZ26" s="10">
        <v>0</v>
      </c>
      <c r="BC26" s="10">
        <v>0</v>
      </c>
      <c r="BD26">
        <v>0</v>
      </c>
      <c r="BF26" s="105"/>
      <c r="BG26" s="22"/>
      <c r="BH26" s="22"/>
      <c r="BI26" s="99"/>
      <c r="BJ26" s="22"/>
      <c r="BK26" s="22"/>
      <c r="BL26" s="73">
        <v>0</v>
      </c>
      <c r="BM26">
        <v>0</v>
      </c>
      <c r="BO26" s="10">
        <v>0</v>
      </c>
      <c r="BP26">
        <v>0</v>
      </c>
      <c r="BR26" s="73">
        <v>0</v>
      </c>
      <c r="BS26">
        <v>0</v>
      </c>
      <c r="BU26" s="10">
        <v>0</v>
      </c>
      <c r="BV26">
        <v>0</v>
      </c>
      <c r="BX26" s="10">
        <v>0</v>
      </c>
      <c r="BY26">
        <v>0</v>
      </c>
      <c r="CA26" s="99"/>
      <c r="CB26" s="22"/>
      <c r="CC26" s="22"/>
      <c r="CD26" s="99"/>
      <c r="CE26" s="22"/>
      <c r="CF26" s="22"/>
      <c r="CG26" s="75">
        <v>0</v>
      </c>
      <c r="CH26" s="6">
        <v>0</v>
      </c>
      <c r="CJ26" s="239">
        <v>0</v>
      </c>
      <c r="CK26" s="211">
        <v>0</v>
      </c>
      <c r="CL26" s="211"/>
      <c r="CM26" s="41">
        <v>0</v>
      </c>
      <c r="CN26" s="211">
        <v>0</v>
      </c>
      <c r="CO26" s="240"/>
      <c r="CP26" s="234">
        <f t="shared" si="5"/>
        <v>0</v>
      </c>
      <c r="CQ26">
        <f t="shared" si="6"/>
        <v>0</v>
      </c>
      <c r="CR26" s="259">
        <f t="shared" si="10"/>
        <v>0</v>
      </c>
      <c r="CS26" s="261">
        <v>0</v>
      </c>
      <c r="CT26" s="262">
        <f t="shared" si="8"/>
        <v>0</v>
      </c>
      <c r="CU26" s="263" t="str">
        <f t="shared" si="9"/>
        <v>TALLY</v>
      </c>
      <c r="CV26" s="264"/>
      <c r="CW26" s="146" t="str">
        <f>IF(CU26="MISMATCH",COUNTIF($CU$4:CU26,"MISMATCH"),"")</f>
        <v/>
      </c>
      <c r="CX26" s="261"/>
      <c r="CY26" s="264"/>
    </row>
    <row r="27" spans="1:103" x14ac:dyDescent="0.25">
      <c r="A27" s="248" t="s">
        <v>174</v>
      </c>
      <c r="B27" s="256" t="s">
        <v>175</v>
      </c>
      <c r="C27" s="249">
        <f>'[1]Storehouse Replenishment Schedu'!CU26</f>
        <v>24</v>
      </c>
      <c r="D27" s="246">
        <v>0</v>
      </c>
      <c r="E27">
        <v>0</v>
      </c>
      <c r="G27" s="73">
        <v>0</v>
      </c>
      <c r="H27">
        <v>0</v>
      </c>
      <c r="J27" s="10">
        <v>24</v>
      </c>
      <c r="K27">
        <v>0</v>
      </c>
      <c r="M27" s="10">
        <v>0</v>
      </c>
      <c r="N27">
        <v>120</v>
      </c>
      <c r="P27" s="98"/>
      <c r="Q27" s="22"/>
      <c r="R27" s="22"/>
      <c r="S27" s="10">
        <v>0</v>
      </c>
      <c r="T27">
        <v>0</v>
      </c>
      <c r="V27" s="74">
        <v>48</v>
      </c>
      <c r="W27">
        <v>0</v>
      </c>
      <c r="Y27" s="10">
        <v>0</v>
      </c>
      <c r="Z27">
        <v>0</v>
      </c>
      <c r="AB27" s="10">
        <v>0</v>
      </c>
      <c r="AC27">
        <v>0</v>
      </c>
      <c r="AE27" s="10">
        <v>0</v>
      </c>
      <c r="AF27">
        <v>0</v>
      </c>
      <c r="AH27" s="73">
        <v>0</v>
      </c>
      <c r="AI27">
        <v>0</v>
      </c>
      <c r="AK27" s="99"/>
      <c r="AL27" s="22"/>
      <c r="AM27" s="22"/>
      <c r="AN27" s="99"/>
      <c r="AO27" s="22"/>
      <c r="AP27" s="22"/>
      <c r="AQ27" s="10">
        <v>24</v>
      </c>
      <c r="AR27">
        <v>0</v>
      </c>
      <c r="AT27" s="10">
        <v>0</v>
      </c>
      <c r="AU27">
        <v>0</v>
      </c>
      <c r="AW27" s="10">
        <v>0</v>
      </c>
      <c r="AZ27" s="10">
        <v>0</v>
      </c>
      <c r="BC27" s="10">
        <v>24</v>
      </c>
      <c r="BD27">
        <v>0</v>
      </c>
      <c r="BF27" s="105"/>
      <c r="BG27" s="22"/>
      <c r="BH27" s="22"/>
      <c r="BI27" s="99"/>
      <c r="BJ27" s="22"/>
      <c r="BK27" s="22"/>
      <c r="BL27" s="73">
        <v>0</v>
      </c>
      <c r="BM27" s="21">
        <v>72</v>
      </c>
      <c r="BO27" s="10">
        <v>24</v>
      </c>
      <c r="BP27">
        <v>0</v>
      </c>
      <c r="BR27" s="73">
        <v>0</v>
      </c>
      <c r="BS27">
        <v>0</v>
      </c>
      <c r="BU27" s="10">
        <v>24</v>
      </c>
      <c r="BV27">
        <v>0</v>
      </c>
      <c r="BX27" s="10">
        <v>0</v>
      </c>
      <c r="BY27">
        <v>0</v>
      </c>
      <c r="CA27" s="99"/>
      <c r="CB27" s="22"/>
      <c r="CC27" s="22"/>
      <c r="CD27" s="99"/>
      <c r="CE27" s="22"/>
      <c r="CF27" s="22"/>
      <c r="CG27" s="75">
        <v>0</v>
      </c>
      <c r="CH27" s="6">
        <v>0</v>
      </c>
      <c r="CJ27" s="239">
        <v>48</v>
      </c>
      <c r="CK27" s="211">
        <v>72</v>
      </c>
      <c r="CL27" s="211"/>
      <c r="CM27" s="41">
        <v>0</v>
      </c>
      <c r="CN27" s="211">
        <v>0</v>
      </c>
      <c r="CO27" s="240"/>
      <c r="CP27" s="234">
        <f t="shared" si="5"/>
        <v>216</v>
      </c>
      <c r="CQ27">
        <f t="shared" si="6"/>
        <v>264</v>
      </c>
      <c r="CR27" s="259">
        <f t="shared" si="10"/>
        <v>72</v>
      </c>
      <c r="CS27" s="261">
        <v>72</v>
      </c>
      <c r="CT27" s="262">
        <f t="shared" si="8"/>
        <v>0</v>
      </c>
      <c r="CU27" s="263" t="str">
        <f t="shared" si="9"/>
        <v>TALLY</v>
      </c>
      <c r="CV27" s="264"/>
      <c r="CW27" s="146" t="str">
        <f>IF(CU27="MISMATCH",COUNTIF($CU$4:CU27,"MISMATCH"),"")</f>
        <v/>
      </c>
      <c r="CX27" s="261"/>
      <c r="CY27" s="264"/>
    </row>
    <row r="28" spans="1:103" x14ac:dyDescent="0.25">
      <c r="A28" s="248" t="s">
        <v>176</v>
      </c>
      <c r="B28" s="256" t="s">
        <v>177</v>
      </c>
      <c r="C28" s="249">
        <f>'[1]Storehouse Replenishment Schedu'!CU27</f>
        <v>168</v>
      </c>
      <c r="D28" s="246">
        <v>48</v>
      </c>
      <c r="E28">
        <v>0</v>
      </c>
      <c r="G28" s="73">
        <v>24</v>
      </c>
      <c r="H28">
        <v>0</v>
      </c>
      <c r="J28" s="10">
        <v>24</v>
      </c>
      <c r="K28">
        <v>0</v>
      </c>
      <c r="M28" s="10">
        <v>0</v>
      </c>
      <c r="N28">
        <v>0</v>
      </c>
      <c r="P28" s="98"/>
      <c r="Q28" s="22"/>
      <c r="R28" s="22"/>
      <c r="S28" s="10">
        <v>0</v>
      </c>
      <c r="T28">
        <v>0</v>
      </c>
      <c r="V28" s="74">
        <v>48</v>
      </c>
      <c r="W28">
        <v>0</v>
      </c>
      <c r="Y28" s="10">
        <v>0</v>
      </c>
      <c r="Z28">
        <v>0</v>
      </c>
      <c r="AB28" s="10">
        <v>24</v>
      </c>
      <c r="AC28">
        <v>168</v>
      </c>
      <c r="AE28" s="10">
        <v>48</v>
      </c>
      <c r="AF28">
        <v>0</v>
      </c>
      <c r="AH28" s="73">
        <v>0</v>
      </c>
      <c r="AI28">
        <v>0</v>
      </c>
      <c r="AK28" s="99"/>
      <c r="AL28" s="22"/>
      <c r="AM28" s="22"/>
      <c r="AN28" s="99"/>
      <c r="AO28" s="22"/>
      <c r="AP28" s="22"/>
      <c r="AQ28" s="10">
        <v>48</v>
      </c>
      <c r="AR28">
        <v>0</v>
      </c>
      <c r="AT28" s="10">
        <v>24</v>
      </c>
      <c r="AU28">
        <v>0</v>
      </c>
      <c r="AW28" s="10">
        <v>0</v>
      </c>
      <c r="AZ28" s="10">
        <v>24</v>
      </c>
      <c r="BC28" s="10">
        <v>24</v>
      </c>
      <c r="BD28">
        <v>0</v>
      </c>
      <c r="BF28" s="105"/>
      <c r="BG28" s="22"/>
      <c r="BH28" s="22"/>
      <c r="BI28" s="99"/>
      <c r="BJ28" s="22"/>
      <c r="BK28" s="22"/>
      <c r="BL28" s="73">
        <v>0</v>
      </c>
      <c r="BM28">
        <v>240</v>
      </c>
      <c r="BO28" s="10">
        <v>48</v>
      </c>
      <c r="BP28">
        <v>0</v>
      </c>
      <c r="BR28" s="73">
        <v>24</v>
      </c>
      <c r="BS28">
        <v>0</v>
      </c>
      <c r="BU28" s="10">
        <v>24</v>
      </c>
      <c r="BV28">
        <v>0</v>
      </c>
      <c r="BX28" s="10">
        <v>24</v>
      </c>
      <c r="BY28">
        <v>0</v>
      </c>
      <c r="CA28" s="99"/>
      <c r="CB28" s="22"/>
      <c r="CC28" s="22"/>
      <c r="CD28" s="99"/>
      <c r="CE28" s="22"/>
      <c r="CF28" s="22"/>
      <c r="CG28" s="75">
        <v>48</v>
      </c>
      <c r="CH28" s="6">
        <v>0</v>
      </c>
      <c r="CJ28" s="239">
        <v>24</v>
      </c>
      <c r="CK28" s="211">
        <v>0</v>
      </c>
      <c r="CL28" s="211"/>
      <c r="CM28" s="41">
        <v>24</v>
      </c>
      <c r="CN28" s="211">
        <v>240</v>
      </c>
      <c r="CO28" s="240"/>
      <c r="CP28" s="234">
        <f t="shared" si="5"/>
        <v>552</v>
      </c>
      <c r="CQ28">
        <f t="shared" si="6"/>
        <v>648</v>
      </c>
      <c r="CR28" s="259">
        <f t="shared" si="10"/>
        <v>264</v>
      </c>
      <c r="CS28" s="261">
        <v>264</v>
      </c>
      <c r="CT28" s="262">
        <f t="shared" si="8"/>
        <v>0</v>
      </c>
      <c r="CU28" s="263" t="str">
        <f t="shared" si="9"/>
        <v>TALLY</v>
      </c>
      <c r="CV28" s="264"/>
      <c r="CW28" s="146" t="str">
        <f>IF(CU28="MISMATCH",COUNTIF($CU$4:CU28,"MISMATCH"),"")</f>
        <v/>
      </c>
      <c r="CX28" s="261"/>
      <c r="CY28" s="264"/>
    </row>
    <row r="29" spans="1:103" x14ac:dyDescent="0.25">
      <c r="A29" s="248" t="s">
        <v>178</v>
      </c>
      <c r="B29" s="256" t="s">
        <v>179</v>
      </c>
      <c r="C29" s="249">
        <f>'[1]Storehouse Replenishment Schedu'!CU28</f>
        <v>48</v>
      </c>
      <c r="D29" s="246">
        <v>24</v>
      </c>
      <c r="E29">
        <v>0</v>
      </c>
      <c r="G29" s="73">
        <v>0</v>
      </c>
      <c r="H29">
        <v>0</v>
      </c>
      <c r="J29" s="10">
        <v>24</v>
      </c>
      <c r="K29">
        <v>0</v>
      </c>
      <c r="M29" s="10">
        <v>0</v>
      </c>
      <c r="N29">
        <v>0</v>
      </c>
      <c r="P29" s="98"/>
      <c r="Q29" s="22"/>
      <c r="R29" s="22"/>
      <c r="S29" s="10">
        <v>0</v>
      </c>
      <c r="T29">
        <v>0</v>
      </c>
      <c r="V29" s="74">
        <v>48</v>
      </c>
      <c r="W29">
        <v>144</v>
      </c>
      <c r="Y29" s="10">
        <v>0</v>
      </c>
      <c r="Z29">
        <v>0</v>
      </c>
      <c r="AB29" s="10">
        <v>24</v>
      </c>
      <c r="AC29">
        <v>0</v>
      </c>
      <c r="AE29" s="10">
        <v>0</v>
      </c>
      <c r="AF29">
        <v>0</v>
      </c>
      <c r="AH29" s="73">
        <v>48</v>
      </c>
      <c r="AI29">
        <v>144</v>
      </c>
      <c r="AK29" s="99"/>
      <c r="AL29" s="22"/>
      <c r="AM29" s="22"/>
      <c r="AN29" s="99"/>
      <c r="AO29" s="22"/>
      <c r="AP29" s="22"/>
      <c r="AQ29" s="10">
        <v>0</v>
      </c>
      <c r="AR29">
        <v>0</v>
      </c>
      <c r="AT29" s="10">
        <v>0</v>
      </c>
      <c r="AU29">
        <v>0</v>
      </c>
      <c r="AW29" s="10">
        <v>0</v>
      </c>
      <c r="AZ29" s="10">
        <v>24</v>
      </c>
      <c r="BC29" s="10">
        <v>0</v>
      </c>
      <c r="BD29">
        <v>0</v>
      </c>
      <c r="BF29" s="105"/>
      <c r="BG29" s="22"/>
      <c r="BH29" s="22"/>
      <c r="BI29" s="10"/>
      <c r="BL29" s="73">
        <v>0</v>
      </c>
      <c r="BM29">
        <v>0</v>
      </c>
      <c r="BO29" s="10">
        <v>24</v>
      </c>
      <c r="BP29">
        <v>0</v>
      </c>
      <c r="BR29" s="73">
        <v>0</v>
      </c>
      <c r="BS29">
        <v>0</v>
      </c>
      <c r="BU29" s="10">
        <v>48</v>
      </c>
      <c r="BV29">
        <v>0</v>
      </c>
      <c r="BX29" s="10">
        <v>0</v>
      </c>
      <c r="BY29">
        <v>0</v>
      </c>
      <c r="CA29" s="99"/>
      <c r="CB29" s="22"/>
      <c r="CC29" s="22"/>
      <c r="CD29" s="99"/>
      <c r="CE29" s="22"/>
      <c r="CF29" s="22"/>
      <c r="CG29" s="75">
        <v>24</v>
      </c>
      <c r="CH29" s="6">
        <v>0</v>
      </c>
      <c r="CJ29" s="239">
        <v>48</v>
      </c>
      <c r="CK29" s="211">
        <v>0</v>
      </c>
      <c r="CL29" s="211"/>
      <c r="CM29" s="41">
        <v>0</v>
      </c>
      <c r="CN29" s="211">
        <v>0</v>
      </c>
      <c r="CO29" s="240"/>
      <c r="CP29" s="234">
        <f t="shared" si="5"/>
        <v>336</v>
      </c>
      <c r="CQ29">
        <f t="shared" si="6"/>
        <v>288</v>
      </c>
      <c r="CR29" s="259">
        <f t="shared" si="10"/>
        <v>0</v>
      </c>
      <c r="CS29" s="261">
        <v>0</v>
      </c>
      <c r="CT29" s="262">
        <f t="shared" si="8"/>
        <v>0</v>
      </c>
      <c r="CU29" s="263" t="str">
        <f t="shared" si="9"/>
        <v>TALLY</v>
      </c>
      <c r="CV29" s="264"/>
      <c r="CW29" s="146" t="str">
        <f>IF(CU29="MISMATCH",COUNTIF($CU$4:CU29,"MISMATCH"),"")</f>
        <v/>
      </c>
      <c r="CX29" s="261"/>
      <c r="CY29" s="264"/>
    </row>
    <row r="30" spans="1:103" ht="15.75" thickBot="1" x14ac:dyDescent="0.3">
      <c r="A30" s="251" t="s">
        <v>178</v>
      </c>
      <c r="B30" s="257" t="s">
        <v>180</v>
      </c>
      <c r="C30" s="252">
        <f>'[1]Storehouse Replenishment Schedu'!CU29</f>
        <v>69</v>
      </c>
      <c r="D30" s="247">
        <v>24</v>
      </c>
      <c r="E30" s="77">
        <v>0</v>
      </c>
      <c r="F30" s="77"/>
      <c r="G30" s="95">
        <v>0</v>
      </c>
      <c r="H30" s="77">
        <v>0</v>
      </c>
      <c r="I30" s="77"/>
      <c r="J30" s="15">
        <v>45</v>
      </c>
      <c r="K30" s="77">
        <v>0</v>
      </c>
      <c r="L30" s="77"/>
      <c r="M30" s="15">
        <v>0</v>
      </c>
      <c r="N30" s="77">
        <v>0</v>
      </c>
      <c r="O30" s="77"/>
      <c r="P30" s="100"/>
      <c r="Q30" s="101"/>
      <c r="R30" s="101"/>
      <c r="S30" s="15">
        <v>0</v>
      </c>
      <c r="T30" s="77">
        <v>0</v>
      </c>
      <c r="U30" s="77"/>
      <c r="V30" s="15">
        <v>0</v>
      </c>
      <c r="W30" s="77">
        <v>0</v>
      </c>
      <c r="X30" s="77"/>
      <c r="Y30" s="15">
        <v>0</v>
      </c>
      <c r="Z30" s="77">
        <v>240</v>
      </c>
      <c r="AA30" s="77"/>
      <c r="AB30" s="15">
        <v>48</v>
      </c>
      <c r="AC30" s="77">
        <v>0</v>
      </c>
      <c r="AD30" s="77"/>
      <c r="AE30" s="15">
        <v>0</v>
      </c>
      <c r="AF30" s="77">
        <v>0</v>
      </c>
      <c r="AG30" s="77"/>
      <c r="AH30" s="15">
        <v>48</v>
      </c>
      <c r="AI30" s="77">
        <v>0</v>
      </c>
      <c r="AJ30" s="77"/>
      <c r="AK30" s="107"/>
      <c r="AL30" s="101"/>
      <c r="AM30" s="101"/>
      <c r="AN30" s="107"/>
      <c r="AO30" s="101"/>
      <c r="AP30" s="101"/>
      <c r="AQ30" s="15">
        <v>48</v>
      </c>
      <c r="AR30" s="77">
        <v>0</v>
      </c>
      <c r="AS30" s="77"/>
      <c r="AT30" s="15">
        <v>0</v>
      </c>
      <c r="AU30" s="77">
        <v>69</v>
      </c>
      <c r="AV30" s="77"/>
      <c r="AW30" s="15">
        <v>0</v>
      </c>
      <c r="AX30" s="77"/>
      <c r="AY30" s="77"/>
      <c r="AZ30" s="15">
        <v>33</v>
      </c>
      <c r="BA30" s="77"/>
      <c r="BB30" s="77"/>
      <c r="BC30" s="15">
        <v>36</v>
      </c>
      <c r="BD30" s="77">
        <v>0</v>
      </c>
      <c r="BE30" s="77"/>
      <c r="BF30" s="105"/>
      <c r="BG30" s="22"/>
      <c r="BH30" s="22"/>
      <c r="BI30" s="15"/>
      <c r="BJ30" s="77"/>
      <c r="BK30" s="77"/>
      <c r="BL30" s="15">
        <v>0</v>
      </c>
      <c r="BM30" s="77">
        <v>0</v>
      </c>
      <c r="BN30" s="77"/>
      <c r="BO30" s="15">
        <v>24</v>
      </c>
      <c r="BP30" s="77">
        <v>0</v>
      </c>
      <c r="BQ30" s="77"/>
      <c r="BR30" s="95">
        <v>0</v>
      </c>
      <c r="BS30" s="77">
        <v>0</v>
      </c>
      <c r="BT30" s="77"/>
      <c r="BU30" s="15">
        <v>24</v>
      </c>
      <c r="BV30" s="77">
        <v>0</v>
      </c>
      <c r="BW30" s="77"/>
      <c r="BX30" s="15">
        <v>0</v>
      </c>
      <c r="BY30" s="77">
        <v>0</v>
      </c>
      <c r="BZ30" s="77"/>
      <c r="CA30" s="107"/>
      <c r="CB30" s="101"/>
      <c r="CC30" s="101"/>
      <c r="CD30" s="107"/>
      <c r="CE30" s="101"/>
      <c r="CF30" s="101"/>
      <c r="CG30" s="78">
        <v>24</v>
      </c>
      <c r="CH30" s="111">
        <v>0</v>
      </c>
      <c r="CI30" s="77"/>
      <c r="CJ30" s="241">
        <v>24</v>
      </c>
      <c r="CK30" s="242">
        <v>0</v>
      </c>
      <c r="CL30" s="242"/>
      <c r="CM30" s="243">
        <v>0</v>
      </c>
      <c r="CN30" s="242">
        <v>0</v>
      </c>
      <c r="CO30" s="244"/>
      <c r="CP30" s="111">
        <f>SUMIF($D$3:$CO$3,"Stock Out ",D30:CO30)</f>
        <v>378</v>
      </c>
      <c r="CQ30" s="77">
        <f t="shared" si="6"/>
        <v>309</v>
      </c>
      <c r="CR30" s="260">
        <f t="shared" si="10"/>
        <v>0</v>
      </c>
      <c r="CS30" s="265">
        <v>0</v>
      </c>
      <c r="CT30" s="266">
        <f t="shared" si="8"/>
        <v>0</v>
      </c>
      <c r="CU30" s="267" t="str">
        <f t="shared" si="9"/>
        <v>TALLY</v>
      </c>
      <c r="CV30" s="268"/>
      <c r="CW30" s="146" t="str">
        <f>IF(CU30="MISMATCH",COUNTIF($CU$4:CU30,"MISMATCH"),"")</f>
        <v/>
      </c>
      <c r="CX30" s="265"/>
      <c r="CY30" s="268"/>
    </row>
    <row r="31" spans="1:103" ht="15.75" thickBot="1" x14ac:dyDescent="0.3">
      <c r="P31" s="9"/>
      <c r="CU31" s="9"/>
    </row>
    <row r="32" spans="1:103" x14ac:dyDescent="0.25">
      <c r="B32" s="147" t="s">
        <v>222</v>
      </c>
      <c r="C32" s="147">
        <f>SUM(C4:C30)</f>
        <v>1112</v>
      </c>
      <c r="P32" s="9"/>
      <c r="CP32" s="147">
        <f>SUM(CP4:CP30)</f>
        <v>5569</v>
      </c>
      <c r="CQ32" s="147">
        <f>SUM(CQ4:CQ30)</f>
        <v>6046</v>
      </c>
      <c r="CR32" s="147">
        <f>SUM(CR4:CR30)</f>
        <v>1589</v>
      </c>
      <c r="CU32" s="9"/>
      <c r="CX32" s="147">
        <f>SUM(CX4:CX30)</f>
        <v>2</v>
      </c>
    </row>
    <row r="33" spans="2:16" x14ac:dyDescent="0.25">
      <c r="P33" s="9"/>
    </row>
    <row r="34" spans="2:16" ht="15.75" customHeight="1" x14ac:dyDescent="0.25">
      <c r="B34" s="148" t="s">
        <v>223</v>
      </c>
      <c r="P34" s="9"/>
    </row>
    <row r="35" spans="2:16" x14ac:dyDescent="0.25">
      <c r="B35" s="141" t="s">
        <v>81</v>
      </c>
      <c r="C35" s="145">
        <f>COUNT(CS4:CS30)</f>
        <v>26</v>
      </c>
      <c r="P35" s="9"/>
    </row>
    <row r="36" spans="2:16" x14ac:dyDescent="0.25">
      <c r="B36" s="141" t="s">
        <v>224</v>
      </c>
      <c r="C36" s="145">
        <f>COUNTIF(CU4:CU30,"TALLY")</f>
        <v>26</v>
      </c>
      <c r="P36" s="9"/>
    </row>
    <row r="37" spans="2:16" x14ac:dyDescent="0.25">
      <c r="B37" s="141" t="s">
        <v>84</v>
      </c>
      <c r="C37" s="145">
        <f>COUNTIF(CU4:CU30,"MISMATCH")</f>
        <v>0</v>
      </c>
    </row>
    <row r="38" spans="2:16" x14ac:dyDescent="0.25">
      <c r="B38" s="141" t="s">
        <v>85</v>
      </c>
      <c r="C38" s="145">
        <f>COUNTIF(CU4:CU30,"NOT COUNTED")</f>
        <v>0</v>
      </c>
    </row>
    <row r="39" spans="2:16" x14ac:dyDescent="0.25">
      <c r="B39" s="141" t="s">
        <v>225</v>
      </c>
      <c r="C39" s="149">
        <f>IF(C35=0,"n/a",C36/C35)</f>
        <v>1</v>
      </c>
    </row>
    <row r="41" spans="2:16" x14ac:dyDescent="0.25">
      <c r="B41" s="150" t="s">
        <v>226</v>
      </c>
    </row>
    <row r="42" spans="2:16" x14ac:dyDescent="0.25">
      <c r="B42" s="150" t="s">
        <v>227</v>
      </c>
    </row>
  </sheetData>
  <mergeCells count="34">
    <mergeCell ref="CX2:CY2"/>
    <mergeCell ref="CP2:CR2"/>
    <mergeCell ref="CJ2:CL2"/>
    <mergeCell ref="CS1:CU1"/>
    <mergeCell ref="AH2:AJ2"/>
    <mergeCell ref="AT2:AV2"/>
    <mergeCell ref="AZ2:BB2"/>
    <mergeCell ref="AK2:AM2"/>
    <mergeCell ref="BF2:BH2"/>
    <mergeCell ref="BL2:BN2"/>
    <mergeCell ref="AW2:AY2"/>
    <mergeCell ref="BR2:BT2"/>
    <mergeCell ref="BC2:BE2"/>
    <mergeCell ref="BI2:BK2"/>
    <mergeCell ref="CS2:CV2"/>
    <mergeCell ref="BU2:BW2"/>
    <mergeCell ref="CA2:CC2"/>
    <mergeCell ref="CG2:CI2"/>
    <mergeCell ref="CM2:CO2"/>
    <mergeCell ref="AQ2:AS2"/>
    <mergeCell ref="AB2:AD2"/>
    <mergeCell ref="AN2:AP2"/>
    <mergeCell ref="BX2:BZ2"/>
    <mergeCell ref="CD2:CF2"/>
    <mergeCell ref="D2:F2"/>
    <mergeCell ref="BO2:BQ2"/>
    <mergeCell ref="Y2:AA2"/>
    <mergeCell ref="AE2:AG2"/>
    <mergeCell ref="P2:R2"/>
    <mergeCell ref="J2:L2"/>
    <mergeCell ref="V2:X2"/>
    <mergeCell ref="G2:I2"/>
    <mergeCell ref="M2:O2"/>
    <mergeCell ref="S2:U2"/>
  </mergeCells>
  <conditionalFormatting sqref="C37">
    <cfRule type="cellIs" dxfId="46" priority="7" operator="greaterThan">
      <formula>0</formula>
    </cfRule>
  </conditionalFormatting>
  <conditionalFormatting sqref="CR4:CR30">
    <cfRule type="cellIs" dxfId="45" priority="1" operator="equal">
      <formula>0</formula>
    </cfRule>
  </conditionalFormatting>
  <conditionalFormatting sqref="CT4:CT30">
    <cfRule type="cellIs" dxfId="44" priority="5" operator="lessThan">
      <formula>0</formula>
    </cfRule>
    <cfRule type="cellIs" dxfId="43" priority="6" operator="greaterThan">
      <formula>0</formula>
    </cfRule>
  </conditionalFormatting>
  <conditionalFormatting sqref="CU4:CU30">
    <cfRule type="expression" dxfId="42" priority="2" stopIfTrue="1">
      <formula>$CU4="TALLY"</formula>
    </cfRule>
    <cfRule type="expression" dxfId="41" priority="3" stopIfTrue="1">
      <formula>$CU4="MISMATCH"</formula>
    </cfRule>
    <cfRule type="expression" dxfId="40" priority="4" stopIfTrue="1">
      <formula>$CU4="NOT COUNTED"</formula>
    </cfRule>
  </conditionalFormatting>
  <dataValidations count="2">
    <dataValidation type="whole" errorStyle="warning" operator="greaterThanOrEqual" allowBlank="1" showErrorMessage="1" errorTitle="Spoiled / damaged" error="Enter a whole number of units (0 or more)." sqref="CX4:CX30" xr:uid="{00000000-0002-0000-0200-000000000000}">
      <formula1>0</formula1>
    </dataValidation>
    <dataValidation type="whole" errorStyle="warning" operator="greaterThanOrEqual" allowBlank="1" showErrorMessage="1" errorTitle="Physical count" error="Enter the counted quantity as a whole number (0 or more)." sqref="CS4:CS30" xr:uid="{00000000-0002-0000-0300-000000000000}">
      <formula1>0</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7F7F"/>
  </sheetPr>
  <dimension ref="A1:AJ676"/>
  <sheetViews>
    <sheetView workbookViewId="0">
      <pane ySplit="1" topLeftCell="A2" activePane="bottomLeft" state="frozen"/>
      <selection pane="bottomLeft" activeCell="Q29" sqref="Q29"/>
    </sheetView>
  </sheetViews>
  <sheetFormatPr defaultRowHeight="15" x14ac:dyDescent="0.25"/>
  <cols>
    <col min="1" max="1" width="11" customWidth="1"/>
    <col min="2" max="2" width="6" customWidth="1"/>
    <col min="3" max="3" width="12" customWidth="1"/>
    <col min="4" max="4" width="14" customWidth="1"/>
    <col min="5" max="5" width="46" customWidth="1"/>
    <col min="6" max="6" width="13" customWidth="1"/>
    <col min="7" max="7" width="9" customWidth="1"/>
    <col min="8" max="8" width="10" customWidth="1"/>
    <col min="9" max="9" width="12" customWidth="1"/>
    <col min="10" max="10" width="9" customWidth="1"/>
    <col min="11" max="11" width="13" customWidth="1"/>
    <col min="12" max="12" width="14" customWidth="1"/>
    <col min="13" max="13" width="12" customWidth="1"/>
    <col min="14" max="15" width="14" customWidth="1"/>
    <col min="16" max="20" width="16" customWidth="1"/>
    <col min="21" max="21" width="40" customWidth="1"/>
    <col min="22" max="22" width="16" customWidth="1"/>
    <col min="26" max="26" width="16" customWidth="1"/>
    <col min="28" max="30" width="16" customWidth="1"/>
    <col min="32" max="32" width="16" customWidth="1"/>
    <col min="33" max="33" width="14" customWidth="1"/>
    <col min="34" max="36" width="16" customWidth="1"/>
  </cols>
  <sheetData>
    <row r="1" spans="1:36" ht="45" customHeight="1" x14ac:dyDescent="0.25">
      <c r="A1" s="173" t="s">
        <v>34</v>
      </c>
      <c r="B1" s="173" t="s">
        <v>36</v>
      </c>
      <c r="C1" s="173" t="s">
        <v>66</v>
      </c>
      <c r="D1" s="173" t="s">
        <v>126</v>
      </c>
      <c r="E1" s="173" t="s">
        <v>37</v>
      </c>
      <c r="F1" s="173" t="s">
        <v>188</v>
      </c>
      <c r="G1" s="173" t="s">
        <v>129</v>
      </c>
      <c r="H1" s="173" t="s">
        <v>189</v>
      </c>
      <c r="I1" s="173" t="s">
        <v>131</v>
      </c>
      <c r="J1" s="173" t="s">
        <v>190</v>
      </c>
      <c r="K1" s="173" t="s">
        <v>191</v>
      </c>
      <c r="L1" s="173" t="s">
        <v>192</v>
      </c>
      <c r="M1" s="173" t="s">
        <v>193</v>
      </c>
      <c r="N1" s="173" t="s">
        <v>194</v>
      </c>
      <c r="O1" s="173" t="s">
        <v>195</v>
      </c>
      <c r="P1" s="174" t="s">
        <v>196</v>
      </c>
      <c r="Q1" s="174" t="s">
        <v>197</v>
      </c>
      <c r="R1" s="174" t="s">
        <v>198</v>
      </c>
      <c r="S1" s="174" t="s">
        <v>199</v>
      </c>
      <c r="T1" s="174" t="s">
        <v>200</v>
      </c>
      <c r="U1" s="174" t="s">
        <v>201</v>
      </c>
      <c r="V1" s="174" t="s">
        <v>383</v>
      </c>
      <c r="W1" s="175" t="s">
        <v>202</v>
      </c>
      <c r="Z1" s="176" t="s">
        <v>203</v>
      </c>
      <c r="AB1" s="176" t="s">
        <v>204</v>
      </c>
      <c r="AC1" s="176" t="s">
        <v>205</v>
      </c>
      <c r="AD1" s="176" t="s">
        <v>206</v>
      </c>
      <c r="AF1" s="176" t="s">
        <v>207</v>
      </c>
      <c r="AG1" s="173" t="s">
        <v>372</v>
      </c>
      <c r="AH1" s="176" t="s">
        <v>384</v>
      </c>
      <c r="AI1" s="176" t="s">
        <v>385</v>
      </c>
      <c r="AJ1" s="176" t="s">
        <v>386</v>
      </c>
    </row>
    <row r="2" spans="1:36" x14ac:dyDescent="0.25">
      <c r="A2" s="177">
        <f t="shared" ref="A2:A28" si="0">IF($Z$2="",0,$Z$2)</f>
        <v>46266</v>
      </c>
      <c r="B2" s="178" t="str">
        <f t="shared" ref="B2:B65" si="1">IF(A2=0,"",CHOOSE(WEEKDAY(A2,2),"Mon","Tue","Wed","Thu","Fri","Sat","Sun"))</f>
        <v>Tue</v>
      </c>
      <c r="C2" s="178" t="str">
        <f>'Pantry Inventory'!$A$2</f>
        <v>Sep Week 1</v>
      </c>
      <c r="D2" s="178" t="str">
        <f>IF('Pantry Inventory'!A5="","",'Pantry Inventory'!A5)</f>
        <v>Julie's</v>
      </c>
      <c r="E2" s="178" t="str">
        <f>IF('Pantry Inventory'!B5="","",'Pantry Inventory'!B5)</f>
        <v>Julie's Peanut Butter Sandwich 360g (12pkts x 30g)</v>
      </c>
      <c r="F2" s="178" t="str">
        <f>IF(E2="","",IFERROR(IF(INDEX('Item Purchases'!$S$4:$S$30,MATCH(E2,'Item Purchases'!$B$4:$B$30,0))="","Uncategorised",INDEX('Item Purchases'!$S$4:$S$30,MATCH(E2,'Item Purchases'!$B$4:$B$30,0))),"Uncategorised"))</f>
        <v>Sweet</v>
      </c>
      <c r="G2" s="178">
        <f>IF(E2="",0,'Pantry Inventory'!D5)</f>
        <v>0</v>
      </c>
      <c r="H2" s="178">
        <f>IF(E2="","",IF('Pantry Inventory'!E5="","",'Pantry Inventory'!E5))</f>
        <v>30</v>
      </c>
      <c r="I2" s="178">
        <f>IF(H2="","",'Pantry Inventory'!F5)</f>
        <v>11</v>
      </c>
      <c r="J2" s="179">
        <f>IF(E2="",0,IFERROR(INDEX('Item Purchases'!$Q$4:$Q$30,MATCH(E2,'Item Purchases'!$B$4:$B$30,0)),0))</f>
        <v>1.083</v>
      </c>
      <c r="K2" s="180">
        <f t="shared" ref="K2:K65" si="2">IF(I2="","",I2*J2)</f>
        <v>11.913</v>
      </c>
      <c r="L2" s="178">
        <f t="shared" ref="L2:L65" si="3">IF(H2="",0,1)</f>
        <v>1</v>
      </c>
      <c r="M2" s="178">
        <f>IF(E2="",0,IF(AND(OR(OR(Dashboard!$E$5="All",Dashboard!$E$5=""),AG2=Dashboard!$E$5),OR(OR(Dashboard!$H$5="All",Dashboard!$H$5=""),F2=Dashboard!$H$5),OR(OR(Dashboard!$B$5="All",Dashboard!$B$5=""),C2=Dashboard!$B$5),OR(OR(Dashboard!$K$5="All",Dashboard!$K$5=""),A2=Dashboard!$K$5),OR(OR(Dashboard!$N$5="All",Dashboard!$N$5=""),B2=Dashboard!$N$5),OR(OR(Dashboard!$Q$5="All",Dashboard!$Q$5=""),D2=Dashboard!$Q$5),OR(OR(Dashboard!$U$5="All",Dashboard!$U$5=""),E2=Dashboard!$U$5)),1,0))</f>
        <v>1</v>
      </c>
      <c r="N2" s="178">
        <f>IF(E2="",0,IF(AND(OR(OR(Dashboard!$E$5="All",Dashboard!$E$5=""),AG2=Dashboard!$E$5),OR(OR(Dashboard!$B$5="All",Dashboard!$B$5=""),C2=Dashboard!$B$5),OR(OR(Dashboard!$K$5="All",Dashboard!$K$5=""),A2=Dashboard!$K$5),OR(OR(Dashboard!$N$5="All",Dashboard!$N$5=""),B2=Dashboard!$N$5),OR(OR(Dashboard!$Q$5="All",Dashboard!$Q$5=""),D2=Dashboard!$Q$5),OR(OR(Dashboard!$U$5="All",Dashboard!$U$5=""),E2=Dashboard!$U$5)),1,0))</f>
        <v>1</v>
      </c>
      <c r="O2" s="165">
        <f t="shared" ref="O2:O65" si="4">IF(AND(N(H2)&gt;0,ISNUMBER(I2)),I2^2,0)</f>
        <v>121</v>
      </c>
      <c r="P2" s="165" t="s">
        <v>7</v>
      </c>
      <c r="Q2" s="165" t="s">
        <v>7</v>
      </c>
      <c r="R2" s="165" t="s">
        <v>7</v>
      </c>
      <c r="S2" s="165" t="s">
        <v>7</v>
      </c>
      <c r="T2" s="165" t="s">
        <v>7</v>
      </c>
      <c r="U2" s="165" t="s">
        <v>7</v>
      </c>
      <c r="V2" s="165" t="s">
        <v>7</v>
      </c>
      <c r="Z2" s="167">
        <f>IF('Pantry Inventory'!$D$2&lt;&gt;"",'Pantry Inventory'!$D$2,IF(COUNT('Pantry Inventory'!D5:D31)+COUNT('Pantry Inventory'!E5:E31)&gt;0,AF2,""))</f>
        <v>46266</v>
      </c>
      <c r="AB2" s="165" t="str">
        <f>IF('Item Purchases'!$U$4="","",'Item Purchases'!$U$4)</f>
        <v>Julie's</v>
      </c>
      <c r="AC2" s="165">
        <f>IF(AB2="","",IF(COUNTIF(AB$2:AB2,AB2)=1,COUNT(AC$1:AC1)+1,""))</f>
        <v>1</v>
      </c>
      <c r="AD2" s="165">
        <f>IF('Item Purchases'!$B$4="","",COUNT(AD$1:AD1)+1)</f>
        <v>1</v>
      </c>
      <c r="AF2" s="167">
        <f>IF('Pantry Inventory'!$D$2&lt;&gt;"",'Pantry Inventory'!$D$2,IF('Pantry Inventory'!$C$2="","",WORKDAY('Pantry Inventory'!$C$2,1)))</f>
        <v>46266</v>
      </c>
      <c r="AG2" s="178" t="str">
        <f>IF(E2="","",IFERROR(IF(INDEX('Item Purchases'!$AM$4:$AM$30,MATCH(E2,'Item Purchases'!$B$4:$B$30,0))="","Uncategorised",INDEX('Item Purchases'!$AM$4:$AM$30,MATCH(E2,'Item Purchases'!$B$4:$B$30,0))),"Uncategorised"))</f>
        <v>Snacks</v>
      </c>
      <c r="AH2" s="165">
        <f>IF(AND(E2&lt;&gt;"",L2=1),COUNTIFS($E$2:E2,E2,$L$2:L2,1),0)</f>
        <v>1</v>
      </c>
      <c r="AI2" s="165">
        <f t="shared" ref="AI2:AI65" si="5">IF(ISNUMBER(I2),I2,0)</f>
        <v>11</v>
      </c>
      <c r="AJ2" s="165">
        <f t="shared" ref="AJ2:AJ65" si="6">IF(AND(L2=1,N(H2)&gt;0),1,0)</f>
        <v>1</v>
      </c>
    </row>
    <row r="3" spans="1:36" x14ac:dyDescent="0.25">
      <c r="A3" s="177">
        <f t="shared" si="0"/>
        <v>46266</v>
      </c>
      <c r="B3" s="178" t="str">
        <f t="shared" si="1"/>
        <v>Tue</v>
      </c>
      <c r="C3" s="178" t="str">
        <f>'Pantry Inventory'!$A$2</f>
        <v>Sep Week 1</v>
      </c>
      <c r="D3" s="178" t="str">
        <f>IF('Pantry Inventory'!A6="","",'Pantry Inventory'!A6)</f>
        <v>Julie's</v>
      </c>
      <c r="E3" s="178" t="str">
        <f>IF('Pantry Inventory'!B6="","",'Pantry Inventory'!B6)</f>
        <v>Julies Butter Waffles</v>
      </c>
      <c r="F3" s="178" t="str">
        <f>IF(E3="","",IFERROR(IF(INDEX('Item Purchases'!$S$4:$S$30,MATCH(E3,'Item Purchases'!$B$4:$B$30,0))="","Uncategorised",INDEX('Item Purchases'!$S$4:$S$30,MATCH(E3,'Item Purchases'!$B$4:$B$30,0))),"Uncategorised"))</f>
        <v>Sweet</v>
      </c>
      <c r="G3" s="178">
        <f>IF(E3="",0,'Pantry Inventory'!D6)</f>
        <v>0</v>
      </c>
      <c r="H3" s="178">
        <f>IF(E3="","",IF('Pantry Inventory'!E6="","",'Pantry Inventory'!E6))</f>
        <v>12</v>
      </c>
      <c r="I3" s="178">
        <f>IF(H3="","",'Pantry Inventory'!F6)</f>
        <v>0</v>
      </c>
      <c r="J3" s="179">
        <f>IF(E3="",0,IFERROR(INDEX('Item Purchases'!$Q$4:$Q$30,MATCH(E3,'Item Purchases'!$B$4:$B$30,0)),0))</f>
        <v>5.15</v>
      </c>
      <c r="K3" s="180">
        <f t="shared" si="2"/>
        <v>0</v>
      </c>
      <c r="L3" s="178">
        <f t="shared" si="3"/>
        <v>1</v>
      </c>
      <c r="M3" s="178">
        <f>IF(E3="",0,IF(AND(OR(OR(Dashboard!$E$5="All",Dashboard!$E$5=""),AG3=Dashboard!$E$5),OR(OR(Dashboard!$H$5="All",Dashboard!$H$5=""),F3=Dashboard!$H$5),OR(OR(Dashboard!$B$5="All",Dashboard!$B$5=""),C3=Dashboard!$B$5),OR(OR(Dashboard!$K$5="All",Dashboard!$K$5=""),A3=Dashboard!$K$5),OR(OR(Dashboard!$N$5="All",Dashboard!$N$5=""),B3=Dashboard!$N$5),OR(OR(Dashboard!$Q$5="All",Dashboard!$Q$5=""),D3=Dashboard!$Q$5),OR(OR(Dashboard!$U$5="All",Dashboard!$U$5=""),E3=Dashboard!$U$5)),1,0))</f>
        <v>1</v>
      </c>
      <c r="N3" s="178">
        <f>IF(E3="",0,IF(AND(OR(OR(Dashboard!$E$5="All",Dashboard!$E$5=""),AG3=Dashboard!$E$5),OR(OR(Dashboard!$B$5="All",Dashboard!$B$5=""),C3=Dashboard!$B$5),OR(OR(Dashboard!$K$5="All",Dashboard!$K$5=""),A3=Dashboard!$K$5),OR(OR(Dashboard!$N$5="All",Dashboard!$N$5=""),B3=Dashboard!$N$5),OR(OR(Dashboard!$Q$5="All",Dashboard!$Q$5=""),D3=Dashboard!$Q$5),OR(OR(Dashboard!$U$5="All",Dashboard!$U$5=""),E3=Dashboard!$U$5)),1,0))</f>
        <v>1</v>
      </c>
      <c r="O3" s="165">
        <f t="shared" si="4"/>
        <v>0</v>
      </c>
      <c r="P3" s="165" t="str">
        <f>'Pantry Inventory'!$A$2</f>
        <v>Sep Week 1</v>
      </c>
      <c r="Q3" s="165" t="s">
        <v>387</v>
      </c>
      <c r="R3" s="167">
        <f>IFERROR(SMALL($Z$2:$Z$26,1),"")</f>
        <v>46266</v>
      </c>
      <c r="S3" s="165" t="s">
        <v>49</v>
      </c>
      <c r="T3" s="165" t="str">
        <f>IFERROR(INDEX($AB$2:$AB$28,MATCH(1,$AC$2:$AC$28,0)),"")</f>
        <v>Julie's</v>
      </c>
      <c r="U3" s="165" t="str">
        <f>IFERROR(INDEX('Item Purchases'!$B$4:$B$30,MATCH(1,$AD$2:$AD$28,0)),"")</f>
        <v>Julie's Peanut Butter Sandwich 360g (12pkts x 30g)</v>
      </c>
      <c r="V3" s="165" t="s">
        <v>48</v>
      </c>
      <c r="Z3" s="167">
        <f>IF('Pantry Inventory'!$G$2&lt;&gt;"",'Pantry Inventory'!$G$2,IF(COUNT('Pantry Inventory'!G5:G31)+COUNT('Pantry Inventory'!H5:H31)&gt;0,AF3,""))</f>
        <v>46267</v>
      </c>
      <c r="AB3" s="165" t="str">
        <f>IF('Item Purchases'!$U$5="","",'Item Purchases'!$U$5)</f>
        <v>Julie's</v>
      </c>
      <c r="AC3" s="165" t="str">
        <f>IF(AB3="","",IF(COUNTIF(AB$2:AB3,AB3)=1,COUNT(AC$1:AC2)+1,""))</f>
        <v/>
      </c>
      <c r="AD3" s="165">
        <f>IF('Item Purchases'!$B$5="","",COUNT(AD$1:AD2)+1)</f>
        <v>2</v>
      </c>
      <c r="AF3" s="167">
        <f>IF('Pantry Inventory'!$G$2&lt;&gt;"",'Pantry Inventory'!$G$2,IF(AF2="","",WORKDAY(AF2,1)))</f>
        <v>46267</v>
      </c>
      <c r="AG3" s="178" t="str">
        <f>IF(E3="","",IFERROR(IF(INDEX('Item Purchases'!$AM$4:$AM$30,MATCH(E3,'Item Purchases'!$B$4:$B$30,0))="","Uncategorised",INDEX('Item Purchases'!$AM$4:$AM$30,MATCH(E3,'Item Purchases'!$B$4:$B$30,0))),"Uncategorised"))</f>
        <v>Snacks</v>
      </c>
      <c r="AH3" s="165">
        <f>IF(AND(E3&lt;&gt;"",L3=1),COUNTIFS($E$2:E3,E3,$L$2:L3,1),0)</f>
        <v>1</v>
      </c>
      <c r="AI3" s="165">
        <f t="shared" si="5"/>
        <v>0</v>
      </c>
      <c r="AJ3" s="165">
        <f t="shared" si="6"/>
        <v>1</v>
      </c>
    </row>
    <row r="4" spans="1:36" x14ac:dyDescent="0.25">
      <c r="A4" s="177">
        <f t="shared" si="0"/>
        <v>46266</v>
      </c>
      <c r="B4" s="178" t="str">
        <f t="shared" si="1"/>
        <v>Tue</v>
      </c>
      <c r="C4" s="178" t="str">
        <f>'Pantry Inventory'!$A$2</f>
        <v>Sep Week 1</v>
      </c>
      <c r="D4" s="178" t="str">
        <f>IF('Pantry Inventory'!A7="","",'Pantry Inventory'!A7)</f>
        <v>Julie's</v>
      </c>
      <c r="E4" s="178" t="str">
        <f>IF('Pantry Inventory'!B7="","",'Pantry Inventory'!B7)</f>
        <v>Julies Choco More Sandwich (44G)</v>
      </c>
      <c r="F4" s="178" t="str">
        <f>IF(E4="","",IFERROR(IF(INDEX('Item Purchases'!$S$4:$S$30,MATCH(E4,'Item Purchases'!$B$4:$B$30,0))="","Uncategorised",INDEX('Item Purchases'!$S$4:$S$30,MATCH(E4,'Item Purchases'!$B$4:$B$30,0))),"Uncategorised"))</f>
        <v>Sweet</v>
      </c>
      <c r="G4" s="178">
        <f>IF(E4="",0,'Pantry Inventory'!D7)</f>
        <v>0</v>
      </c>
      <c r="H4" s="178">
        <f>IF(E4="","",IF('Pantry Inventory'!E7="","",'Pantry Inventory'!E7))</f>
        <v>0</v>
      </c>
      <c r="I4" s="178">
        <f>IF(H4="","",'Pantry Inventory'!F7)</f>
        <v>0</v>
      </c>
      <c r="J4" s="179">
        <f>IF(E4="",0,IFERROR(INDEX('Item Purchases'!$Q$4:$Q$30,MATCH(E4,'Item Purchases'!$B$4:$B$30,0)),0))</f>
        <v>1.2</v>
      </c>
      <c r="K4" s="180">
        <f t="shared" si="2"/>
        <v>0</v>
      </c>
      <c r="L4" s="178">
        <f t="shared" si="3"/>
        <v>1</v>
      </c>
      <c r="M4" s="178">
        <f>IF(E4="",0,IF(AND(OR(OR(Dashboard!$E$5="All",Dashboard!$E$5=""),AG4=Dashboard!$E$5),OR(OR(Dashboard!$H$5="All",Dashboard!$H$5=""),F4=Dashboard!$H$5),OR(OR(Dashboard!$B$5="All",Dashboard!$B$5=""),C4=Dashboard!$B$5),OR(OR(Dashboard!$K$5="All",Dashboard!$K$5=""),A4=Dashboard!$K$5),OR(OR(Dashboard!$N$5="All",Dashboard!$N$5=""),B4=Dashboard!$N$5),OR(OR(Dashboard!$Q$5="All",Dashboard!$Q$5=""),D4=Dashboard!$Q$5),OR(OR(Dashboard!$U$5="All",Dashboard!$U$5=""),E4=Dashboard!$U$5)),1,0))</f>
        <v>1</v>
      </c>
      <c r="N4" s="178">
        <f>IF(E4="",0,IF(AND(OR(OR(Dashboard!$E$5="All",Dashboard!$E$5=""),AG4=Dashboard!$E$5),OR(OR(Dashboard!$B$5="All",Dashboard!$B$5=""),C4=Dashboard!$B$5),OR(OR(Dashboard!$K$5="All",Dashboard!$K$5=""),A4=Dashboard!$K$5),OR(OR(Dashboard!$N$5="All",Dashboard!$N$5=""),B4=Dashboard!$N$5),OR(OR(Dashboard!$Q$5="All",Dashboard!$Q$5=""),D4=Dashboard!$Q$5),OR(OR(Dashboard!$U$5="All",Dashboard!$U$5=""),E4=Dashboard!$U$5)),1,0))</f>
        <v>1</v>
      </c>
      <c r="O4" s="165">
        <f t="shared" si="4"/>
        <v>0</v>
      </c>
      <c r="P4" s="165" t="str">
        <f>'Pantry Inventory'!$A$34</f>
        <v>Sep Week 2</v>
      </c>
      <c r="Q4" s="165" t="s">
        <v>388</v>
      </c>
      <c r="R4" s="167">
        <f>IFERROR(SMALL($Z$2:$Z$26,2),"")</f>
        <v>46267</v>
      </c>
      <c r="S4" s="165" t="s">
        <v>52</v>
      </c>
      <c r="T4" s="165" t="str">
        <f>IFERROR(INDEX($AB$2:$AB$28,MATCH(2,$AC$2:$AC$28,0)),"")</f>
        <v>Nature Valley</v>
      </c>
      <c r="U4" s="165" t="str">
        <f>IFERROR(INDEX('Item Purchases'!$B$4:$B$30,MATCH(2,$AD$2:$AD$28,0)),"")</f>
        <v>Julies Butter Waffles</v>
      </c>
      <c r="V4" s="165" t="s">
        <v>51</v>
      </c>
      <c r="Z4" s="167">
        <f>IF('Pantry Inventory'!$J$2&lt;&gt;"",'Pantry Inventory'!$J$2,IF(COUNT('Pantry Inventory'!J5:J31)+COUNT('Pantry Inventory'!K5:K31)&gt;0,AF4,""))</f>
        <v>46268</v>
      </c>
      <c r="AB4" s="165" t="str">
        <f>IF('Item Purchases'!$U$6="","",'Item Purchases'!$U$6)</f>
        <v>Julie's</v>
      </c>
      <c r="AC4" s="165" t="str">
        <f>IF(AB4="","",IF(COUNTIF(AB$2:AB4,AB4)=1,COUNT(AC$1:AC3)+1,""))</f>
        <v/>
      </c>
      <c r="AD4" s="165">
        <f>IF('Item Purchases'!$B$6="","",COUNT(AD$1:AD3)+1)</f>
        <v>3</v>
      </c>
      <c r="AF4" s="167">
        <f>IF('Pantry Inventory'!$J$2&lt;&gt;"",'Pantry Inventory'!$J$2,IF(AF3="","",WORKDAY(AF3,1)))</f>
        <v>46268</v>
      </c>
      <c r="AG4" s="178" t="str">
        <f>IF(E4="","",IFERROR(IF(INDEX('Item Purchases'!$AM$4:$AM$30,MATCH(E4,'Item Purchases'!$B$4:$B$30,0))="","Uncategorised",INDEX('Item Purchases'!$AM$4:$AM$30,MATCH(E4,'Item Purchases'!$B$4:$B$30,0))),"Uncategorised"))</f>
        <v>Snacks</v>
      </c>
      <c r="AH4" s="165">
        <f>IF(AND(E4&lt;&gt;"",L4=1),COUNTIFS($E$2:E4,E4,$L$2:L4,1),0)</f>
        <v>1</v>
      </c>
      <c r="AI4" s="165">
        <f t="shared" si="5"/>
        <v>0</v>
      </c>
      <c r="AJ4" s="165">
        <f t="shared" si="6"/>
        <v>0</v>
      </c>
    </row>
    <row r="5" spans="1:36" x14ac:dyDescent="0.25">
      <c r="A5" s="177">
        <f t="shared" si="0"/>
        <v>46266</v>
      </c>
      <c r="B5" s="178" t="str">
        <f t="shared" si="1"/>
        <v>Tue</v>
      </c>
      <c r="C5" s="178" t="str">
        <f>'Pantry Inventory'!$A$2</f>
        <v>Sep Week 1</v>
      </c>
      <c r="D5" s="178" t="str">
        <f>IF('Pantry Inventory'!A8="","",'Pantry Inventory'!A8)</f>
        <v>Julie's</v>
      </c>
      <c r="E5" s="178" t="str">
        <f>IF('Pantry Inventory'!B8="","",'Pantry Inventory'!B8)</f>
        <v>Julies Cheese Sandwich (28G)</v>
      </c>
      <c r="F5" s="178" t="str">
        <f>IF(E5="","",IFERROR(IF(INDEX('Item Purchases'!$S$4:$S$30,MATCH(E5,'Item Purchases'!$B$4:$B$30,0))="","Uncategorised",INDEX('Item Purchases'!$S$4:$S$30,MATCH(E5,'Item Purchases'!$B$4:$B$30,0))),"Uncategorised"))</f>
        <v>Savoury</v>
      </c>
      <c r="G5" s="178">
        <f>IF(E5="",0,'Pantry Inventory'!D8)</f>
        <v>0</v>
      </c>
      <c r="H5" s="178">
        <f>IF(E5="","",IF('Pantry Inventory'!E8="","",'Pantry Inventory'!E8))</f>
        <v>42</v>
      </c>
      <c r="I5" s="178">
        <f>IF(H5="","",'Pantry Inventory'!F8)</f>
        <v>9</v>
      </c>
      <c r="J5" s="179">
        <f>IF(E5="",0,IFERROR(INDEX('Item Purchases'!$Q$4:$Q$30,MATCH(E5,'Item Purchases'!$B$4:$B$30,0)),0))</f>
        <v>1.1000000000000001</v>
      </c>
      <c r="K5" s="180">
        <f t="shared" si="2"/>
        <v>9.9</v>
      </c>
      <c r="L5" s="178">
        <f t="shared" si="3"/>
        <v>1</v>
      </c>
      <c r="M5" s="178">
        <f>IF(E5="",0,IF(AND(OR(OR(Dashboard!$E$5="All",Dashboard!$E$5=""),AG5=Dashboard!$E$5),OR(OR(Dashboard!$H$5="All",Dashboard!$H$5=""),F5=Dashboard!$H$5),OR(OR(Dashboard!$B$5="All",Dashboard!$B$5=""),C5=Dashboard!$B$5),OR(OR(Dashboard!$K$5="All",Dashboard!$K$5=""),A5=Dashboard!$K$5),OR(OR(Dashboard!$N$5="All",Dashboard!$N$5=""),B5=Dashboard!$N$5),OR(OR(Dashboard!$Q$5="All",Dashboard!$Q$5=""),D5=Dashboard!$Q$5),OR(OR(Dashboard!$U$5="All",Dashboard!$U$5=""),E5=Dashboard!$U$5)),1,0))</f>
        <v>1</v>
      </c>
      <c r="N5" s="178">
        <f>IF(E5="",0,IF(AND(OR(OR(Dashboard!$E$5="All",Dashboard!$E$5=""),AG5=Dashboard!$E$5),OR(OR(Dashboard!$B$5="All",Dashboard!$B$5=""),C5=Dashboard!$B$5),OR(OR(Dashboard!$K$5="All",Dashboard!$K$5=""),A5=Dashboard!$K$5),OR(OR(Dashboard!$N$5="All",Dashboard!$N$5=""),B5=Dashboard!$N$5),OR(OR(Dashboard!$Q$5="All",Dashboard!$Q$5=""),D5=Dashboard!$Q$5),OR(OR(Dashboard!$U$5="All",Dashboard!$U$5=""),E5=Dashboard!$U$5)),1,0))</f>
        <v>1</v>
      </c>
      <c r="O5" s="165">
        <f t="shared" si="4"/>
        <v>81</v>
      </c>
      <c r="P5" s="165" t="str">
        <f>'Pantry Inventory'!$A$65</f>
        <v>Sep Week 3</v>
      </c>
      <c r="Q5" s="165"/>
      <c r="R5" s="167">
        <f>IFERROR(SMALL($Z$2:$Z$26,3),"")</f>
        <v>46268</v>
      </c>
      <c r="S5" s="165" t="s">
        <v>55</v>
      </c>
      <c r="T5" s="165" t="str">
        <f>IFERROR(INDEX($AB$2:$AB$28,MATCH(3,$AC$2:$AC$28,0)),"")</f>
        <v>BBMG</v>
      </c>
      <c r="U5" s="165" t="str">
        <f>IFERROR(INDEX('Item Purchases'!$B$4:$B$30,MATCH(3,$AD$2:$AD$28,0)),"")</f>
        <v>Julies Choco More Sandwich (44G)</v>
      </c>
      <c r="V5" s="165" t="s">
        <v>67</v>
      </c>
      <c r="Z5" s="167">
        <f>IF('Pantry Inventory'!$M$2&lt;&gt;"",'Pantry Inventory'!$M$2,IF(COUNT('Pantry Inventory'!M5:M31)+COUNT('Pantry Inventory'!N5:N31)&gt;0,AF5,""))</f>
        <v>46269</v>
      </c>
      <c r="AB5" s="165" t="str">
        <f>IF('Item Purchases'!$U$7="","",'Item Purchases'!$U$7)</f>
        <v>Julie's</v>
      </c>
      <c r="AC5" s="165" t="str">
        <f>IF(AB5="","",IF(COUNTIF(AB$2:AB5,AB5)=1,COUNT(AC$1:AC4)+1,""))</f>
        <v/>
      </c>
      <c r="AD5" s="165">
        <f>IF('Item Purchases'!$B$7="","",COUNT(AD$1:AD4)+1)</f>
        <v>4</v>
      </c>
      <c r="AF5" s="167">
        <f>IF('Pantry Inventory'!$M$2&lt;&gt;"",'Pantry Inventory'!$M$2,IF(AF4="","",WORKDAY(AF4,1)))</f>
        <v>46269</v>
      </c>
      <c r="AG5" s="178" t="str">
        <f>IF(E5="","",IFERROR(IF(INDEX('Item Purchases'!$AM$4:$AM$30,MATCH(E5,'Item Purchases'!$B$4:$B$30,0))="","Uncategorised",INDEX('Item Purchases'!$AM$4:$AM$30,MATCH(E5,'Item Purchases'!$B$4:$B$30,0))),"Uncategorised"))</f>
        <v>Snacks</v>
      </c>
      <c r="AH5" s="165">
        <f>IF(AND(E5&lt;&gt;"",L5=1),COUNTIFS($E$2:E5,E5,$L$2:L5,1),0)</f>
        <v>1</v>
      </c>
      <c r="AI5" s="165">
        <f t="shared" si="5"/>
        <v>9</v>
      </c>
      <c r="AJ5" s="165">
        <f t="shared" si="6"/>
        <v>1</v>
      </c>
    </row>
    <row r="6" spans="1:36" x14ac:dyDescent="0.25">
      <c r="A6" s="177">
        <f t="shared" si="0"/>
        <v>46266</v>
      </c>
      <c r="B6" s="178" t="str">
        <f t="shared" si="1"/>
        <v>Tue</v>
      </c>
      <c r="C6" s="178" t="str">
        <f>'Pantry Inventory'!$A$2</f>
        <v>Sep Week 1</v>
      </c>
      <c r="D6" s="178" t="str">
        <f>IF('Pantry Inventory'!A9="","",'Pantry Inventory'!A9)</f>
        <v>Nature Valley</v>
      </c>
      <c r="E6" s="178" t="str">
        <f>IF('Pantry Inventory'!B9="","",'Pantry Inventory'!B9)</f>
        <v>NV OATS &amp; DARK CHOC 42GX5</v>
      </c>
      <c r="F6" s="178" t="str">
        <f>IF(E6="","",IFERROR(IF(INDEX('Item Purchases'!$S$4:$S$30,MATCH(E6,'Item Purchases'!$B$4:$B$30,0))="","Uncategorised",INDEX('Item Purchases'!$S$4:$S$30,MATCH(E6,'Item Purchases'!$B$4:$B$30,0))),"Uncategorised"))</f>
        <v>Sweet</v>
      </c>
      <c r="G6" s="178">
        <f>IF(E6="",0,'Pantry Inventory'!D9)</f>
        <v>0</v>
      </c>
      <c r="H6" s="178">
        <f>IF(E6="","",IF('Pantry Inventory'!E9="","",'Pantry Inventory'!E9))</f>
        <v>6</v>
      </c>
      <c r="I6" s="178">
        <f>IF(H6="","",'Pantry Inventory'!F9)</f>
        <v>5</v>
      </c>
      <c r="J6" s="179">
        <f>IF(E6="",0,IFERROR(INDEX('Item Purchases'!$Q$4:$Q$30,MATCH(E6,'Item Purchases'!$B$4:$B$30,0)),0))</f>
        <v>2.78</v>
      </c>
      <c r="K6" s="180">
        <f t="shared" si="2"/>
        <v>13.899999999999999</v>
      </c>
      <c r="L6" s="178">
        <f t="shared" si="3"/>
        <v>1</v>
      </c>
      <c r="M6" s="178">
        <f>IF(E6="",0,IF(AND(OR(OR(Dashboard!$E$5="All",Dashboard!$E$5=""),AG6=Dashboard!$E$5),OR(OR(Dashboard!$H$5="All",Dashboard!$H$5=""),F6=Dashboard!$H$5),OR(OR(Dashboard!$B$5="All",Dashboard!$B$5=""),C6=Dashboard!$B$5),OR(OR(Dashboard!$K$5="All",Dashboard!$K$5=""),A6=Dashboard!$K$5),OR(OR(Dashboard!$N$5="All",Dashboard!$N$5=""),B6=Dashboard!$N$5),OR(OR(Dashboard!$Q$5="All",Dashboard!$Q$5=""),D6=Dashboard!$Q$5),OR(OR(Dashboard!$U$5="All",Dashboard!$U$5=""),E6=Dashboard!$U$5)),1,0))</f>
        <v>1</v>
      </c>
      <c r="N6" s="178">
        <f>IF(E6="",0,IF(AND(OR(OR(Dashboard!$E$5="All",Dashboard!$E$5=""),AG6=Dashboard!$E$5),OR(OR(Dashboard!$B$5="All",Dashboard!$B$5=""),C6=Dashboard!$B$5),OR(OR(Dashboard!$K$5="All",Dashboard!$K$5=""),A6=Dashboard!$K$5),OR(OR(Dashboard!$N$5="All",Dashboard!$N$5=""),B6=Dashboard!$N$5),OR(OR(Dashboard!$Q$5="All",Dashboard!$Q$5=""),D6=Dashboard!$Q$5),OR(OR(Dashboard!$U$5="All",Dashboard!$U$5=""),E6=Dashboard!$U$5)),1,0))</f>
        <v>1</v>
      </c>
      <c r="O6" s="165">
        <f t="shared" si="4"/>
        <v>25</v>
      </c>
      <c r="P6" s="165" t="str">
        <f>'Pantry Inventory'!$A$98</f>
        <v>Sep Week 4</v>
      </c>
      <c r="Q6" s="165"/>
      <c r="R6" s="167">
        <f>IFERROR(SMALL($Z$2:$Z$26,4),"")</f>
        <v>46269</v>
      </c>
      <c r="S6" s="165" t="s">
        <v>57</v>
      </c>
      <c r="T6" s="165" t="str">
        <f>IFERROR(INDEX($AB$2:$AB$28,MATCH(4,$AC$2:$AC$28,0)),"")</f>
        <v>Lays</v>
      </c>
      <c r="U6" s="165" t="str">
        <f>IFERROR(INDEX('Item Purchases'!$B$4:$B$30,MATCH(4,$AD$2:$AD$28,0)),"")</f>
        <v>Julies Cheese Sandwich (28G)</v>
      </c>
      <c r="V6" s="165" t="s">
        <v>68</v>
      </c>
      <c r="Z6" s="167">
        <f>IF('Pantry Inventory'!$P$2&lt;&gt;"",'Pantry Inventory'!$P$2,IF(COUNT('Pantry Inventory'!P5:P31)+COUNT('Pantry Inventory'!Q5:Q31)&gt;0,AF6,""))</f>
        <v>46272</v>
      </c>
      <c r="AB6" s="165" t="str">
        <f>IF('Item Purchases'!$U$8="","",'Item Purchases'!$U$8)</f>
        <v>Nature Valley</v>
      </c>
      <c r="AC6" s="165">
        <f>IF(AB6="","",IF(COUNTIF(AB$2:AB6,AB6)=1,COUNT(AC$1:AC5)+1,""))</f>
        <v>2</v>
      </c>
      <c r="AD6" s="165">
        <f>IF('Item Purchases'!$B$8="","",COUNT(AD$1:AD5)+1)</f>
        <v>5</v>
      </c>
      <c r="AF6" s="167">
        <f>IF('Pantry Inventory'!$P$2&lt;&gt;"",'Pantry Inventory'!$P$2,IF(AF5="","",WORKDAY(AF5,1)))</f>
        <v>46272</v>
      </c>
      <c r="AG6" s="178" t="str">
        <f>IF(E6="","",IFERROR(IF(INDEX('Item Purchases'!$AM$4:$AM$30,MATCH(E6,'Item Purchases'!$B$4:$B$30,0))="","Uncategorised",INDEX('Item Purchases'!$AM$4:$AM$30,MATCH(E6,'Item Purchases'!$B$4:$B$30,0))),"Uncategorised"))</f>
        <v>Snacks</v>
      </c>
      <c r="AH6" s="165">
        <f>IF(AND(E6&lt;&gt;"",L6=1),COUNTIFS($E$2:E6,E6,$L$2:L6,1),0)</f>
        <v>1</v>
      </c>
      <c r="AI6" s="165">
        <f t="shared" si="5"/>
        <v>5</v>
      </c>
      <c r="AJ6" s="165">
        <f t="shared" si="6"/>
        <v>1</v>
      </c>
    </row>
    <row r="7" spans="1:36" x14ac:dyDescent="0.25">
      <c r="A7" s="177">
        <f t="shared" si="0"/>
        <v>46266</v>
      </c>
      <c r="B7" s="178" t="str">
        <f t="shared" si="1"/>
        <v>Tue</v>
      </c>
      <c r="C7" s="178" t="str">
        <f>'Pantry Inventory'!$A$2</f>
        <v>Sep Week 1</v>
      </c>
      <c r="D7" s="178" t="str">
        <f>IF('Pantry Inventory'!A10="","",'Pantry Inventory'!A10)</f>
        <v>Nature Valley</v>
      </c>
      <c r="E7" s="178" t="str">
        <f>IF('Pantry Inventory'!B10="","",'Pantry Inventory'!B10)</f>
        <v xml:space="preserve">NV PROTEIN - SALTED CARAMEL 40G </v>
      </c>
      <c r="F7" s="178" t="str">
        <f>IF(E7="","",IFERROR(IF(INDEX('Item Purchases'!$S$4:$S$30,MATCH(E7,'Item Purchases'!$B$4:$B$30,0))="","Uncategorised",INDEX('Item Purchases'!$S$4:$S$30,MATCH(E7,'Item Purchases'!$B$4:$B$30,0))),"Uncategorised"))</f>
        <v>Sweet</v>
      </c>
      <c r="G7" s="178">
        <f>IF(E7="",0,'Pantry Inventory'!D10)</f>
        <v>0</v>
      </c>
      <c r="H7" s="178">
        <f>IF(E7="","",IF('Pantry Inventory'!E10="","",'Pantry Inventory'!E10))</f>
        <v>0</v>
      </c>
      <c r="I7" s="178">
        <f>IF(H7="","",'Pantry Inventory'!F10)</f>
        <v>0</v>
      </c>
      <c r="J7" s="179">
        <f>IF(E7="",0,IFERROR(INDEX('Item Purchases'!$Q$4:$Q$30,MATCH(E7,'Item Purchases'!$B$4:$B$30,0)),0))</f>
        <v>4.9000000000000004</v>
      </c>
      <c r="K7" s="180">
        <f t="shared" si="2"/>
        <v>0</v>
      </c>
      <c r="L7" s="178">
        <f t="shared" si="3"/>
        <v>1</v>
      </c>
      <c r="M7" s="178">
        <f>IF(E7="",0,IF(AND(OR(OR(Dashboard!$E$5="All",Dashboard!$E$5=""),AG7=Dashboard!$E$5),OR(OR(Dashboard!$H$5="All",Dashboard!$H$5=""),F7=Dashboard!$H$5),OR(OR(Dashboard!$B$5="All",Dashboard!$B$5=""),C7=Dashboard!$B$5),OR(OR(Dashboard!$K$5="All",Dashboard!$K$5=""),A7=Dashboard!$K$5),OR(OR(Dashboard!$N$5="All",Dashboard!$N$5=""),B7=Dashboard!$N$5),OR(OR(Dashboard!$Q$5="All",Dashboard!$Q$5=""),D7=Dashboard!$Q$5),OR(OR(Dashboard!$U$5="All",Dashboard!$U$5=""),E7=Dashboard!$U$5)),1,0))</f>
        <v>1</v>
      </c>
      <c r="N7" s="178">
        <f>IF(E7="",0,IF(AND(OR(OR(Dashboard!$E$5="All",Dashboard!$E$5=""),AG7=Dashboard!$E$5),OR(OR(Dashboard!$B$5="All",Dashboard!$B$5=""),C7=Dashboard!$B$5),OR(OR(Dashboard!$K$5="All",Dashboard!$K$5=""),A7=Dashboard!$K$5),OR(OR(Dashboard!$N$5="All",Dashboard!$N$5=""),B7=Dashboard!$N$5),OR(OR(Dashboard!$Q$5="All",Dashboard!$Q$5=""),D7=Dashboard!$Q$5),OR(OR(Dashboard!$U$5="All",Dashboard!$U$5=""),E7=Dashboard!$U$5)),1,0))</f>
        <v>1</v>
      </c>
      <c r="O7" s="165">
        <f t="shared" si="4"/>
        <v>0</v>
      </c>
      <c r="P7" s="165" t="str">
        <f>'Pantry Inventory'!$A$132</f>
        <v>Sep Week 5</v>
      </c>
      <c r="Q7" s="165"/>
      <c r="R7" s="167">
        <f>IFERROR(SMALL($Z$2:$Z$26,5),"")</f>
        <v>46272</v>
      </c>
      <c r="S7" s="165" t="s">
        <v>59</v>
      </c>
      <c r="T7" s="165" t="str">
        <f>IFERROR(INDEX($AB$2:$AB$28,MATCH(5,$AC$2:$AC$28,0)),"")</f>
        <v>Munchy</v>
      </c>
      <c r="U7" s="165" t="str">
        <f>IFERROR(INDEX('Item Purchases'!$B$4:$B$30,MATCH(5,$AD$2:$AD$28,0)),"")</f>
        <v>NV OATS &amp; DARK CHOC 42GX5</v>
      </c>
      <c r="V7" s="165" t="s">
        <v>69</v>
      </c>
      <c r="Z7" s="167">
        <f>IF('Pantry Inventory'!$D$34&lt;&gt;"",'Pantry Inventory'!$D$34,IF(COUNT('Pantry Inventory'!D37:D63)+COUNT('Pantry Inventory'!E37:E63)&gt;0,AF7,""))</f>
        <v>46273</v>
      </c>
      <c r="AB7" s="165" t="str">
        <f>IF('Item Purchases'!$U$9="","",'Item Purchases'!$U$9)</f>
        <v>Nature Valley</v>
      </c>
      <c r="AC7" s="165" t="str">
        <f>IF(AB7="","",IF(COUNTIF(AB$2:AB7,AB7)=1,COUNT(AC$1:AC6)+1,""))</f>
        <v/>
      </c>
      <c r="AD7" s="165">
        <f>IF('Item Purchases'!$B$9="","",COUNT(AD$1:AD6)+1)</f>
        <v>6</v>
      </c>
      <c r="AF7" s="167">
        <f>IF('Pantry Inventory'!$D$34&lt;&gt;"",'Pantry Inventory'!$D$34,IF('Pantry Inventory'!$C$34&lt;&gt;"",WORKDAY('Pantry Inventory'!$C$34,1),IF(AF6="","",WORKDAY(AF6,1))))</f>
        <v>46273</v>
      </c>
      <c r="AG7" s="178" t="str">
        <f>IF(E7="","",IFERROR(IF(INDEX('Item Purchases'!$AM$4:$AM$30,MATCH(E7,'Item Purchases'!$B$4:$B$30,0))="","Uncategorised",INDEX('Item Purchases'!$AM$4:$AM$30,MATCH(E7,'Item Purchases'!$B$4:$B$30,0))),"Uncategorised"))</f>
        <v>Snacks</v>
      </c>
      <c r="AH7" s="165">
        <f>IF(AND(E7&lt;&gt;"",L7=1),COUNTIFS($E$2:E7,E7,$L$2:L7,1),0)</f>
        <v>1</v>
      </c>
      <c r="AI7" s="165">
        <f t="shared" si="5"/>
        <v>0</v>
      </c>
      <c r="AJ7" s="165">
        <f t="shared" si="6"/>
        <v>0</v>
      </c>
    </row>
    <row r="8" spans="1:36" x14ac:dyDescent="0.25">
      <c r="A8" s="177">
        <f t="shared" si="0"/>
        <v>46266</v>
      </c>
      <c r="B8" s="178" t="str">
        <f t="shared" si="1"/>
        <v>Tue</v>
      </c>
      <c r="C8" s="178" t="str">
        <f>'Pantry Inventory'!$A$2</f>
        <v>Sep Week 1</v>
      </c>
      <c r="D8" s="178" t="str">
        <f>IF('Pantry Inventory'!A11="","",'Pantry Inventory'!A11)</f>
        <v>BBMG</v>
      </c>
      <c r="E8" s="178" t="str">
        <f>IF('Pantry Inventory'!B11="","",'Pantry Inventory'!B11)</f>
        <v>BBMG 90G</v>
      </c>
      <c r="F8" s="178" t="str">
        <f>IF(E8="","",IFERROR(IF(INDEX('Item Purchases'!$S$4:$S$30,MATCH(E8,'Item Purchases'!$B$4:$B$30,0))="","Uncategorised",INDEX('Item Purchases'!$S$4:$S$30,MATCH(E8,'Item Purchases'!$B$4:$B$30,0))),"Uncategorised"))</f>
        <v>Savoury</v>
      </c>
      <c r="G8" s="178">
        <f>IF(E8="",0,'Pantry Inventory'!D11)</f>
        <v>0</v>
      </c>
      <c r="H8" s="178">
        <f>IF(E8="","",IF('Pantry Inventory'!E11="","",'Pantry Inventory'!E11))</f>
        <v>0</v>
      </c>
      <c r="I8" s="178">
        <f>IF(H8="","",'Pantry Inventory'!F11)</f>
        <v>0</v>
      </c>
      <c r="J8" s="179">
        <f>IF(E8="",0,IFERROR(INDEX('Item Purchases'!$Q$4:$Q$30,MATCH(E8,'Item Purchases'!$B$4:$B$30,0)),0))</f>
        <v>0.34300000000000003</v>
      </c>
      <c r="K8" s="180">
        <f t="shared" si="2"/>
        <v>0</v>
      </c>
      <c r="L8" s="178">
        <f t="shared" si="3"/>
        <v>1</v>
      </c>
      <c r="M8" s="178">
        <f>IF(E8="",0,IF(AND(OR(OR(Dashboard!$E$5="All",Dashboard!$E$5=""),AG8=Dashboard!$E$5),OR(OR(Dashboard!$H$5="All",Dashboard!$H$5=""),F8=Dashboard!$H$5),OR(OR(Dashboard!$B$5="All",Dashboard!$B$5=""),C8=Dashboard!$B$5),OR(OR(Dashboard!$K$5="All",Dashboard!$K$5=""),A8=Dashboard!$K$5),OR(OR(Dashboard!$N$5="All",Dashboard!$N$5=""),B8=Dashboard!$N$5),OR(OR(Dashboard!$Q$5="All",Dashboard!$Q$5=""),D8=Dashboard!$Q$5),OR(OR(Dashboard!$U$5="All",Dashboard!$U$5=""),E8=Dashboard!$U$5)),1,0))</f>
        <v>1</v>
      </c>
      <c r="N8" s="178">
        <f>IF(E8="",0,IF(AND(OR(OR(Dashboard!$E$5="All",Dashboard!$E$5=""),AG8=Dashboard!$E$5),OR(OR(Dashboard!$B$5="All",Dashboard!$B$5=""),C8=Dashboard!$B$5),OR(OR(Dashboard!$K$5="All",Dashboard!$K$5=""),A8=Dashboard!$K$5),OR(OR(Dashboard!$N$5="All",Dashboard!$N$5=""),B8=Dashboard!$N$5),OR(OR(Dashboard!$Q$5="All",Dashboard!$Q$5=""),D8=Dashboard!$Q$5),OR(OR(Dashboard!$U$5="All",Dashboard!$U$5=""),E8=Dashboard!$U$5)),1,0))</f>
        <v>1</v>
      </c>
      <c r="O8" s="165">
        <f t="shared" si="4"/>
        <v>0</v>
      </c>
      <c r="R8" s="167">
        <f>IFERROR(SMALL($Z$2:$Z$26,6),"")</f>
        <v>46273</v>
      </c>
      <c r="S8" s="165" t="s">
        <v>61</v>
      </c>
      <c r="T8" s="165" t="str">
        <f>IFERROR(INDEX($AB$2:$AB$28,MATCH(6,$AC$2:$AC$28,0)),"")</f>
        <v>Nestle</v>
      </c>
      <c r="U8" s="165" t="str">
        <f>IFERROR(INDEX('Item Purchases'!$B$4:$B$30,MATCH(6,$AD$2:$AD$28,0)),"")</f>
        <v xml:space="preserve">NV PROTEIN - SALTED CARAMEL 40G </v>
      </c>
      <c r="Z8" s="167">
        <f>IF('Pantry Inventory'!$G$34&lt;&gt;"",'Pantry Inventory'!$G$34,IF(COUNT('Pantry Inventory'!G37:G63)+COUNT('Pantry Inventory'!H37:H63)&gt;0,AF8,""))</f>
        <v>46274</v>
      </c>
      <c r="AB8" s="165" t="str">
        <f>IF('Item Purchases'!$U$10="","",'Item Purchases'!$U$10)</f>
        <v>BBMG</v>
      </c>
      <c r="AC8" s="165">
        <f>IF(AB8="","",IF(COUNTIF(AB$2:AB8,AB8)=1,COUNT(AC$1:AC7)+1,""))</f>
        <v>3</v>
      </c>
      <c r="AD8" s="165">
        <f>IF('Item Purchases'!$B$10="","",COUNT(AD$1:AD7)+1)</f>
        <v>7</v>
      </c>
      <c r="AF8" s="167">
        <f>IF('Pantry Inventory'!$G$34&lt;&gt;"",'Pantry Inventory'!$G$34,IF(AF7="","",WORKDAY(AF7,1)))</f>
        <v>46274</v>
      </c>
      <c r="AG8" s="178" t="str">
        <f>IF(E8="","",IFERROR(IF(INDEX('Item Purchases'!$AM$4:$AM$30,MATCH(E8,'Item Purchases'!$B$4:$B$30,0))="","Uncategorised",INDEX('Item Purchases'!$AM$4:$AM$30,MATCH(E8,'Item Purchases'!$B$4:$B$30,0))),"Uncategorised"))</f>
        <v>Snacks</v>
      </c>
      <c r="AH8" s="165">
        <f>IF(AND(E8&lt;&gt;"",L8=1),COUNTIFS($E$2:E8,E8,$L$2:L8,1),0)</f>
        <v>1</v>
      </c>
      <c r="AI8" s="165">
        <f t="shared" si="5"/>
        <v>0</v>
      </c>
      <c r="AJ8" s="165">
        <f t="shared" si="6"/>
        <v>0</v>
      </c>
    </row>
    <row r="9" spans="1:36" x14ac:dyDescent="0.25">
      <c r="A9" s="177">
        <f t="shared" si="0"/>
        <v>46266</v>
      </c>
      <c r="B9" s="178" t="str">
        <f t="shared" si="1"/>
        <v>Tue</v>
      </c>
      <c r="C9" s="178" t="str">
        <f>'Pantry Inventory'!$A$2</f>
        <v>Sep Week 1</v>
      </c>
      <c r="D9" s="178" t="str">
        <f>IF('Pantry Inventory'!A12="","",'Pantry Inventory'!A12)</f>
        <v>Lays</v>
      </c>
      <c r="E9" s="178" t="str">
        <f>IF('Pantry Inventory'!B12="","",'Pantry Inventory'!B12)</f>
        <v>Lays Potato Chips (Original) 50g</v>
      </c>
      <c r="F9" s="178" t="str">
        <f>IF(E9="","",IFERROR(IF(INDEX('Item Purchases'!$S$4:$S$30,MATCH(E9,'Item Purchases'!$B$4:$B$30,0))="","Uncategorised",INDEX('Item Purchases'!$S$4:$S$30,MATCH(E9,'Item Purchases'!$B$4:$B$30,0))),"Uncategorised"))</f>
        <v>Savoury</v>
      </c>
      <c r="G9" s="178">
        <f>IF(E9="",0,'Pantry Inventory'!D12)</f>
        <v>0</v>
      </c>
      <c r="H9" s="178">
        <f>IF(E9="","",IF('Pantry Inventory'!E12="","",'Pantry Inventory'!E12))</f>
        <v>28</v>
      </c>
      <c r="I9" s="178">
        <f>IF(H9="","",'Pantry Inventory'!F12)</f>
        <v>5</v>
      </c>
      <c r="J9" s="179">
        <f>IF(E9="",0,IFERROR(INDEX('Item Purchases'!$Q$4:$Q$30,MATCH(E9,'Item Purchases'!$B$4:$B$30,0)),0))</f>
        <v>3.4580000000000002</v>
      </c>
      <c r="K9" s="180">
        <f t="shared" si="2"/>
        <v>17.29</v>
      </c>
      <c r="L9" s="178">
        <f t="shared" si="3"/>
        <v>1</v>
      </c>
      <c r="M9" s="178">
        <f>IF(E9="",0,IF(AND(OR(OR(Dashboard!$E$5="All",Dashboard!$E$5=""),AG9=Dashboard!$E$5),OR(OR(Dashboard!$H$5="All",Dashboard!$H$5=""),F9=Dashboard!$H$5),OR(OR(Dashboard!$B$5="All",Dashboard!$B$5=""),C9=Dashboard!$B$5),OR(OR(Dashboard!$K$5="All",Dashboard!$K$5=""),A9=Dashboard!$K$5),OR(OR(Dashboard!$N$5="All",Dashboard!$N$5=""),B9=Dashboard!$N$5),OR(OR(Dashboard!$Q$5="All",Dashboard!$Q$5=""),D9=Dashboard!$Q$5),OR(OR(Dashboard!$U$5="All",Dashboard!$U$5=""),E9=Dashboard!$U$5)),1,0))</f>
        <v>1</v>
      </c>
      <c r="N9" s="178">
        <f>IF(E9="",0,IF(AND(OR(OR(Dashboard!$E$5="All",Dashboard!$E$5=""),AG9=Dashboard!$E$5),OR(OR(Dashboard!$B$5="All",Dashboard!$B$5=""),C9=Dashboard!$B$5),OR(OR(Dashboard!$K$5="All",Dashboard!$K$5=""),A9=Dashboard!$K$5),OR(OR(Dashboard!$N$5="All",Dashboard!$N$5=""),B9=Dashboard!$N$5),OR(OR(Dashboard!$Q$5="All",Dashboard!$Q$5=""),D9=Dashboard!$Q$5),OR(OR(Dashboard!$U$5="All",Dashboard!$U$5=""),E9=Dashboard!$U$5)),1,0))</f>
        <v>1</v>
      </c>
      <c r="O9" s="165">
        <f t="shared" si="4"/>
        <v>25</v>
      </c>
      <c r="R9" s="167">
        <f>IFERROR(SMALL($Z$2:$Z$26,7),"")</f>
        <v>46274</v>
      </c>
      <c r="S9" s="165" t="s">
        <v>63</v>
      </c>
      <c r="T9" s="165" t="str">
        <f>IFERROR(INDEX($AB$2:$AB$28,MATCH(7,$AC$2:$AC$28,0)),"")</f>
        <v>COWA</v>
      </c>
      <c r="U9" s="165" t="str">
        <f>IFERROR(INDEX('Item Purchases'!$B$4:$B$30,MATCH(7,$AD$2:$AD$28,0)),"")</f>
        <v>BBMG 90G</v>
      </c>
      <c r="Z9" s="167">
        <f>IF('Pantry Inventory'!$J$34&lt;&gt;"",'Pantry Inventory'!$J$34,IF(COUNT('Pantry Inventory'!J37:J63)+COUNT('Pantry Inventory'!K37:K63)&gt;0,AF9,""))</f>
        <v>46275</v>
      </c>
      <c r="AB9" s="165" t="str">
        <f>IF('Item Purchases'!$U$11="","",'Item Purchases'!$U$11)</f>
        <v>Lays</v>
      </c>
      <c r="AC9" s="165">
        <f>IF(AB9="","",IF(COUNTIF(AB$2:AB9,AB9)=1,COUNT(AC$1:AC8)+1,""))</f>
        <v>4</v>
      </c>
      <c r="AD9" s="165">
        <f>IF('Item Purchases'!$B$11="","",COUNT(AD$1:AD8)+1)</f>
        <v>8</v>
      </c>
      <c r="AF9" s="167">
        <f>IF('Pantry Inventory'!$J$34&lt;&gt;"",'Pantry Inventory'!$J$34,IF(AF8="","",WORKDAY(AF8,1)))</f>
        <v>46275</v>
      </c>
      <c r="AG9" s="178" t="str">
        <f>IF(E9="","",IFERROR(IF(INDEX('Item Purchases'!$AM$4:$AM$30,MATCH(E9,'Item Purchases'!$B$4:$B$30,0))="","Uncategorised",INDEX('Item Purchases'!$AM$4:$AM$30,MATCH(E9,'Item Purchases'!$B$4:$B$30,0))),"Uncategorised"))</f>
        <v>Snacks</v>
      </c>
      <c r="AH9" s="165">
        <f>IF(AND(E9&lt;&gt;"",L9=1),COUNTIFS($E$2:E9,E9,$L$2:L9,1),0)</f>
        <v>1</v>
      </c>
      <c r="AI9" s="165">
        <f t="shared" si="5"/>
        <v>5</v>
      </c>
      <c r="AJ9" s="165">
        <f t="shared" si="6"/>
        <v>1</v>
      </c>
    </row>
    <row r="10" spans="1:36" x14ac:dyDescent="0.25">
      <c r="A10" s="177">
        <f t="shared" si="0"/>
        <v>46266</v>
      </c>
      <c r="B10" s="178" t="str">
        <f t="shared" si="1"/>
        <v>Tue</v>
      </c>
      <c r="C10" s="178" t="str">
        <f>'Pantry Inventory'!$A$2</f>
        <v>Sep Week 1</v>
      </c>
      <c r="D10" s="178" t="str">
        <f>IF('Pantry Inventory'!A13="","",'Pantry Inventory'!A13)</f>
        <v>Lays</v>
      </c>
      <c r="E10" s="178" t="str">
        <f>IF('Pantry Inventory'!B13="","",'Pantry Inventory'!B13)</f>
        <v xml:space="preserve">Lays Double Crunch - Seaweed Flav (50g) </v>
      </c>
      <c r="F10" s="178" t="str">
        <f>IF(E10="","",IFERROR(IF(INDEX('Item Purchases'!$S$4:$S$30,MATCH(E10,'Item Purchases'!$B$4:$B$30,0))="","Uncategorised",INDEX('Item Purchases'!$S$4:$S$30,MATCH(E10,'Item Purchases'!$B$4:$B$30,0))),"Uncategorised"))</f>
        <v>Savoury</v>
      </c>
      <c r="G10" s="178">
        <f>IF(E10="",0,'Pantry Inventory'!D13)</f>
        <v>24</v>
      </c>
      <c r="H10" s="178">
        <f>IF(E10="","",IF('Pantry Inventory'!E13="","",'Pantry Inventory'!E13))</f>
        <v>24</v>
      </c>
      <c r="I10" s="178">
        <f>IF(H10="","",'Pantry Inventory'!F13)</f>
        <v>24</v>
      </c>
      <c r="J10" s="179">
        <f>IF(E10="",0,IFERROR(INDEX('Item Purchases'!$Q$4:$Q$30,MATCH(E10,'Item Purchases'!$B$4:$B$30,0)),0))</f>
        <v>4</v>
      </c>
      <c r="K10" s="180">
        <f t="shared" si="2"/>
        <v>96</v>
      </c>
      <c r="L10" s="178">
        <f t="shared" si="3"/>
        <v>1</v>
      </c>
      <c r="M10" s="178">
        <f>IF(E10="",0,IF(AND(OR(OR(Dashboard!$E$5="All",Dashboard!$E$5=""),AG10=Dashboard!$E$5),OR(OR(Dashboard!$H$5="All",Dashboard!$H$5=""),F10=Dashboard!$H$5),OR(OR(Dashboard!$B$5="All",Dashboard!$B$5=""),C10=Dashboard!$B$5),OR(OR(Dashboard!$K$5="All",Dashboard!$K$5=""),A10=Dashboard!$K$5),OR(OR(Dashboard!$N$5="All",Dashboard!$N$5=""),B10=Dashboard!$N$5),OR(OR(Dashboard!$Q$5="All",Dashboard!$Q$5=""),D10=Dashboard!$Q$5),OR(OR(Dashboard!$U$5="All",Dashboard!$U$5=""),E10=Dashboard!$U$5)),1,0))</f>
        <v>1</v>
      </c>
      <c r="N10" s="178">
        <f>IF(E10="",0,IF(AND(OR(OR(Dashboard!$E$5="All",Dashboard!$E$5=""),AG10=Dashboard!$E$5),OR(OR(Dashboard!$B$5="All",Dashboard!$B$5=""),C10=Dashboard!$B$5),OR(OR(Dashboard!$K$5="All",Dashboard!$K$5=""),A10=Dashboard!$K$5),OR(OR(Dashboard!$N$5="All",Dashboard!$N$5=""),B10=Dashboard!$N$5),OR(OR(Dashboard!$Q$5="All",Dashboard!$Q$5=""),D10=Dashboard!$Q$5),OR(OR(Dashboard!$U$5="All",Dashboard!$U$5=""),E10=Dashboard!$U$5)),1,0))</f>
        <v>1</v>
      </c>
      <c r="O10" s="165">
        <f t="shared" si="4"/>
        <v>576</v>
      </c>
      <c r="R10" s="167">
        <f>IFERROR(SMALL($Z$2:$Z$26,8),"")</f>
        <v>46275</v>
      </c>
      <c r="T10" s="165" t="str">
        <f>IFERROR(INDEX($AB$2:$AB$28,MATCH(8,$AC$2:$AC$28,0)),"")</f>
        <v>KARTA</v>
      </c>
      <c r="U10" s="165" t="str">
        <f>IFERROR(INDEX('Item Purchases'!$B$4:$B$30,MATCH(8,$AD$2:$AD$28,0)),"")</f>
        <v>Lays Potato Chips (Original) 50g</v>
      </c>
      <c r="Z10" s="167">
        <f>IF('Pantry Inventory'!$M$34&lt;&gt;"",'Pantry Inventory'!$M$34,IF(COUNT('Pantry Inventory'!M37:M63)+COUNT('Pantry Inventory'!N37:N63)&gt;0,AF10,""))</f>
        <v>46276</v>
      </c>
      <c r="AB10" s="165" t="str">
        <f>IF('Item Purchases'!$U$12="","",'Item Purchases'!$U$12)</f>
        <v>Lays</v>
      </c>
      <c r="AC10" s="165" t="str">
        <f>IF(AB10="","",IF(COUNTIF(AB$2:AB10,AB10)=1,COUNT(AC$1:AC9)+1,""))</f>
        <v/>
      </c>
      <c r="AD10" s="165">
        <f>IF('Item Purchases'!$B$12="","",COUNT(AD$1:AD9)+1)</f>
        <v>9</v>
      </c>
      <c r="AF10" s="167">
        <f>IF('Pantry Inventory'!$M$34&lt;&gt;"",'Pantry Inventory'!$M$34,IF(AF9="","",WORKDAY(AF9,1)))</f>
        <v>46276</v>
      </c>
      <c r="AG10" s="178" t="str">
        <f>IF(E10="","",IFERROR(IF(INDEX('Item Purchases'!$AM$4:$AM$30,MATCH(E10,'Item Purchases'!$B$4:$B$30,0))="","Uncategorised",INDEX('Item Purchases'!$AM$4:$AM$30,MATCH(E10,'Item Purchases'!$B$4:$B$30,0))),"Uncategorised"))</f>
        <v>Snacks</v>
      </c>
      <c r="AH10" s="165">
        <f>IF(AND(E10&lt;&gt;"",L10=1),COUNTIFS($E$2:E10,E10,$L$2:L10,1),0)</f>
        <v>1</v>
      </c>
      <c r="AI10" s="165">
        <f t="shared" si="5"/>
        <v>24</v>
      </c>
      <c r="AJ10" s="165">
        <f t="shared" si="6"/>
        <v>1</v>
      </c>
    </row>
    <row r="11" spans="1:36" x14ac:dyDescent="0.25">
      <c r="A11" s="177">
        <f t="shared" si="0"/>
        <v>46266</v>
      </c>
      <c r="B11" s="178" t="str">
        <f t="shared" si="1"/>
        <v>Tue</v>
      </c>
      <c r="C11" s="178" t="str">
        <f>'Pantry Inventory'!$A$2</f>
        <v>Sep Week 1</v>
      </c>
      <c r="D11" s="178" t="str">
        <f>IF('Pantry Inventory'!A14="","",'Pantry Inventory'!A14)</f>
        <v>Munchy</v>
      </c>
      <c r="E11" s="178" t="str">
        <f>IF('Pantry Inventory'!B14="","",'Pantry Inventory'!B14)</f>
        <v>Munchy Oat Krunch - Dark Choco</v>
      </c>
      <c r="F11" s="178" t="str">
        <f>IF(E11="","",IFERROR(IF(INDEX('Item Purchases'!$S$4:$S$30,MATCH(E11,'Item Purchases'!$B$4:$B$30,0))="","Uncategorised",INDEX('Item Purchases'!$S$4:$S$30,MATCH(E11,'Item Purchases'!$B$4:$B$30,0))),"Uncategorised"))</f>
        <v>Sweet</v>
      </c>
      <c r="G11" s="178">
        <f>IF(E11="",0,'Pantry Inventory'!D14)</f>
        <v>30</v>
      </c>
      <c r="H11" s="178">
        <f>IF(E11="","",IF('Pantry Inventory'!E14="","",'Pantry Inventory'!E14))</f>
        <v>37</v>
      </c>
      <c r="I11" s="178">
        <f>IF(H11="","",'Pantry Inventory'!F14)</f>
        <v>38</v>
      </c>
      <c r="J11" s="179">
        <f>IF(E11="",0,IFERROR(INDEX('Item Purchases'!$Q$4:$Q$30,MATCH(E11,'Item Purchases'!$B$4:$B$30,0)),0))</f>
        <v>0.73</v>
      </c>
      <c r="K11" s="180">
        <f t="shared" si="2"/>
        <v>27.74</v>
      </c>
      <c r="L11" s="178">
        <f t="shared" si="3"/>
        <v>1</v>
      </c>
      <c r="M11" s="178">
        <f>IF(E11="",0,IF(AND(OR(OR(Dashboard!$E$5="All",Dashboard!$E$5=""),AG11=Dashboard!$E$5),OR(OR(Dashboard!$H$5="All",Dashboard!$H$5=""),F11=Dashboard!$H$5),OR(OR(Dashboard!$B$5="All",Dashboard!$B$5=""),C11=Dashboard!$B$5),OR(OR(Dashboard!$K$5="All",Dashboard!$K$5=""),A11=Dashboard!$K$5),OR(OR(Dashboard!$N$5="All",Dashboard!$N$5=""),B11=Dashboard!$N$5),OR(OR(Dashboard!$Q$5="All",Dashboard!$Q$5=""),D11=Dashboard!$Q$5),OR(OR(Dashboard!$U$5="All",Dashboard!$U$5=""),E11=Dashboard!$U$5)),1,0))</f>
        <v>1</v>
      </c>
      <c r="N11" s="178">
        <f>IF(E11="",0,IF(AND(OR(OR(Dashboard!$E$5="All",Dashboard!$E$5=""),AG11=Dashboard!$E$5),OR(OR(Dashboard!$B$5="All",Dashboard!$B$5=""),C11=Dashboard!$B$5),OR(OR(Dashboard!$K$5="All",Dashboard!$K$5=""),A11=Dashboard!$K$5),OR(OR(Dashboard!$N$5="All",Dashboard!$N$5=""),B11=Dashboard!$N$5),OR(OR(Dashboard!$Q$5="All",Dashboard!$Q$5=""),D11=Dashboard!$Q$5),OR(OR(Dashboard!$U$5="All",Dashboard!$U$5=""),E11=Dashboard!$U$5)),1,0))</f>
        <v>1</v>
      </c>
      <c r="O11" s="165">
        <f t="shared" si="4"/>
        <v>1444</v>
      </c>
      <c r="R11" s="167">
        <f>IFERROR(SMALL($Z$2:$Z$26,9),"")</f>
        <v>46276</v>
      </c>
      <c r="T11" s="165" t="str">
        <f>IFERROR(INDEX($AB$2:$AB$28,MATCH(9,$AC$2:$AC$28,0)),"")</f>
        <v>Coca Cola</v>
      </c>
      <c r="U11" s="165" t="str">
        <f>IFERROR(INDEX('Item Purchases'!$B$4:$B$30,MATCH(9,$AD$2:$AD$28,0)),"")</f>
        <v xml:space="preserve">Lays Double Crunch - Seaweed Flav (50g) </v>
      </c>
      <c r="Z11" s="167">
        <f>IF('Pantry Inventory'!$P$34&lt;&gt;"",'Pantry Inventory'!$P$34,IF(COUNT('Pantry Inventory'!P37:P63)+COUNT('Pantry Inventory'!Q37:Q63)&gt;0,AF11,""))</f>
        <v>46279</v>
      </c>
      <c r="AB11" s="165" t="str">
        <f>IF('Item Purchases'!$U$13="","",'Item Purchases'!$U$13)</f>
        <v>Munchy</v>
      </c>
      <c r="AC11" s="165">
        <f>IF(AB11="","",IF(COUNTIF(AB$2:AB11,AB11)=1,COUNT(AC$1:AC10)+1,""))</f>
        <v>5</v>
      </c>
      <c r="AD11" s="165">
        <f>IF('Item Purchases'!$B$13="","",COUNT(AD$1:AD10)+1)</f>
        <v>10</v>
      </c>
      <c r="AF11" s="167">
        <f>IF('Pantry Inventory'!$P$34&lt;&gt;"",'Pantry Inventory'!$P$34,IF(AF10="","",WORKDAY(AF10,1)))</f>
        <v>46279</v>
      </c>
      <c r="AG11" s="178" t="str">
        <f>IF(E11="","",IFERROR(IF(INDEX('Item Purchases'!$AM$4:$AM$30,MATCH(E11,'Item Purchases'!$B$4:$B$30,0))="","Uncategorised",INDEX('Item Purchases'!$AM$4:$AM$30,MATCH(E11,'Item Purchases'!$B$4:$B$30,0))),"Uncategorised"))</f>
        <v>Snacks</v>
      </c>
      <c r="AH11" s="165">
        <f>IF(AND(E11&lt;&gt;"",L11=1),COUNTIFS($E$2:E11,E11,$L$2:L11,1),0)</f>
        <v>1</v>
      </c>
      <c r="AI11" s="165">
        <f t="shared" si="5"/>
        <v>38</v>
      </c>
      <c r="AJ11" s="165">
        <f t="shared" si="6"/>
        <v>1</v>
      </c>
    </row>
    <row r="12" spans="1:36" x14ac:dyDescent="0.25">
      <c r="A12" s="177">
        <f t="shared" si="0"/>
        <v>46266</v>
      </c>
      <c r="B12" s="178" t="str">
        <f t="shared" si="1"/>
        <v>Tue</v>
      </c>
      <c r="C12" s="178" t="str">
        <f>'Pantry Inventory'!$A$2</f>
        <v>Sep Week 1</v>
      </c>
      <c r="D12" s="178" t="str">
        <f>IF('Pantry Inventory'!A15="","",'Pantry Inventory'!A15)</f>
        <v>Munchy</v>
      </c>
      <c r="E12" s="178" t="str">
        <f>IF('Pantry Inventory'!B15="","",'Pantry Inventory'!B15)</f>
        <v>Munchy Oat Krunch - Strawberry &amp; Blackcurrant</v>
      </c>
      <c r="F12" s="178" t="str">
        <f>IF(E12="","",IFERROR(IF(INDEX('Item Purchases'!$S$4:$S$30,MATCH(E12,'Item Purchases'!$B$4:$B$30,0))="","Uncategorised",INDEX('Item Purchases'!$S$4:$S$30,MATCH(E12,'Item Purchases'!$B$4:$B$30,0))),"Uncategorised"))</f>
        <v>Sweet</v>
      </c>
      <c r="G12" s="178">
        <f>IF(E12="",0,'Pantry Inventory'!D15)</f>
        <v>45</v>
      </c>
      <c r="H12" s="178">
        <f>IF(E12="","",IF('Pantry Inventory'!E15="","",'Pantry Inventory'!E15))</f>
        <v>45</v>
      </c>
      <c r="I12" s="178">
        <f>IF(H12="","",'Pantry Inventory'!F15)</f>
        <v>9</v>
      </c>
      <c r="J12" s="179">
        <f>IF(E12="",0,IFERROR(INDEX('Item Purchases'!$Q$4:$Q$30,MATCH(E12,'Item Purchases'!$B$4:$B$30,0)),0))</f>
        <v>0.73</v>
      </c>
      <c r="K12" s="180">
        <f t="shared" si="2"/>
        <v>6.57</v>
      </c>
      <c r="L12" s="178">
        <f t="shared" si="3"/>
        <v>1</v>
      </c>
      <c r="M12" s="178">
        <f>IF(E12="",0,IF(AND(OR(OR(Dashboard!$E$5="All",Dashboard!$E$5=""),AG12=Dashboard!$E$5),OR(OR(Dashboard!$H$5="All",Dashboard!$H$5=""),F12=Dashboard!$H$5),OR(OR(Dashboard!$B$5="All",Dashboard!$B$5=""),C12=Dashboard!$B$5),OR(OR(Dashboard!$K$5="All",Dashboard!$K$5=""),A12=Dashboard!$K$5),OR(OR(Dashboard!$N$5="All",Dashboard!$N$5=""),B12=Dashboard!$N$5),OR(OR(Dashboard!$Q$5="All",Dashboard!$Q$5=""),D12=Dashboard!$Q$5),OR(OR(Dashboard!$U$5="All",Dashboard!$U$5=""),E12=Dashboard!$U$5)),1,0))</f>
        <v>1</v>
      </c>
      <c r="N12" s="178">
        <f>IF(E12="",0,IF(AND(OR(OR(Dashboard!$E$5="All",Dashboard!$E$5=""),AG12=Dashboard!$E$5),OR(OR(Dashboard!$B$5="All",Dashboard!$B$5=""),C12=Dashboard!$B$5),OR(OR(Dashboard!$K$5="All",Dashboard!$K$5=""),A12=Dashboard!$K$5),OR(OR(Dashboard!$N$5="All",Dashboard!$N$5=""),B12=Dashboard!$N$5),OR(OR(Dashboard!$Q$5="All",Dashboard!$Q$5=""),D12=Dashboard!$Q$5),OR(OR(Dashboard!$U$5="All",Dashboard!$U$5=""),E12=Dashboard!$U$5)),1,0))</f>
        <v>1</v>
      </c>
      <c r="O12" s="165">
        <f t="shared" si="4"/>
        <v>81</v>
      </c>
      <c r="R12" s="167">
        <f>IFERROR(SMALL($Z$2:$Z$26,10),"")</f>
        <v>46279</v>
      </c>
      <c r="T12" s="165" t="str">
        <f>IFERROR(INDEX($AB$2:$AB$28,MATCH(10,$AC$2:$AC$28,0)),"")</f>
        <v>Vsoy</v>
      </c>
      <c r="U12" s="165" t="str">
        <f>IFERROR(INDEX('Item Purchases'!$B$4:$B$30,MATCH(10,$AD$2:$AD$28,0)),"")</f>
        <v>Munchy Oat Krunch - Dark Choco</v>
      </c>
      <c r="Z12" s="167">
        <f>IF('Pantry Inventory'!$D$65&lt;&gt;"",'Pantry Inventory'!$D$65,IF(COUNT('Pantry Inventory'!D68:D94)+COUNT('Pantry Inventory'!E68:E94)&gt;0,AF12,""))</f>
        <v>46280</v>
      </c>
      <c r="AB12" s="165" t="str">
        <f>IF('Item Purchases'!$U$14="","",'Item Purchases'!$U$14)</f>
        <v>Munchy</v>
      </c>
      <c r="AC12" s="165" t="str">
        <f>IF(AB12="","",IF(COUNTIF(AB$2:AB12,AB12)=1,COUNT(AC$1:AC11)+1,""))</f>
        <v/>
      </c>
      <c r="AD12" s="165">
        <f>IF('Item Purchases'!$B$14="","",COUNT(AD$1:AD11)+1)</f>
        <v>11</v>
      </c>
      <c r="AF12" s="167">
        <f>IF('Pantry Inventory'!$D$65&lt;&gt;"",'Pantry Inventory'!$D$65,IF('Pantry Inventory'!$C$65&lt;&gt;"",WORKDAY('Pantry Inventory'!$C$65,1),IF(AF11="","",WORKDAY(AF11,1))))</f>
        <v>46280</v>
      </c>
      <c r="AG12" s="178" t="str">
        <f>IF(E12="","",IFERROR(IF(INDEX('Item Purchases'!$AM$4:$AM$30,MATCH(E12,'Item Purchases'!$B$4:$B$30,0))="","Uncategorised",INDEX('Item Purchases'!$AM$4:$AM$30,MATCH(E12,'Item Purchases'!$B$4:$B$30,0))),"Uncategorised"))</f>
        <v>Snacks</v>
      </c>
      <c r="AH12" s="165">
        <f>IF(AND(E12&lt;&gt;"",L12=1),COUNTIFS($E$2:E12,E12,$L$2:L12,1),0)</f>
        <v>1</v>
      </c>
      <c r="AI12" s="165">
        <f t="shared" si="5"/>
        <v>9</v>
      </c>
      <c r="AJ12" s="165">
        <f t="shared" si="6"/>
        <v>1</v>
      </c>
    </row>
    <row r="13" spans="1:36" x14ac:dyDescent="0.25">
      <c r="A13" s="177">
        <f t="shared" si="0"/>
        <v>46266</v>
      </c>
      <c r="B13" s="178" t="str">
        <f t="shared" si="1"/>
        <v>Tue</v>
      </c>
      <c r="C13" s="178" t="str">
        <f>'Pantry Inventory'!$A$2</f>
        <v>Sep Week 1</v>
      </c>
      <c r="D13" s="178" t="str">
        <f>IF('Pantry Inventory'!A16="","",'Pantry Inventory'!A16)</f>
        <v/>
      </c>
      <c r="E13" s="178" t="str">
        <f>IF('Pantry Inventory'!B16="","",'Pantry Inventory'!B16)</f>
        <v/>
      </c>
      <c r="F13" s="178" t="str">
        <f>IF(E13="","",IFERROR(IF(INDEX('Item Purchases'!$S$4:$S$30,MATCH(E13,'Item Purchases'!$B$4:$B$30,0))="","Uncategorised",INDEX('Item Purchases'!$S$4:$S$30,MATCH(E13,'Item Purchases'!$B$4:$B$30,0))),"Uncategorised"))</f>
        <v/>
      </c>
      <c r="G13" s="178">
        <f>IF(E13="",0,'Pantry Inventory'!D16)</f>
        <v>0</v>
      </c>
      <c r="H13" s="178" t="str">
        <f>IF(E13="","",IF('Pantry Inventory'!E16="","",'Pantry Inventory'!E16))</f>
        <v/>
      </c>
      <c r="I13" s="178" t="str">
        <f>IF(H13="","",'Pantry Inventory'!F16)</f>
        <v/>
      </c>
      <c r="J13" s="179">
        <f>IF(E13="",0,IFERROR(INDEX('Item Purchases'!$Q$4:$Q$30,MATCH(E13,'Item Purchases'!$B$4:$B$30,0)),0))</f>
        <v>0</v>
      </c>
      <c r="K13" s="180" t="str">
        <f t="shared" si="2"/>
        <v/>
      </c>
      <c r="L13" s="178">
        <f t="shared" si="3"/>
        <v>0</v>
      </c>
      <c r="M13" s="178">
        <f>IF(E13="",0,IF(AND(OR(OR(Dashboard!$E$5="All",Dashboard!$E$5=""),AG13=Dashboard!$E$5),OR(OR(Dashboard!$H$5="All",Dashboard!$H$5=""),F13=Dashboard!$H$5),OR(OR(Dashboard!$B$5="All",Dashboard!$B$5=""),C13=Dashboard!$B$5),OR(OR(Dashboard!$K$5="All",Dashboard!$K$5=""),A13=Dashboard!$K$5),OR(OR(Dashboard!$N$5="All",Dashboard!$N$5=""),B13=Dashboard!$N$5),OR(OR(Dashboard!$Q$5="All",Dashboard!$Q$5=""),D13=Dashboard!$Q$5),OR(OR(Dashboard!$U$5="All",Dashboard!$U$5=""),E13=Dashboard!$U$5)),1,0))</f>
        <v>0</v>
      </c>
      <c r="N13" s="178">
        <f>IF(E13="",0,IF(AND(OR(OR(Dashboard!$E$5="All",Dashboard!$E$5=""),AG13=Dashboard!$E$5),OR(OR(Dashboard!$B$5="All",Dashboard!$B$5=""),C13=Dashboard!$B$5),OR(OR(Dashboard!$K$5="All",Dashboard!$K$5=""),A13=Dashboard!$K$5),OR(OR(Dashboard!$N$5="All",Dashboard!$N$5=""),B13=Dashboard!$N$5),OR(OR(Dashboard!$Q$5="All",Dashboard!$Q$5=""),D13=Dashboard!$Q$5),OR(OR(Dashboard!$U$5="All",Dashboard!$U$5=""),E13=Dashboard!$U$5)),1,0))</f>
        <v>0</v>
      </c>
      <c r="O13" s="165">
        <f t="shared" si="4"/>
        <v>0</v>
      </c>
      <c r="R13" s="167">
        <f>IFERROR(SMALL($Z$2:$Z$26,11),"")</f>
        <v>46280</v>
      </c>
      <c r="T13" s="165" t="str">
        <f>IFERROR(INDEX($AB$2:$AB$28,MATCH(11,$AC$2:$AC$28,0)),"")</f>
        <v>BingRae</v>
      </c>
      <c r="U13" s="165" t="str">
        <f>IFERROR(INDEX('Item Purchases'!$B$4:$B$30,MATCH(11,$AD$2:$AD$28,0)),"")</f>
        <v>Munchy Oat Krunch - Strawberry &amp; Blackcurrant</v>
      </c>
      <c r="Z13" s="167">
        <f>IF('Pantry Inventory'!$G$65&lt;&gt;"",'Pantry Inventory'!$G$65,IF(COUNT('Pantry Inventory'!G68:G94)+COUNT('Pantry Inventory'!H68:H94)&gt;0,AF13,""))</f>
        <v>46281</v>
      </c>
      <c r="AB13" s="165" t="str">
        <f>IF('Item Purchases'!$U$15="","",'Item Purchases'!$U$15)</f>
        <v/>
      </c>
      <c r="AC13" s="165" t="str">
        <f>IF(AB13="","",IF(COUNTIF(AB$2:AB13,AB13)=1,COUNT(AC$1:AC12)+1,""))</f>
        <v/>
      </c>
      <c r="AD13" s="165" t="str">
        <f>IF('Item Purchases'!$B$15="","",COUNT(AD$1:AD12)+1)</f>
        <v/>
      </c>
      <c r="AF13" s="167">
        <f>IF('Pantry Inventory'!$G$65&lt;&gt;"",'Pantry Inventory'!$G$65,IF(AF12="","",WORKDAY(AF12,1)))</f>
        <v>46281</v>
      </c>
      <c r="AG13" s="178" t="str">
        <f>IF(E13="","",IFERROR(IF(INDEX('Item Purchases'!$AM$4:$AM$30,MATCH(E13,'Item Purchases'!$B$4:$B$30,0))="","Uncategorised",INDEX('Item Purchases'!$AM$4:$AM$30,MATCH(E13,'Item Purchases'!$B$4:$B$30,0))),"Uncategorised"))</f>
        <v/>
      </c>
      <c r="AH13" s="165">
        <f>IF(AND(E13&lt;&gt;"",L13=1),COUNTIFS($E$2:E13,E13,$L$2:L13,1),0)</f>
        <v>0</v>
      </c>
      <c r="AI13" s="165">
        <f t="shared" si="5"/>
        <v>0</v>
      </c>
      <c r="AJ13" s="165">
        <f t="shared" si="6"/>
        <v>0</v>
      </c>
    </row>
    <row r="14" spans="1:36" x14ac:dyDescent="0.25">
      <c r="A14" s="177">
        <f t="shared" si="0"/>
        <v>46266</v>
      </c>
      <c r="B14" s="178" t="str">
        <f t="shared" si="1"/>
        <v>Tue</v>
      </c>
      <c r="C14" s="178" t="str">
        <f>'Pantry Inventory'!$A$2</f>
        <v>Sep Week 1</v>
      </c>
      <c r="D14" s="178" t="str">
        <f>IF('Pantry Inventory'!A17="","",'Pantry Inventory'!A17)</f>
        <v>Nestle</v>
      </c>
      <c r="E14" s="178" t="str">
        <f>IF('Pantry Inventory'!B17="","",'Pantry Inventory'!B17)</f>
        <v>Milo 200ml</v>
      </c>
      <c r="F14" s="178" t="str">
        <f>IF(E14="","",IFERROR(IF(INDEX('Item Purchases'!$S$4:$S$30,MATCH(E14,'Item Purchases'!$B$4:$B$30,0))="","Uncategorised",INDEX('Item Purchases'!$S$4:$S$30,MATCH(E14,'Item Purchases'!$B$4:$B$30,0))),"Uncategorised"))</f>
        <v>Other</v>
      </c>
      <c r="G14" s="178">
        <f>IF(E14="",0,'Pantry Inventory'!D17)</f>
        <v>0</v>
      </c>
      <c r="H14" s="178">
        <f>IF(E14="","",IF('Pantry Inventory'!E17="","",'Pantry Inventory'!E17))</f>
        <v>22</v>
      </c>
      <c r="I14" s="178">
        <f>IF(H14="","",'Pantry Inventory'!F17)</f>
        <v>13</v>
      </c>
      <c r="J14" s="179">
        <f>IF(E14="",0,IFERROR(INDEX('Item Purchases'!$Q$4:$Q$30,MATCH(E14,'Item Purchases'!$B$4:$B$30,0)),0))</f>
        <v>2.37</v>
      </c>
      <c r="K14" s="180">
        <f t="shared" si="2"/>
        <v>30.810000000000002</v>
      </c>
      <c r="L14" s="178">
        <f t="shared" si="3"/>
        <v>1</v>
      </c>
      <c r="M14" s="178">
        <f>IF(E14="",0,IF(AND(OR(OR(Dashboard!$E$5="All",Dashboard!$E$5=""),AG14=Dashboard!$E$5),OR(OR(Dashboard!$H$5="All",Dashboard!$H$5=""),F14=Dashboard!$H$5),OR(OR(Dashboard!$B$5="All",Dashboard!$B$5=""),C14=Dashboard!$B$5),OR(OR(Dashboard!$K$5="All",Dashboard!$K$5=""),A14=Dashboard!$K$5),OR(OR(Dashboard!$N$5="All",Dashboard!$N$5=""),B14=Dashboard!$N$5),OR(OR(Dashboard!$Q$5="All",Dashboard!$Q$5=""),D14=Dashboard!$Q$5),OR(OR(Dashboard!$U$5="All",Dashboard!$U$5=""),E14=Dashboard!$U$5)),1,0))</f>
        <v>1</v>
      </c>
      <c r="N14" s="178">
        <f>IF(E14="",0,IF(AND(OR(OR(Dashboard!$E$5="All",Dashboard!$E$5=""),AG14=Dashboard!$E$5),OR(OR(Dashboard!$B$5="All",Dashboard!$B$5=""),C14=Dashboard!$B$5),OR(OR(Dashboard!$K$5="All",Dashboard!$K$5=""),A14=Dashboard!$K$5),OR(OR(Dashboard!$N$5="All",Dashboard!$N$5=""),B14=Dashboard!$N$5),OR(OR(Dashboard!$Q$5="All",Dashboard!$Q$5=""),D14=Dashboard!$Q$5),OR(OR(Dashboard!$U$5="All",Dashboard!$U$5=""),E14=Dashboard!$U$5)),1,0))</f>
        <v>1</v>
      </c>
      <c r="O14" s="165">
        <f t="shared" si="4"/>
        <v>169</v>
      </c>
      <c r="R14" s="167">
        <f>IFERROR(SMALL($Z$2:$Z$26,12),"")</f>
        <v>46281</v>
      </c>
      <c r="T14" s="165" t="str">
        <f>IFERROR(INDEX($AB$2:$AB$28,MATCH(12,$AC$2:$AC$28,0)),"")</f>
        <v>Fuze Tea</v>
      </c>
      <c r="U14" s="165" t="str">
        <f>IFERROR(INDEX('Item Purchases'!$B$4:$B$30,MATCH(12,$AD$2:$AD$28,0)),"")</f>
        <v>Milo 200ml</v>
      </c>
      <c r="Z14" s="167">
        <f>IF('Pantry Inventory'!$J$65&lt;&gt;"",'Pantry Inventory'!$J$65,IF(COUNT('Pantry Inventory'!J68:J94)+COUNT('Pantry Inventory'!K68:K94)&gt;0,AF14,""))</f>
        <v>46282</v>
      </c>
      <c r="AB14" s="165" t="str">
        <f>IF('Item Purchases'!$U$16="","",'Item Purchases'!$U$16)</f>
        <v>Nestle</v>
      </c>
      <c r="AC14" s="165">
        <f>IF(AB14="","",IF(COUNTIF(AB$2:AB14,AB14)=1,COUNT(AC$1:AC13)+1,""))</f>
        <v>6</v>
      </c>
      <c r="AD14" s="165">
        <f>IF('Item Purchases'!$B$16="","",COUNT(AD$1:AD13)+1)</f>
        <v>12</v>
      </c>
      <c r="AF14" s="167">
        <f>IF('Pantry Inventory'!$J$65&lt;&gt;"",'Pantry Inventory'!$J$65,IF(AF13="","",WORKDAY(AF13,1)))</f>
        <v>46282</v>
      </c>
      <c r="AG14" s="178" t="str">
        <f>IF(E14="","",IFERROR(IF(INDEX('Item Purchases'!$AM$4:$AM$30,MATCH(E14,'Item Purchases'!$B$4:$B$30,0))="","Uncategorised",INDEX('Item Purchases'!$AM$4:$AM$30,MATCH(E14,'Item Purchases'!$B$4:$B$30,0))),"Uncategorised"))</f>
        <v>Beverages</v>
      </c>
      <c r="AH14" s="165">
        <f>IF(AND(E14&lt;&gt;"",L14=1),COUNTIFS($E$2:E14,E14,$L$2:L14,1),0)</f>
        <v>1</v>
      </c>
      <c r="AI14" s="165">
        <f t="shared" si="5"/>
        <v>13</v>
      </c>
      <c r="AJ14" s="165">
        <f t="shared" si="6"/>
        <v>1</v>
      </c>
    </row>
    <row r="15" spans="1:36" x14ac:dyDescent="0.25">
      <c r="A15" s="177">
        <f t="shared" si="0"/>
        <v>46266</v>
      </c>
      <c r="B15" s="178" t="str">
        <f t="shared" si="1"/>
        <v>Tue</v>
      </c>
      <c r="C15" s="178" t="str">
        <f>'Pantry Inventory'!$A$2</f>
        <v>Sep Week 1</v>
      </c>
      <c r="D15" s="178" t="str">
        <f>IF('Pantry Inventory'!A18="","",'Pantry Inventory'!A18)</f>
        <v>Nestle</v>
      </c>
      <c r="E15" s="178" t="str">
        <f>IF('Pantry Inventory'!B18="","",'Pantry Inventory'!B18)</f>
        <v>Nescafe Latte 240ml</v>
      </c>
      <c r="F15" s="178" t="str">
        <f>IF(E15="","",IFERROR(IF(INDEX('Item Purchases'!$S$4:$S$30,MATCH(E15,'Item Purchases'!$B$4:$B$30,0))="","Uncategorised",INDEX('Item Purchases'!$S$4:$S$30,MATCH(E15,'Item Purchases'!$B$4:$B$30,0))),"Uncategorised"))</f>
        <v>Coffee</v>
      </c>
      <c r="G15" s="178">
        <f>IF(E15="",0,'Pantry Inventory'!D18)</f>
        <v>0</v>
      </c>
      <c r="H15" s="178">
        <f>IF(E15="","",IF('Pantry Inventory'!E18="","",'Pantry Inventory'!E18))</f>
        <v>29</v>
      </c>
      <c r="I15" s="178">
        <f>IF(H15="","",'Pantry Inventory'!F18)</f>
        <v>2</v>
      </c>
      <c r="J15" s="179">
        <f>IF(E15="",0,IFERROR(INDEX('Item Purchases'!$Q$4:$Q$30,MATCH(E15,'Item Purchases'!$B$4:$B$30,0)),0))</f>
        <v>2.1875</v>
      </c>
      <c r="K15" s="180">
        <f t="shared" si="2"/>
        <v>4.375</v>
      </c>
      <c r="L15" s="178">
        <f t="shared" si="3"/>
        <v>1</v>
      </c>
      <c r="M15" s="178">
        <f>IF(E15="",0,IF(AND(OR(OR(Dashboard!$E$5="All",Dashboard!$E$5=""),AG15=Dashboard!$E$5),OR(OR(Dashboard!$H$5="All",Dashboard!$H$5=""),F15=Dashboard!$H$5),OR(OR(Dashboard!$B$5="All",Dashboard!$B$5=""),C15=Dashboard!$B$5),OR(OR(Dashboard!$K$5="All",Dashboard!$K$5=""),A15=Dashboard!$K$5),OR(OR(Dashboard!$N$5="All",Dashboard!$N$5=""),B15=Dashboard!$N$5),OR(OR(Dashboard!$Q$5="All",Dashboard!$Q$5=""),D15=Dashboard!$Q$5),OR(OR(Dashboard!$U$5="All",Dashboard!$U$5=""),E15=Dashboard!$U$5)),1,0))</f>
        <v>1</v>
      </c>
      <c r="N15" s="178">
        <f>IF(E15="",0,IF(AND(OR(OR(Dashboard!$E$5="All",Dashboard!$E$5=""),AG15=Dashboard!$E$5),OR(OR(Dashboard!$B$5="All",Dashboard!$B$5=""),C15=Dashboard!$B$5),OR(OR(Dashboard!$K$5="All",Dashboard!$K$5=""),A15=Dashboard!$K$5),OR(OR(Dashboard!$N$5="All",Dashboard!$N$5=""),B15=Dashboard!$N$5),OR(OR(Dashboard!$Q$5="All",Dashboard!$Q$5=""),D15=Dashboard!$Q$5),OR(OR(Dashboard!$U$5="All",Dashboard!$U$5=""),E15=Dashboard!$U$5)),1,0))</f>
        <v>1</v>
      </c>
      <c r="O15" s="165">
        <f t="shared" si="4"/>
        <v>4</v>
      </c>
      <c r="R15" s="167">
        <f>IFERROR(SMALL($Z$2:$Z$26,13),"")</f>
        <v>46282</v>
      </c>
      <c r="T15" s="165" t="str">
        <f>IFERROR(INDEX($AB$2:$AB$28,MATCH(13,$AC$2:$AC$28,0)),"")</f>
        <v>F&amp;N</v>
      </c>
      <c r="U15" s="165" t="str">
        <f>IFERROR(INDEX('Item Purchases'!$B$4:$B$30,MATCH(13,$AD$2:$AD$28,0)),"")</f>
        <v>Nescafe Latte 240ml</v>
      </c>
      <c r="Z15" s="167">
        <f>IF('Pantry Inventory'!$M$65&lt;&gt;"",'Pantry Inventory'!$M$65,IF(COUNT('Pantry Inventory'!M68:M94)+COUNT('Pantry Inventory'!N68:N94)&gt;0,AF15,""))</f>
        <v>46283</v>
      </c>
      <c r="AB15" s="165" t="str">
        <f>IF('Item Purchases'!$U$17="","",'Item Purchases'!$U$17)</f>
        <v>Nestle</v>
      </c>
      <c r="AC15" s="165" t="str">
        <f>IF(AB15="","",IF(COUNTIF(AB$2:AB15,AB15)=1,COUNT(AC$1:AC14)+1,""))</f>
        <v/>
      </c>
      <c r="AD15" s="165">
        <f>IF('Item Purchases'!$B$17="","",COUNT(AD$1:AD14)+1)</f>
        <v>13</v>
      </c>
      <c r="AF15" s="167">
        <f>IF('Pantry Inventory'!$M$65&lt;&gt;"",'Pantry Inventory'!$M$65,IF(AF14="","",WORKDAY(AF14,1)))</f>
        <v>46283</v>
      </c>
      <c r="AG15" s="178" t="str">
        <f>IF(E15="","",IFERROR(IF(INDEX('Item Purchases'!$AM$4:$AM$30,MATCH(E15,'Item Purchases'!$B$4:$B$30,0))="","Uncategorised",INDEX('Item Purchases'!$AM$4:$AM$30,MATCH(E15,'Item Purchases'!$B$4:$B$30,0))),"Uncategorised"))</f>
        <v>Beverages</v>
      </c>
      <c r="AH15" s="165">
        <f>IF(AND(E15&lt;&gt;"",L15=1),COUNTIFS($E$2:E15,E15,$L$2:L15,1),0)</f>
        <v>1</v>
      </c>
      <c r="AI15" s="165">
        <f t="shared" si="5"/>
        <v>2</v>
      </c>
      <c r="AJ15" s="165">
        <f t="shared" si="6"/>
        <v>1</v>
      </c>
    </row>
    <row r="16" spans="1:36" x14ac:dyDescent="0.25">
      <c r="A16" s="177">
        <f t="shared" si="0"/>
        <v>46266</v>
      </c>
      <c r="B16" s="178" t="str">
        <f t="shared" si="1"/>
        <v>Tue</v>
      </c>
      <c r="C16" s="178" t="str">
        <f>'Pantry Inventory'!$A$2</f>
        <v>Sep Week 1</v>
      </c>
      <c r="D16" s="178" t="str">
        <f>IF('Pantry Inventory'!A19="","",'Pantry Inventory'!A19)</f>
        <v>Nestle</v>
      </c>
      <c r="E16" s="178" t="str">
        <f>IF('Pantry Inventory'!B19="","",'Pantry Inventory'!B19)</f>
        <v>Nescafe original 240ml</v>
      </c>
      <c r="F16" s="178" t="str">
        <f>IF(E16="","",IFERROR(IF(INDEX('Item Purchases'!$S$4:$S$30,MATCH(E16,'Item Purchases'!$B$4:$B$30,0))="","Uncategorised",INDEX('Item Purchases'!$S$4:$S$30,MATCH(E16,'Item Purchases'!$B$4:$B$30,0))),"Uncategorised"))</f>
        <v>Coffee</v>
      </c>
      <c r="G16" s="178">
        <f>IF(E16="",0,'Pantry Inventory'!D19)</f>
        <v>0</v>
      </c>
      <c r="H16" s="178">
        <f>IF(E16="","",IF('Pantry Inventory'!E19="","",'Pantry Inventory'!E19))</f>
        <v>24</v>
      </c>
      <c r="I16" s="178">
        <f>IF(H16="","",'Pantry Inventory'!F19)</f>
        <v>6</v>
      </c>
      <c r="J16" s="179">
        <f>IF(E16="",0,IFERROR(INDEX('Item Purchases'!$Q$4:$Q$30,MATCH(E16,'Item Purchases'!$B$4:$B$30,0)),0))</f>
        <v>2.1875</v>
      </c>
      <c r="K16" s="180">
        <f t="shared" si="2"/>
        <v>13.125</v>
      </c>
      <c r="L16" s="178">
        <f t="shared" si="3"/>
        <v>1</v>
      </c>
      <c r="M16" s="178">
        <f>IF(E16="",0,IF(AND(OR(OR(Dashboard!$E$5="All",Dashboard!$E$5=""),AG16=Dashboard!$E$5),OR(OR(Dashboard!$H$5="All",Dashboard!$H$5=""),F16=Dashboard!$H$5),OR(OR(Dashboard!$B$5="All",Dashboard!$B$5=""),C16=Dashboard!$B$5),OR(OR(Dashboard!$K$5="All",Dashboard!$K$5=""),A16=Dashboard!$K$5),OR(OR(Dashboard!$N$5="All",Dashboard!$N$5=""),B16=Dashboard!$N$5),OR(OR(Dashboard!$Q$5="All",Dashboard!$Q$5=""),D16=Dashboard!$Q$5),OR(OR(Dashboard!$U$5="All",Dashboard!$U$5=""),E16=Dashboard!$U$5)),1,0))</f>
        <v>1</v>
      </c>
      <c r="N16" s="178">
        <f>IF(E16="",0,IF(AND(OR(OR(Dashboard!$E$5="All",Dashboard!$E$5=""),AG16=Dashboard!$E$5),OR(OR(Dashboard!$B$5="All",Dashboard!$B$5=""),C16=Dashboard!$B$5),OR(OR(Dashboard!$K$5="All",Dashboard!$K$5=""),A16=Dashboard!$K$5),OR(OR(Dashboard!$N$5="All",Dashboard!$N$5=""),B16=Dashboard!$N$5),OR(OR(Dashboard!$Q$5="All",Dashboard!$Q$5=""),D16=Dashboard!$Q$5),OR(OR(Dashboard!$U$5="All",Dashboard!$U$5=""),E16=Dashboard!$U$5)),1,0))</f>
        <v>1</v>
      </c>
      <c r="O16" s="165">
        <f t="shared" si="4"/>
        <v>36</v>
      </c>
      <c r="R16" s="167">
        <f>IFERROR(SMALL($Z$2:$Z$26,14),"")</f>
        <v>46283</v>
      </c>
      <c r="T16" s="165" t="str">
        <f>IFERROR(INDEX($AB$2:$AB$28,MATCH(14,$AC$2:$AC$28,0)),"")</f>
        <v>Spritzer</v>
      </c>
      <c r="U16" s="165" t="str">
        <f>IFERROR(INDEX('Item Purchases'!$B$4:$B$30,MATCH(14,$AD$2:$AD$28,0)),"")</f>
        <v>Nescafe original 240ml</v>
      </c>
      <c r="Z16" s="167">
        <f>IF('Pantry Inventory'!$P$65&lt;&gt;"",'Pantry Inventory'!$P$65,IF(COUNT('Pantry Inventory'!P68:P94)+COUNT('Pantry Inventory'!Q68:Q94)&gt;0,AF16,""))</f>
        <v>46286</v>
      </c>
      <c r="AB16" s="165" t="str">
        <f>IF('Item Purchases'!$U$18="","",'Item Purchases'!$U$18)</f>
        <v>Nestle</v>
      </c>
      <c r="AC16" s="165" t="str">
        <f>IF(AB16="","",IF(COUNTIF(AB$2:AB16,AB16)=1,COUNT(AC$1:AC15)+1,""))</f>
        <v/>
      </c>
      <c r="AD16" s="165">
        <f>IF('Item Purchases'!$B$18="","",COUNT(AD$1:AD15)+1)</f>
        <v>14</v>
      </c>
      <c r="AF16" s="167">
        <f>IF('Pantry Inventory'!$P$65&lt;&gt;"",'Pantry Inventory'!$P$65,IF(AF15="","",WORKDAY(AF15,1)))</f>
        <v>46286</v>
      </c>
      <c r="AG16" s="178" t="str">
        <f>IF(E16="","",IFERROR(IF(INDEX('Item Purchases'!$AM$4:$AM$30,MATCH(E16,'Item Purchases'!$B$4:$B$30,0))="","Uncategorised",INDEX('Item Purchases'!$AM$4:$AM$30,MATCH(E16,'Item Purchases'!$B$4:$B$30,0))),"Uncategorised"))</f>
        <v>Beverages</v>
      </c>
      <c r="AH16" s="165">
        <f>IF(AND(E16&lt;&gt;"",L16=1),COUNTIFS($E$2:E16,E16,$L$2:L16,1),0)</f>
        <v>1</v>
      </c>
      <c r="AI16" s="165">
        <f t="shared" si="5"/>
        <v>6</v>
      </c>
      <c r="AJ16" s="165">
        <f t="shared" si="6"/>
        <v>1</v>
      </c>
    </row>
    <row r="17" spans="1:36" x14ac:dyDescent="0.25">
      <c r="A17" s="177">
        <f t="shared" si="0"/>
        <v>46266</v>
      </c>
      <c r="B17" s="178" t="str">
        <f t="shared" si="1"/>
        <v>Tue</v>
      </c>
      <c r="C17" s="178" t="str">
        <f>'Pantry Inventory'!$A$2</f>
        <v>Sep Week 1</v>
      </c>
      <c r="D17" s="178" t="str">
        <f>IF('Pantry Inventory'!A20="","",'Pantry Inventory'!A20)</f>
        <v>COWA</v>
      </c>
      <c r="E17" s="178" t="str">
        <f>IF('Pantry Inventory'!B20="","",'Pantry Inventory'!B20)</f>
        <v>COWA Coconut Water 330 ml</v>
      </c>
      <c r="F17" s="178" t="str">
        <f>IF(E17="","",IFERROR(IF(INDEX('Item Purchases'!$S$4:$S$30,MATCH(E17,'Item Purchases'!$B$4:$B$30,0))="","Uncategorised",INDEX('Item Purchases'!$S$4:$S$30,MATCH(E17,'Item Purchases'!$B$4:$B$30,0))),"Uncategorised"))</f>
        <v>Other</v>
      </c>
      <c r="G17" s="178">
        <f>IF(E17="",0,'Pantry Inventory'!D20)</f>
        <v>0</v>
      </c>
      <c r="H17" s="178">
        <f>IF(E17="","",IF('Pantry Inventory'!E20="","",'Pantry Inventory'!E20))</f>
        <v>0</v>
      </c>
      <c r="I17" s="178">
        <f>IF(H17="","",'Pantry Inventory'!F20)</f>
        <v>0</v>
      </c>
      <c r="J17" s="179">
        <f>IF(E17="",0,IFERROR(INDEX('Item Purchases'!$Q$4:$Q$30,MATCH(E17,'Item Purchases'!$B$4:$B$30,0)),0))</f>
        <v>3</v>
      </c>
      <c r="K17" s="180">
        <f t="shared" si="2"/>
        <v>0</v>
      </c>
      <c r="L17" s="178">
        <f t="shared" si="3"/>
        <v>1</v>
      </c>
      <c r="M17" s="178">
        <f>IF(E17="",0,IF(AND(OR(OR(Dashboard!$E$5="All",Dashboard!$E$5=""),AG17=Dashboard!$E$5),OR(OR(Dashboard!$H$5="All",Dashboard!$H$5=""),F17=Dashboard!$H$5),OR(OR(Dashboard!$B$5="All",Dashboard!$B$5=""),C17=Dashboard!$B$5),OR(OR(Dashboard!$K$5="All",Dashboard!$K$5=""),A17=Dashboard!$K$5),OR(OR(Dashboard!$N$5="All",Dashboard!$N$5=""),B17=Dashboard!$N$5),OR(OR(Dashboard!$Q$5="All",Dashboard!$Q$5=""),D17=Dashboard!$Q$5),OR(OR(Dashboard!$U$5="All",Dashboard!$U$5=""),E17=Dashboard!$U$5)),1,0))</f>
        <v>1</v>
      </c>
      <c r="N17" s="178">
        <f>IF(E17="",0,IF(AND(OR(OR(Dashboard!$E$5="All",Dashboard!$E$5=""),AG17=Dashboard!$E$5),OR(OR(Dashboard!$B$5="All",Dashboard!$B$5=""),C17=Dashboard!$B$5),OR(OR(Dashboard!$K$5="All",Dashboard!$K$5=""),A17=Dashboard!$K$5),OR(OR(Dashboard!$N$5="All",Dashboard!$N$5=""),B17=Dashboard!$N$5),OR(OR(Dashboard!$Q$5="All",Dashboard!$Q$5=""),D17=Dashboard!$Q$5),OR(OR(Dashboard!$U$5="All",Dashboard!$U$5=""),E17=Dashboard!$U$5)),1,0))</f>
        <v>1</v>
      </c>
      <c r="O17" s="165">
        <f t="shared" si="4"/>
        <v>0</v>
      </c>
      <c r="R17" s="167">
        <f>IFERROR(SMALL($Z$2:$Z$26,15),"")</f>
        <v>46286</v>
      </c>
      <c r="T17" s="165" t="str">
        <f>IFERROR(INDEX($AB$2:$AB$28,MATCH(15,$AC$2:$AC$28,0)),"")</f>
        <v>Oat Side</v>
      </c>
      <c r="U17" s="165" t="str">
        <f>IFERROR(INDEX('Item Purchases'!$B$4:$B$30,MATCH(15,$AD$2:$AD$28,0)),"")</f>
        <v>COWA Coconut Water 330 ml</v>
      </c>
      <c r="Z17" s="167">
        <f>IF('Pantry Inventory'!$D$98&lt;&gt;"",'Pantry Inventory'!$D$98,IF(COUNT('Pantry Inventory'!D101:D127)+COUNT('Pantry Inventory'!E101:E127)&gt;0,AF17,""))</f>
        <v>46287</v>
      </c>
      <c r="AB17" s="165" t="str">
        <f>IF('Item Purchases'!$U$19="","",'Item Purchases'!$U$19)</f>
        <v>COWA</v>
      </c>
      <c r="AC17" s="165">
        <f>IF(AB17="","",IF(COUNTIF(AB$2:AB17,AB17)=1,COUNT(AC$1:AC16)+1,""))</f>
        <v>7</v>
      </c>
      <c r="AD17" s="165">
        <f>IF('Item Purchases'!$B$19="","",COUNT(AD$1:AD16)+1)</f>
        <v>15</v>
      </c>
      <c r="AF17" s="167">
        <f>IF('Pantry Inventory'!$D$98&lt;&gt;"",'Pantry Inventory'!$D$98,IF('Pantry Inventory'!$C$98&lt;&gt;"",WORKDAY('Pantry Inventory'!$C$98,1),IF(AF16="","",WORKDAY(AF16,1))))</f>
        <v>46287</v>
      </c>
      <c r="AG17" s="178" t="str">
        <f>IF(E17="","",IFERROR(IF(INDEX('Item Purchases'!$AM$4:$AM$30,MATCH(E17,'Item Purchases'!$B$4:$B$30,0))="","Uncategorised",INDEX('Item Purchases'!$AM$4:$AM$30,MATCH(E17,'Item Purchases'!$B$4:$B$30,0))),"Uncategorised"))</f>
        <v>Beverages</v>
      </c>
      <c r="AH17" s="165">
        <f>IF(AND(E17&lt;&gt;"",L17=1),COUNTIFS($E$2:E17,E17,$L$2:L17,1),0)</f>
        <v>1</v>
      </c>
      <c r="AI17" s="165">
        <f t="shared" si="5"/>
        <v>0</v>
      </c>
      <c r="AJ17" s="165">
        <f t="shared" si="6"/>
        <v>0</v>
      </c>
    </row>
    <row r="18" spans="1:36" x14ac:dyDescent="0.25">
      <c r="A18" s="177">
        <f t="shared" si="0"/>
        <v>46266</v>
      </c>
      <c r="B18" s="178" t="str">
        <f t="shared" si="1"/>
        <v>Tue</v>
      </c>
      <c r="C18" s="178" t="str">
        <f>'Pantry Inventory'!$A$2</f>
        <v>Sep Week 1</v>
      </c>
      <c r="D18" s="178" t="str">
        <f>IF('Pantry Inventory'!A21="","",'Pantry Inventory'!A21)</f>
        <v>Coca Cola</v>
      </c>
      <c r="E18" s="178" t="str">
        <f>IF('Pantry Inventory'!B21="","",'Pantry Inventory'!B21)</f>
        <v>COKE ZERO  325ML</v>
      </c>
      <c r="F18" s="178" t="str">
        <f>IF(E18="","",IFERROR(IF(INDEX('Item Purchases'!$S$4:$S$30,MATCH(E18,'Item Purchases'!$B$4:$B$30,0))="","Uncategorised",INDEX('Item Purchases'!$S$4:$S$30,MATCH(E18,'Item Purchases'!$B$4:$B$30,0))),"Uncategorised"))</f>
        <v>Other</v>
      </c>
      <c r="G18" s="178">
        <f>IF(E18="",0,'Pantry Inventory'!D21)</f>
        <v>0</v>
      </c>
      <c r="H18" s="178">
        <f>IF(E18="","",IF('Pantry Inventory'!E21="","",'Pantry Inventory'!E21))</f>
        <v>46</v>
      </c>
      <c r="I18" s="178">
        <f>IF(H18="","",'Pantry Inventory'!F21)</f>
        <v>9</v>
      </c>
      <c r="J18" s="179">
        <f>IF(E18="",0,IFERROR(INDEX('Item Purchases'!$Q$4:$Q$30,MATCH(E18,'Item Purchases'!$B$4:$B$30,0)),0))</f>
        <v>1.83</v>
      </c>
      <c r="K18" s="180">
        <f t="shared" si="2"/>
        <v>16.47</v>
      </c>
      <c r="L18" s="178">
        <f t="shared" si="3"/>
        <v>1</v>
      </c>
      <c r="M18" s="178">
        <f>IF(E18="",0,IF(AND(OR(OR(Dashboard!$E$5="All",Dashboard!$E$5=""),AG18=Dashboard!$E$5),OR(OR(Dashboard!$H$5="All",Dashboard!$H$5=""),F18=Dashboard!$H$5),OR(OR(Dashboard!$B$5="All",Dashboard!$B$5=""),C18=Dashboard!$B$5),OR(OR(Dashboard!$K$5="All",Dashboard!$K$5=""),A18=Dashboard!$K$5),OR(OR(Dashboard!$N$5="All",Dashboard!$N$5=""),B18=Dashboard!$N$5),OR(OR(Dashboard!$Q$5="All",Dashboard!$Q$5=""),D18=Dashboard!$Q$5),OR(OR(Dashboard!$U$5="All",Dashboard!$U$5=""),E18=Dashboard!$U$5)),1,0))</f>
        <v>1</v>
      </c>
      <c r="N18" s="178">
        <f>IF(E18="",0,IF(AND(OR(OR(Dashboard!$E$5="All",Dashboard!$E$5=""),AG18=Dashboard!$E$5),OR(OR(Dashboard!$B$5="All",Dashboard!$B$5=""),C18=Dashboard!$B$5),OR(OR(Dashboard!$K$5="All",Dashboard!$K$5=""),A18=Dashboard!$K$5),OR(OR(Dashboard!$N$5="All",Dashboard!$N$5=""),B18=Dashboard!$N$5),OR(OR(Dashboard!$Q$5="All",Dashboard!$Q$5=""),D18=Dashboard!$Q$5),OR(OR(Dashboard!$U$5="All",Dashboard!$U$5=""),E18=Dashboard!$U$5)),1,0))</f>
        <v>1</v>
      </c>
      <c r="O18" s="165">
        <f t="shared" si="4"/>
        <v>81</v>
      </c>
      <c r="R18" s="167">
        <f>IFERROR(SMALL($Z$2:$Z$26,16),"")</f>
        <v>46287</v>
      </c>
      <c r="T18" s="165" t="str">
        <f>IFERROR(INDEX($AB$2:$AB$28,MATCH(16,$AC$2:$AC$28,0)),"")</f>
        <v/>
      </c>
      <c r="U18" s="165" t="str">
        <f>IFERROR(INDEX('Item Purchases'!$B$4:$B$30,MATCH(16,$AD$2:$AD$28,0)),"")</f>
        <v>KARTA Coconut Water 330 ml</v>
      </c>
      <c r="Z18" s="167">
        <f>IF('Pantry Inventory'!$G$98&lt;&gt;"",'Pantry Inventory'!$G$98,IF(COUNT('Pantry Inventory'!G101:G127)+COUNT('Pantry Inventory'!H101:H127)&gt;0,AF18,""))</f>
        <v>46288</v>
      </c>
      <c r="AB18" s="165" t="str">
        <f>IF('Item Purchases'!$U$20="","",'Item Purchases'!$U$20)</f>
        <v>KARTA</v>
      </c>
      <c r="AC18" s="165">
        <f>IF(AB18="","",IF(COUNTIF(AB$2:AB18,AB18)=1,COUNT(AC$1:AC17)+1,""))</f>
        <v>8</v>
      </c>
      <c r="AD18" s="165">
        <f>IF('Item Purchases'!$B$20="","",COUNT(AD$1:AD17)+1)</f>
        <v>16</v>
      </c>
      <c r="AF18" s="167">
        <f>IF('Pantry Inventory'!$G$98&lt;&gt;"",'Pantry Inventory'!$G$98,IF(AF17="","",WORKDAY(AF17,1)))</f>
        <v>46288</v>
      </c>
      <c r="AG18" s="178" t="str">
        <f>IF(E18="","",IFERROR(IF(INDEX('Item Purchases'!$AM$4:$AM$30,MATCH(E18,'Item Purchases'!$B$4:$B$30,0))="","Uncategorised",INDEX('Item Purchases'!$AM$4:$AM$30,MATCH(E18,'Item Purchases'!$B$4:$B$30,0))),"Uncategorised"))</f>
        <v>Beverages</v>
      </c>
      <c r="AH18" s="165">
        <f>IF(AND(E18&lt;&gt;"",L18=1),COUNTIFS($E$2:E18,E18,$L$2:L18,1),0)</f>
        <v>1</v>
      </c>
      <c r="AI18" s="165">
        <f t="shared" si="5"/>
        <v>9</v>
      </c>
      <c r="AJ18" s="165">
        <f t="shared" si="6"/>
        <v>1</v>
      </c>
    </row>
    <row r="19" spans="1:36" x14ac:dyDescent="0.25">
      <c r="A19" s="177">
        <f t="shared" si="0"/>
        <v>46266</v>
      </c>
      <c r="B19" s="178" t="str">
        <f t="shared" si="1"/>
        <v>Tue</v>
      </c>
      <c r="C19" s="178" t="str">
        <f>'Pantry Inventory'!$A$2</f>
        <v>Sep Week 1</v>
      </c>
      <c r="D19" s="178" t="str">
        <f>IF('Pantry Inventory'!A22="","",'Pantry Inventory'!A22)</f>
        <v>Coca Cola</v>
      </c>
      <c r="E19" s="178" t="str">
        <f>IF('Pantry Inventory'!B22="","",'Pantry Inventory'!B22)</f>
        <v>Ayataka Tea 300ml</v>
      </c>
      <c r="F19" s="178" t="str">
        <f>IF(E19="","",IFERROR(IF(INDEX('Item Purchases'!$S$4:$S$30,MATCH(E19,'Item Purchases'!$B$4:$B$30,0))="","Uncategorised",INDEX('Item Purchases'!$S$4:$S$30,MATCH(E19,'Item Purchases'!$B$4:$B$30,0))),"Uncategorised"))</f>
        <v>Tea</v>
      </c>
      <c r="G19" s="178">
        <f>IF(E19="",0,'Pantry Inventory'!D22)</f>
        <v>36</v>
      </c>
      <c r="H19" s="178">
        <f>IF(E19="","",IF('Pantry Inventory'!E22="","",'Pantry Inventory'!E22))</f>
        <v>36</v>
      </c>
      <c r="I19" s="178">
        <f>IF(H19="","",'Pantry Inventory'!F22)</f>
        <v>24</v>
      </c>
      <c r="J19" s="179">
        <f>IF(E19="",0,IFERROR(INDEX('Item Purchases'!$Q$4:$Q$30,MATCH(E19,'Item Purchases'!$B$4:$B$30,0)),0))</f>
        <v>1.75</v>
      </c>
      <c r="K19" s="180">
        <f t="shared" si="2"/>
        <v>42</v>
      </c>
      <c r="L19" s="178">
        <f t="shared" si="3"/>
        <v>1</v>
      </c>
      <c r="M19" s="178">
        <f>IF(E19="",0,IF(AND(OR(OR(Dashboard!$E$5="All",Dashboard!$E$5=""),AG19=Dashboard!$E$5),OR(OR(Dashboard!$H$5="All",Dashboard!$H$5=""),F19=Dashboard!$H$5),OR(OR(Dashboard!$B$5="All",Dashboard!$B$5=""),C19=Dashboard!$B$5),OR(OR(Dashboard!$K$5="All",Dashboard!$K$5=""),A19=Dashboard!$K$5),OR(OR(Dashboard!$N$5="All",Dashboard!$N$5=""),B19=Dashboard!$N$5),OR(OR(Dashboard!$Q$5="All",Dashboard!$Q$5=""),D19=Dashboard!$Q$5),OR(OR(Dashboard!$U$5="All",Dashboard!$U$5=""),E19=Dashboard!$U$5)),1,0))</f>
        <v>1</v>
      </c>
      <c r="N19" s="178">
        <f>IF(E19="",0,IF(AND(OR(OR(Dashboard!$E$5="All",Dashboard!$E$5=""),AG19=Dashboard!$E$5),OR(OR(Dashboard!$B$5="All",Dashboard!$B$5=""),C19=Dashboard!$B$5),OR(OR(Dashboard!$K$5="All",Dashboard!$K$5=""),A19=Dashboard!$K$5),OR(OR(Dashboard!$N$5="All",Dashboard!$N$5=""),B19=Dashboard!$N$5),OR(OR(Dashboard!$Q$5="All",Dashboard!$Q$5=""),D19=Dashboard!$Q$5),OR(OR(Dashboard!$U$5="All",Dashboard!$U$5=""),E19=Dashboard!$U$5)),1,0))</f>
        <v>1</v>
      </c>
      <c r="O19" s="165">
        <f t="shared" si="4"/>
        <v>576</v>
      </c>
      <c r="R19" s="167">
        <f>IFERROR(SMALL($Z$2:$Z$26,17),"")</f>
        <v>46288</v>
      </c>
      <c r="T19" s="165" t="str">
        <f>IFERROR(INDEX($AB$2:$AB$28,MATCH(17,$AC$2:$AC$28,0)),"")</f>
        <v/>
      </c>
      <c r="U19" s="165" t="str">
        <f>IFERROR(INDEX('Item Purchases'!$B$4:$B$30,MATCH(17,$AD$2:$AD$28,0)),"")</f>
        <v>COKE ZERO  325ML</v>
      </c>
      <c r="Z19" s="167">
        <f>IF('Pantry Inventory'!$J$98&lt;&gt;"",'Pantry Inventory'!$J$98,IF(COUNT('Pantry Inventory'!J101:J127)+COUNT('Pantry Inventory'!K101:K127)&gt;0,AF19,""))</f>
        <v>46289</v>
      </c>
      <c r="AB19" s="165" t="str">
        <f>IF('Item Purchases'!$U$21="","",'Item Purchases'!$U$21)</f>
        <v>Coca Cola</v>
      </c>
      <c r="AC19" s="165">
        <f>IF(AB19="","",IF(COUNTIF(AB$2:AB19,AB19)=1,COUNT(AC$1:AC18)+1,""))</f>
        <v>9</v>
      </c>
      <c r="AD19" s="165">
        <f>IF('Item Purchases'!$B$21="","",COUNT(AD$1:AD18)+1)</f>
        <v>17</v>
      </c>
      <c r="AF19" s="167">
        <f>IF('Pantry Inventory'!$J$98&lt;&gt;"",'Pantry Inventory'!$J$98,IF(AF18="","",WORKDAY(AF18,1)))</f>
        <v>46289</v>
      </c>
      <c r="AG19" s="178" t="str">
        <f>IF(E19="","",IFERROR(IF(INDEX('Item Purchases'!$AM$4:$AM$30,MATCH(E19,'Item Purchases'!$B$4:$B$30,0))="","Uncategorised",INDEX('Item Purchases'!$AM$4:$AM$30,MATCH(E19,'Item Purchases'!$B$4:$B$30,0))),"Uncategorised"))</f>
        <v>Beverages</v>
      </c>
      <c r="AH19" s="165">
        <f>IF(AND(E19&lt;&gt;"",L19=1),COUNTIFS($E$2:E19,E19,$L$2:L19,1),0)</f>
        <v>1</v>
      </c>
      <c r="AI19" s="165">
        <f t="shared" si="5"/>
        <v>24</v>
      </c>
      <c r="AJ19" s="165">
        <f t="shared" si="6"/>
        <v>1</v>
      </c>
    </row>
    <row r="20" spans="1:36" x14ac:dyDescent="0.25">
      <c r="A20" s="177">
        <f t="shared" si="0"/>
        <v>46266</v>
      </c>
      <c r="B20" s="178" t="str">
        <f t="shared" si="1"/>
        <v>Tue</v>
      </c>
      <c r="C20" s="178" t="str">
        <f>'Pantry Inventory'!$A$2</f>
        <v>Sep Week 1</v>
      </c>
      <c r="D20" s="178" t="str">
        <f>IF('Pantry Inventory'!A23="","",'Pantry Inventory'!A23)</f>
        <v>Coca Cola</v>
      </c>
      <c r="E20" s="178" t="str">
        <f>IF('Pantry Inventory'!B23="","",'Pantry Inventory'!B23)</f>
        <v>Oolong Tea 300ml</v>
      </c>
      <c r="F20" s="178" t="str">
        <f>IF(E20="","",IFERROR(IF(INDEX('Item Purchases'!$S$4:$S$30,MATCH(E20,'Item Purchases'!$B$4:$B$30,0))="","Uncategorised",INDEX('Item Purchases'!$S$4:$S$30,MATCH(E20,'Item Purchases'!$B$4:$B$30,0))),"Uncategorised"))</f>
        <v>Tea</v>
      </c>
      <c r="G20" s="178">
        <f>IF(E20="",0,'Pantry Inventory'!D23)</f>
        <v>36</v>
      </c>
      <c r="H20" s="178">
        <f>IF(E20="","",IF('Pantry Inventory'!E23="","",'Pantry Inventory'!E23))</f>
        <v>36</v>
      </c>
      <c r="I20" s="178">
        <f>IF(H20="","",'Pantry Inventory'!F23)</f>
        <v>24</v>
      </c>
      <c r="J20" s="179">
        <f>IF(E20="",0,IFERROR(INDEX('Item Purchases'!$Q$4:$Q$30,MATCH(E20,'Item Purchases'!$B$4:$B$30,0)),0))</f>
        <v>1.75</v>
      </c>
      <c r="K20" s="180">
        <f t="shared" si="2"/>
        <v>42</v>
      </c>
      <c r="L20" s="178">
        <f t="shared" si="3"/>
        <v>1</v>
      </c>
      <c r="M20" s="178">
        <f>IF(E20="",0,IF(AND(OR(OR(Dashboard!$E$5="All",Dashboard!$E$5=""),AG20=Dashboard!$E$5),OR(OR(Dashboard!$H$5="All",Dashboard!$H$5=""),F20=Dashboard!$H$5),OR(OR(Dashboard!$B$5="All",Dashboard!$B$5=""),C20=Dashboard!$B$5),OR(OR(Dashboard!$K$5="All",Dashboard!$K$5=""),A20=Dashboard!$K$5),OR(OR(Dashboard!$N$5="All",Dashboard!$N$5=""),B20=Dashboard!$N$5),OR(OR(Dashboard!$Q$5="All",Dashboard!$Q$5=""),D20=Dashboard!$Q$5),OR(OR(Dashboard!$U$5="All",Dashboard!$U$5=""),E20=Dashboard!$U$5)),1,0))</f>
        <v>1</v>
      </c>
      <c r="N20" s="178">
        <f>IF(E20="",0,IF(AND(OR(OR(Dashboard!$E$5="All",Dashboard!$E$5=""),AG20=Dashboard!$E$5),OR(OR(Dashboard!$B$5="All",Dashboard!$B$5=""),C20=Dashboard!$B$5),OR(OR(Dashboard!$K$5="All",Dashboard!$K$5=""),A20=Dashboard!$K$5),OR(OR(Dashboard!$N$5="All",Dashboard!$N$5=""),B20=Dashboard!$N$5),OR(OR(Dashboard!$Q$5="All",Dashboard!$Q$5=""),D20=Dashboard!$Q$5),OR(OR(Dashboard!$U$5="All",Dashboard!$U$5=""),E20=Dashboard!$U$5)),1,0))</f>
        <v>1</v>
      </c>
      <c r="O20" s="165">
        <f t="shared" si="4"/>
        <v>576</v>
      </c>
      <c r="R20" s="167">
        <f>IFERROR(SMALL($Z$2:$Z$26,18),"")</f>
        <v>46289</v>
      </c>
      <c r="T20" s="165" t="str">
        <f>IFERROR(INDEX($AB$2:$AB$28,MATCH(18,$AC$2:$AC$28,0)),"")</f>
        <v/>
      </c>
      <c r="U20" s="165" t="str">
        <f>IFERROR(INDEX('Item Purchases'!$B$4:$B$30,MATCH(18,$AD$2:$AD$28,0)),"")</f>
        <v>Ayataka Tea 300ml</v>
      </c>
      <c r="Z20" s="167">
        <f>IF('Pantry Inventory'!$M$98&lt;&gt;"",'Pantry Inventory'!$M$98,IF(COUNT('Pantry Inventory'!M101:M127)+COUNT('Pantry Inventory'!N101:N127)&gt;0,AF20,""))</f>
        <v>46290</v>
      </c>
      <c r="AB20" s="165" t="str">
        <f>IF('Item Purchases'!$U$22="","",'Item Purchases'!$U$22)</f>
        <v>Coca Cola</v>
      </c>
      <c r="AC20" s="165" t="str">
        <f>IF(AB20="","",IF(COUNTIF(AB$2:AB20,AB20)=1,COUNT(AC$1:AC19)+1,""))</f>
        <v/>
      </c>
      <c r="AD20" s="165">
        <f>IF('Item Purchases'!$B$22="","",COUNT(AD$1:AD19)+1)</f>
        <v>18</v>
      </c>
      <c r="AF20" s="167">
        <f>IF('Pantry Inventory'!$M$98&lt;&gt;"",'Pantry Inventory'!$M$98,IF(AF19="","",WORKDAY(AF19,1)))</f>
        <v>46290</v>
      </c>
      <c r="AG20" s="178" t="str">
        <f>IF(E20="","",IFERROR(IF(INDEX('Item Purchases'!$AM$4:$AM$30,MATCH(E20,'Item Purchases'!$B$4:$B$30,0))="","Uncategorised",INDEX('Item Purchases'!$AM$4:$AM$30,MATCH(E20,'Item Purchases'!$B$4:$B$30,0))),"Uncategorised"))</f>
        <v>Beverages</v>
      </c>
      <c r="AH20" s="165">
        <f>IF(AND(E20&lt;&gt;"",L20=1),COUNTIFS($E$2:E20,E20,$L$2:L20,1),0)</f>
        <v>1</v>
      </c>
      <c r="AI20" s="165">
        <f t="shared" si="5"/>
        <v>24</v>
      </c>
      <c r="AJ20" s="165">
        <f t="shared" si="6"/>
        <v>1</v>
      </c>
    </row>
    <row r="21" spans="1:36" x14ac:dyDescent="0.25">
      <c r="A21" s="177">
        <f t="shared" si="0"/>
        <v>46266</v>
      </c>
      <c r="B21" s="178" t="str">
        <f t="shared" si="1"/>
        <v>Tue</v>
      </c>
      <c r="C21" s="178" t="str">
        <f>'Pantry Inventory'!$A$2</f>
        <v>Sep Week 1</v>
      </c>
      <c r="D21" s="178" t="str">
        <f>IF('Pantry Inventory'!A24="","",'Pantry Inventory'!A24)</f>
        <v>Vsoy</v>
      </c>
      <c r="E21" s="178" t="str">
        <f>IF('Pantry Inventory'!B24="","",'Pantry Inventory'!B24)</f>
        <v>Vsoy Soya Bean  250ml</v>
      </c>
      <c r="F21" s="178" t="str">
        <f>IF(E21="","",IFERROR(IF(INDEX('Item Purchases'!$S$4:$S$30,MATCH(E21,'Item Purchases'!$B$4:$B$30,0))="","Uncategorised",INDEX('Item Purchases'!$S$4:$S$30,MATCH(E21,'Item Purchases'!$B$4:$B$30,0))),"Uncategorised"))</f>
        <v>Other</v>
      </c>
      <c r="G21" s="178">
        <f>IF(E21="",0,'Pantry Inventory'!D24)</f>
        <v>0</v>
      </c>
      <c r="H21" s="178">
        <f>IF(E21="","",IF('Pantry Inventory'!E24="","",'Pantry Inventory'!E24))</f>
        <v>43</v>
      </c>
      <c r="I21" s="178">
        <f>IF(H21="","",'Pantry Inventory'!F24)</f>
        <v>15</v>
      </c>
      <c r="J21" s="179">
        <f>IF(E21="",0,IFERROR(INDEX('Item Purchases'!$Q$4:$Q$30,MATCH(E21,'Item Purchases'!$B$4:$B$30,0)),0))</f>
        <v>1.25</v>
      </c>
      <c r="K21" s="180">
        <f t="shared" si="2"/>
        <v>18.75</v>
      </c>
      <c r="L21" s="178">
        <f t="shared" si="3"/>
        <v>1</v>
      </c>
      <c r="M21" s="178">
        <f>IF(E21="",0,IF(AND(OR(OR(Dashboard!$E$5="All",Dashboard!$E$5=""),AG21=Dashboard!$E$5),OR(OR(Dashboard!$H$5="All",Dashboard!$H$5=""),F21=Dashboard!$H$5),OR(OR(Dashboard!$B$5="All",Dashboard!$B$5=""),C21=Dashboard!$B$5),OR(OR(Dashboard!$K$5="All",Dashboard!$K$5=""),A21=Dashboard!$K$5),OR(OR(Dashboard!$N$5="All",Dashboard!$N$5=""),B21=Dashboard!$N$5),OR(OR(Dashboard!$Q$5="All",Dashboard!$Q$5=""),D21=Dashboard!$Q$5),OR(OR(Dashboard!$U$5="All",Dashboard!$U$5=""),E21=Dashboard!$U$5)),1,0))</f>
        <v>1</v>
      </c>
      <c r="N21" s="178">
        <f>IF(E21="",0,IF(AND(OR(OR(Dashboard!$E$5="All",Dashboard!$E$5=""),AG21=Dashboard!$E$5),OR(OR(Dashboard!$B$5="All",Dashboard!$B$5=""),C21=Dashboard!$B$5),OR(OR(Dashboard!$K$5="All",Dashboard!$K$5=""),A21=Dashboard!$K$5),OR(OR(Dashboard!$N$5="All",Dashboard!$N$5=""),B21=Dashboard!$N$5),OR(OR(Dashboard!$Q$5="All",Dashboard!$Q$5=""),D21=Dashboard!$Q$5),OR(OR(Dashboard!$U$5="All",Dashboard!$U$5=""),E21=Dashboard!$U$5)),1,0))</f>
        <v>1</v>
      </c>
      <c r="O21" s="165">
        <f t="shared" si="4"/>
        <v>225</v>
      </c>
      <c r="R21" s="167">
        <f>IFERROR(SMALL($Z$2:$Z$26,19),"")</f>
        <v>46290</v>
      </c>
      <c r="T21" s="165" t="str">
        <f>IFERROR(INDEX($AB$2:$AB$28,MATCH(19,$AC$2:$AC$28,0)),"")</f>
        <v/>
      </c>
      <c r="U21" s="165" t="str">
        <f>IFERROR(INDEX('Item Purchases'!$B$4:$B$30,MATCH(19,$AD$2:$AD$28,0)),"")</f>
        <v>Oolong Tea 300ml</v>
      </c>
      <c r="Z21" s="167">
        <f>IF('Pantry Inventory'!$P$98&lt;&gt;"",'Pantry Inventory'!$P$98,IF(COUNT('Pantry Inventory'!P101:P127)+COUNT('Pantry Inventory'!Q101:Q127)&gt;0,AF21,""))</f>
        <v>46293</v>
      </c>
      <c r="AB21" s="165" t="str">
        <f>IF('Item Purchases'!$U$23="","",'Item Purchases'!$U$23)</f>
        <v>Coca Cola</v>
      </c>
      <c r="AC21" s="165" t="str">
        <f>IF(AB21="","",IF(COUNTIF(AB$2:AB21,AB21)=1,COUNT(AC$1:AC20)+1,""))</f>
        <v/>
      </c>
      <c r="AD21" s="165">
        <f>IF('Item Purchases'!$B$23="","",COUNT(AD$1:AD20)+1)</f>
        <v>19</v>
      </c>
      <c r="AF21" s="167">
        <f>IF('Pantry Inventory'!$P$98&lt;&gt;"",'Pantry Inventory'!$P$98,IF(AF20="","",WORKDAY(AF20,1)))</f>
        <v>46293</v>
      </c>
      <c r="AG21" s="178" t="str">
        <f>IF(E21="","",IFERROR(IF(INDEX('Item Purchases'!$AM$4:$AM$30,MATCH(E21,'Item Purchases'!$B$4:$B$30,0))="","Uncategorised",INDEX('Item Purchases'!$AM$4:$AM$30,MATCH(E21,'Item Purchases'!$B$4:$B$30,0))),"Uncategorised"))</f>
        <v>Beverages</v>
      </c>
      <c r="AH21" s="165">
        <f>IF(AND(E21&lt;&gt;"",L21=1),COUNTIFS($E$2:E21,E21,$L$2:L21,1),0)</f>
        <v>1</v>
      </c>
      <c r="AI21" s="165">
        <f t="shared" si="5"/>
        <v>15</v>
      </c>
      <c r="AJ21" s="165">
        <f t="shared" si="6"/>
        <v>1</v>
      </c>
    </row>
    <row r="22" spans="1:36" x14ac:dyDescent="0.25">
      <c r="A22" s="177">
        <f t="shared" si="0"/>
        <v>46266</v>
      </c>
      <c r="B22" s="178" t="str">
        <f t="shared" si="1"/>
        <v>Tue</v>
      </c>
      <c r="C22" s="178" t="str">
        <f>'Pantry Inventory'!$A$2</f>
        <v>Sep Week 1</v>
      </c>
      <c r="D22" s="178" t="str">
        <f>IF('Pantry Inventory'!A25="","",'Pantry Inventory'!A25)</f>
        <v>BingRae</v>
      </c>
      <c r="E22" s="178" t="str">
        <f>IF('Pantry Inventory'!B25="","",'Pantry Inventory'!B25)</f>
        <v>BingRae Banana Milk 200ml</v>
      </c>
      <c r="F22" s="178" t="str">
        <f>IF(E22="","",IFERROR(IF(INDEX('Item Purchases'!$S$4:$S$30,MATCH(E22,'Item Purchases'!$B$4:$B$30,0))="","Uncategorised",INDEX('Item Purchases'!$S$4:$S$30,MATCH(E22,'Item Purchases'!$B$4:$B$30,0))),"Uncategorised"))</f>
        <v>Other</v>
      </c>
      <c r="G22" s="178">
        <f>IF(E22="",0,'Pantry Inventory'!D25)</f>
        <v>0</v>
      </c>
      <c r="H22" s="178">
        <f>IF(E22="","",IF('Pantry Inventory'!E25="","",'Pantry Inventory'!E25))</f>
        <v>11</v>
      </c>
      <c r="I22" s="178">
        <f>IF(H22="","",'Pantry Inventory'!F25)</f>
        <v>12</v>
      </c>
      <c r="J22" s="179">
        <f>IF(E22="",0,IFERROR(INDEX('Item Purchases'!$Q$4:$Q$30,MATCH(E22,'Item Purchases'!$B$4:$B$30,0)),0))</f>
        <v>3.3159999999999998</v>
      </c>
      <c r="K22" s="180">
        <f t="shared" si="2"/>
        <v>39.792000000000002</v>
      </c>
      <c r="L22" s="178">
        <f t="shared" si="3"/>
        <v>1</v>
      </c>
      <c r="M22" s="178">
        <f>IF(E22="",0,IF(AND(OR(OR(Dashboard!$E$5="All",Dashboard!$E$5=""),AG22=Dashboard!$E$5),OR(OR(Dashboard!$H$5="All",Dashboard!$H$5=""),F22=Dashboard!$H$5),OR(OR(Dashboard!$B$5="All",Dashboard!$B$5=""),C22=Dashboard!$B$5),OR(OR(Dashboard!$K$5="All",Dashboard!$K$5=""),A22=Dashboard!$K$5),OR(OR(Dashboard!$N$5="All",Dashboard!$N$5=""),B22=Dashboard!$N$5),OR(OR(Dashboard!$Q$5="All",Dashboard!$Q$5=""),D22=Dashboard!$Q$5),OR(OR(Dashboard!$U$5="All",Dashboard!$U$5=""),E22=Dashboard!$U$5)),1,0))</f>
        <v>1</v>
      </c>
      <c r="N22" s="178">
        <f>IF(E22="",0,IF(AND(OR(OR(Dashboard!$E$5="All",Dashboard!$E$5=""),AG22=Dashboard!$E$5),OR(OR(Dashboard!$B$5="All",Dashboard!$B$5=""),C22=Dashboard!$B$5),OR(OR(Dashboard!$K$5="All",Dashboard!$K$5=""),A22=Dashboard!$K$5),OR(OR(Dashboard!$N$5="All",Dashboard!$N$5=""),B22=Dashboard!$N$5),OR(OR(Dashboard!$Q$5="All",Dashboard!$Q$5=""),D22=Dashboard!$Q$5),OR(OR(Dashboard!$U$5="All",Dashboard!$U$5=""),E22=Dashboard!$U$5)),1,0))</f>
        <v>1</v>
      </c>
      <c r="O22" s="165">
        <f t="shared" si="4"/>
        <v>144</v>
      </c>
      <c r="R22" s="167">
        <f>IFERROR(SMALL($Z$2:$Z$26,20),"")</f>
        <v>46293</v>
      </c>
      <c r="T22" s="165" t="str">
        <f>IFERROR(INDEX($AB$2:$AB$28,MATCH(20,$AC$2:$AC$28,0)),"")</f>
        <v/>
      </c>
      <c r="U22" s="165" t="str">
        <f>IFERROR(INDEX('Item Purchases'!$B$4:$B$30,MATCH(20,$AD$2:$AD$28,0)),"")</f>
        <v>Vsoy Soya Bean  250ml</v>
      </c>
      <c r="Z22" s="167" t="str">
        <f>IF('Pantry Inventory'!$D$132&lt;&gt;"",'Pantry Inventory'!$D$132,IF(COUNT('Pantry Inventory'!D135:D161)+COUNT('Pantry Inventory'!E135:E161)&gt;0,AF22,""))</f>
        <v/>
      </c>
      <c r="AB22" s="165" t="str">
        <f>IF('Item Purchases'!$U$24="","",'Item Purchases'!$U$24)</f>
        <v>Vsoy</v>
      </c>
      <c r="AC22" s="165">
        <f>IF(AB22="","",IF(COUNTIF(AB$2:AB22,AB22)=1,COUNT(AC$1:AC21)+1,""))</f>
        <v>10</v>
      </c>
      <c r="AD22" s="165">
        <f>IF('Item Purchases'!$B$24="","",COUNT(AD$1:AD21)+1)</f>
        <v>20</v>
      </c>
      <c r="AF22" s="167">
        <f>IF('Pantry Inventory'!$D$132&lt;&gt;"",'Pantry Inventory'!$D$132,IF('Pantry Inventory'!$C$132&lt;&gt;"",WORKDAY('Pantry Inventory'!$C$132,1),IF(AF21="","",WORKDAY(AF21,1))))</f>
        <v>46294</v>
      </c>
      <c r="AG22" s="178" t="str">
        <f>IF(E22="","",IFERROR(IF(INDEX('Item Purchases'!$AM$4:$AM$30,MATCH(E22,'Item Purchases'!$B$4:$B$30,0))="","Uncategorised",INDEX('Item Purchases'!$AM$4:$AM$30,MATCH(E22,'Item Purchases'!$B$4:$B$30,0))),"Uncategorised"))</f>
        <v>Beverages</v>
      </c>
      <c r="AH22" s="165">
        <f>IF(AND(E22&lt;&gt;"",L22=1),COUNTIFS($E$2:E22,E22,$L$2:L22,1),0)</f>
        <v>1</v>
      </c>
      <c r="AI22" s="165">
        <f t="shared" si="5"/>
        <v>12</v>
      </c>
      <c r="AJ22" s="165">
        <f t="shared" si="6"/>
        <v>1</v>
      </c>
    </row>
    <row r="23" spans="1:36" x14ac:dyDescent="0.25">
      <c r="A23" s="177">
        <f t="shared" si="0"/>
        <v>46266</v>
      </c>
      <c r="B23" s="178" t="str">
        <f t="shared" si="1"/>
        <v>Tue</v>
      </c>
      <c r="C23" s="178" t="str">
        <f>'Pantry Inventory'!$A$2</f>
        <v>Sep Week 1</v>
      </c>
      <c r="D23" s="178" t="str">
        <f>IF('Pantry Inventory'!A26="","",'Pantry Inventory'!A26)</f>
        <v>Fuze Tea</v>
      </c>
      <c r="E23" s="178" t="str">
        <f>IF('Pantry Inventory'!B26="","",'Pantry Inventory'!B26)</f>
        <v>Fuze Tea by Heaven and Earth Jasmine Tea</v>
      </c>
      <c r="F23" s="178" t="str">
        <f>IF(E23="","",IFERROR(IF(INDEX('Item Purchases'!$S$4:$S$30,MATCH(E23,'Item Purchases'!$B$4:$B$30,0))="","Uncategorised",INDEX('Item Purchases'!$S$4:$S$30,MATCH(E23,'Item Purchases'!$B$4:$B$30,0))),"Uncategorised"))</f>
        <v>Tea</v>
      </c>
      <c r="G23" s="178">
        <f>IF(E23="",0,'Pantry Inventory'!D26)</f>
        <v>0</v>
      </c>
      <c r="H23" s="178">
        <f>IF(E23="","",IF('Pantry Inventory'!E26="","",'Pantry Inventory'!E26))</f>
        <v>0</v>
      </c>
      <c r="I23" s="178">
        <f>IF(H23="","",'Pantry Inventory'!F26)</f>
        <v>0</v>
      </c>
      <c r="J23" s="179">
        <f>IF(E23="",0,IFERROR(INDEX('Item Purchases'!$Q$4:$Q$30,MATCH(E23,'Item Purchases'!$B$4:$B$30,0)),0))</f>
        <v>1.167</v>
      </c>
      <c r="K23" s="180">
        <f t="shared" si="2"/>
        <v>0</v>
      </c>
      <c r="L23" s="178">
        <f t="shared" si="3"/>
        <v>1</v>
      </c>
      <c r="M23" s="178">
        <f>IF(E23="",0,IF(AND(OR(OR(Dashboard!$E$5="All",Dashboard!$E$5=""),AG23=Dashboard!$E$5),OR(OR(Dashboard!$H$5="All",Dashboard!$H$5=""),F23=Dashboard!$H$5),OR(OR(Dashboard!$B$5="All",Dashboard!$B$5=""),C23=Dashboard!$B$5),OR(OR(Dashboard!$K$5="All",Dashboard!$K$5=""),A23=Dashboard!$K$5),OR(OR(Dashboard!$N$5="All",Dashboard!$N$5=""),B23=Dashboard!$N$5),OR(OR(Dashboard!$Q$5="All",Dashboard!$Q$5=""),D23=Dashboard!$Q$5),OR(OR(Dashboard!$U$5="All",Dashboard!$U$5=""),E23=Dashboard!$U$5)),1,0))</f>
        <v>1</v>
      </c>
      <c r="N23" s="178">
        <f>IF(E23="",0,IF(AND(OR(OR(Dashboard!$E$5="All",Dashboard!$E$5=""),AG23=Dashboard!$E$5),OR(OR(Dashboard!$B$5="All",Dashboard!$B$5=""),C23=Dashboard!$B$5),OR(OR(Dashboard!$K$5="All",Dashboard!$K$5=""),A23=Dashboard!$K$5),OR(OR(Dashboard!$N$5="All",Dashboard!$N$5=""),B23=Dashboard!$N$5),OR(OR(Dashboard!$Q$5="All",Dashboard!$Q$5=""),D23=Dashboard!$Q$5),OR(OR(Dashboard!$U$5="All",Dashboard!$U$5=""),E23=Dashboard!$U$5)),1,0))</f>
        <v>1</v>
      </c>
      <c r="O23" s="165">
        <f t="shared" si="4"/>
        <v>0</v>
      </c>
      <c r="R23" s="167">
        <f>IFERROR(SMALL($Z$2:$Z$26,21),"")</f>
        <v>46294</v>
      </c>
      <c r="T23" s="165" t="str">
        <f>IFERROR(INDEX($AB$2:$AB$28,MATCH(21,$AC$2:$AC$28,0)),"")</f>
        <v/>
      </c>
      <c r="U23" s="165" t="str">
        <f>IFERROR(INDEX('Item Purchases'!$B$4:$B$30,MATCH(21,$AD$2:$AD$28,0)),"")</f>
        <v>BingRae Banana Milk 200ml</v>
      </c>
      <c r="Z23" s="167" t="str">
        <f>IF('Pantry Inventory'!$G$132&lt;&gt;"",'Pantry Inventory'!$G$132,IF(COUNT('Pantry Inventory'!G135:G161)+COUNT('Pantry Inventory'!H135:H161)&gt;0,AF23,""))</f>
        <v/>
      </c>
      <c r="AB23" s="165" t="str">
        <f>IF('Item Purchases'!$U$25="","",'Item Purchases'!$U$25)</f>
        <v>BingRae</v>
      </c>
      <c r="AC23" s="165">
        <f>IF(AB23="","",IF(COUNTIF(AB$2:AB23,AB23)=1,COUNT(AC$1:AC22)+1,""))</f>
        <v>11</v>
      </c>
      <c r="AD23" s="165">
        <f>IF('Item Purchases'!$B$25="","",COUNT(AD$1:AD22)+1)</f>
        <v>21</v>
      </c>
      <c r="AF23" s="167">
        <f>IF('Pantry Inventory'!$G$132&lt;&gt;"",'Pantry Inventory'!$G$132,IF(AF22="","",WORKDAY(AF22,1)))</f>
        <v>46295</v>
      </c>
      <c r="AG23" s="178" t="str">
        <f>IF(E23="","",IFERROR(IF(INDEX('Item Purchases'!$AM$4:$AM$30,MATCH(E23,'Item Purchases'!$B$4:$B$30,0))="","Uncategorised",INDEX('Item Purchases'!$AM$4:$AM$30,MATCH(E23,'Item Purchases'!$B$4:$B$30,0))),"Uncategorised"))</f>
        <v>Beverages</v>
      </c>
      <c r="AH23" s="165">
        <f>IF(AND(E23&lt;&gt;"",L23=1),COUNTIFS($E$2:E23,E23,$L$2:L23,1),0)</f>
        <v>1</v>
      </c>
      <c r="AI23" s="165">
        <f t="shared" si="5"/>
        <v>0</v>
      </c>
      <c r="AJ23" s="165">
        <f t="shared" si="6"/>
        <v>0</v>
      </c>
    </row>
    <row r="24" spans="1:36" x14ac:dyDescent="0.25">
      <c r="A24" s="177">
        <f t="shared" si="0"/>
        <v>46266</v>
      </c>
      <c r="B24" s="178" t="str">
        <f t="shared" si="1"/>
        <v>Tue</v>
      </c>
      <c r="C24" s="178" t="str">
        <f>'Pantry Inventory'!$A$2</f>
        <v>Sep Week 1</v>
      </c>
      <c r="D24" s="178" t="str">
        <f>IF('Pantry Inventory'!A27="","",'Pantry Inventory'!A27)</f>
        <v>F&amp;N</v>
      </c>
      <c r="E24" s="178" t="str">
        <f>IF('Pantry Inventory'!B27="","",'Pantry Inventory'!B27)</f>
        <v>FN 100 plus (original) 325ml</v>
      </c>
      <c r="F24" s="178" t="str">
        <f>IF(E24="","",IFERROR(IF(INDEX('Item Purchases'!$S$4:$S$30,MATCH(E24,'Item Purchases'!$B$4:$B$30,0))="","Uncategorised",INDEX('Item Purchases'!$S$4:$S$30,MATCH(E24,'Item Purchases'!$B$4:$B$30,0))),"Uncategorised"))</f>
        <v>Other</v>
      </c>
      <c r="G24" s="178">
        <f>IF(E24="",0,'Pantry Inventory'!D27)</f>
        <v>0</v>
      </c>
      <c r="H24" s="178">
        <f>IF(E24="","",IF('Pantry Inventory'!E27="","",'Pantry Inventory'!E27))</f>
        <v>40</v>
      </c>
      <c r="I24" s="178">
        <f>IF(H24="","",'Pantry Inventory'!F27)</f>
        <v>5</v>
      </c>
      <c r="J24" s="179">
        <f>IF(E24="",0,IFERROR(INDEX('Item Purchases'!$Q$4:$Q$30,MATCH(E24,'Item Purchases'!$B$4:$B$30,0)),0))</f>
        <v>1.58</v>
      </c>
      <c r="K24" s="180">
        <f t="shared" si="2"/>
        <v>7.9</v>
      </c>
      <c r="L24" s="178">
        <f t="shared" si="3"/>
        <v>1</v>
      </c>
      <c r="M24" s="178">
        <f>IF(E24="",0,IF(AND(OR(OR(Dashboard!$E$5="All",Dashboard!$E$5=""),AG24=Dashboard!$E$5),OR(OR(Dashboard!$H$5="All",Dashboard!$H$5=""),F24=Dashboard!$H$5),OR(OR(Dashboard!$B$5="All",Dashboard!$B$5=""),C24=Dashboard!$B$5),OR(OR(Dashboard!$K$5="All",Dashboard!$K$5=""),A24=Dashboard!$K$5),OR(OR(Dashboard!$N$5="All",Dashboard!$N$5=""),B24=Dashboard!$N$5),OR(OR(Dashboard!$Q$5="All",Dashboard!$Q$5=""),D24=Dashboard!$Q$5),OR(OR(Dashboard!$U$5="All",Dashboard!$U$5=""),E24=Dashboard!$U$5)),1,0))</f>
        <v>1</v>
      </c>
      <c r="N24" s="178">
        <f>IF(E24="",0,IF(AND(OR(OR(Dashboard!$E$5="All",Dashboard!$E$5=""),AG24=Dashboard!$E$5),OR(OR(Dashboard!$B$5="All",Dashboard!$B$5=""),C24=Dashboard!$B$5),OR(OR(Dashboard!$K$5="All",Dashboard!$K$5=""),A24=Dashboard!$K$5),OR(OR(Dashboard!$N$5="All",Dashboard!$N$5=""),B24=Dashboard!$N$5),OR(OR(Dashboard!$Q$5="All",Dashboard!$Q$5=""),D24=Dashboard!$Q$5),OR(OR(Dashboard!$U$5="All",Dashboard!$U$5=""),E24=Dashboard!$U$5)),1,0))</f>
        <v>1</v>
      </c>
      <c r="O24" s="165">
        <f t="shared" si="4"/>
        <v>25</v>
      </c>
      <c r="R24" s="167">
        <f>IFERROR(SMALL($Z$2:$Z$26,22),"")</f>
        <v>46295</v>
      </c>
      <c r="T24" s="165" t="str">
        <f>IFERROR(INDEX($AB$2:$AB$28,MATCH(22,$AC$2:$AC$28,0)),"")</f>
        <v/>
      </c>
      <c r="U24" s="165" t="str">
        <f>IFERROR(INDEX('Item Purchases'!$B$4:$B$30,MATCH(22,$AD$2:$AD$28,0)),"")</f>
        <v>Fuze Tea by Heaven and Earth Jasmine Tea</v>
      </c>
      <c r="Z24" s="167" t="str">
        <f>IF('Pantry Inventory'!$J$132&lt;&gt;"",'Pantry Inventory'!$J$132,IF(COUNT('Pantry Inventory'!J135:J161)+COUNT('Pantry Inventory'!K135:K161)&gt;0,AF24,""))</f>
        <v/>
      </c>
      <c r="AB24" s="165" t="str">
        <f>IF('Item Purchases'!$U$26="","",'Item Purchases'!$U$26)</f>
        <v>Fuze Tea</v>
      </c>
      <c r="AC24" s="165">
        <f>IF(AB24="","",IF(COUNTIF(AB$2:AB24,AB24)=1,COUNT(AC$1:AC23)+1,""))</f>
        <v>12</v>
      </c>
      <c r="AD24" s="165">
        <f>IF('Item Purchases'!$B$26="","",COUNT(AD$1:AD23)+1)</f>
        <v>22</v>
      </c>
      <c r="AF24" s="167">
        <f>IF('Pantry Inventory'!$J$132&lt;&gt;"",'Pantry Inventory'!$J$132,IF(AF23="","",WORKDAY(AF23,1)))</f>
        <v>46296</v>
      </c>
      <c r="AG24" s="178" t="str">
        <f>IF(E24="","",IFERROR(IF(INDEX('Item Purchases'!$AM$4:$AM$30,MATCH(E24,'Item Purchases'!$B$4:$B$30,0))="","Uncategorised",INDEX('Item Purchases'!$AM$4:$AM$30,MATCH(E24,'Item Purchases'!$B$4:$B$30,0))),"Uncategorised"))</f>
        <v>Beverages</v>
      </c>
      <c r="AH24" s="165">
        <f>IF(AND(E24&lt;&gt;"",L24=1),COUNTIFS($E$2:E24,E24,$L$2:L24,1),0)</f>
        <v>1</v>
      </c>
      <c r="AI24" s="165">
        <f t="shared" si="5"/>
        <v>5</v>
      </c>
      <c r="AJ24" s="165">
        <f t="shared" si="6"/>
        <v>1</v>
      </c>
    </row>
    <row r="25" spans="1:36" x14ac:dyDescent="0.25">
      <c r="A25" s="177">
        <f t="shared" si="0"/>
        <v>46266</v>
      </c>
      <c r="B25" s="178" t="str">
        <f t="shared" si="1"/>
        <v>Tue</v>
      </c>
      <c r="C25" s="178" t="str">
        <f>'Pantry Inventory'!$A$2</f>
        <v>Sep Week 1</v>
      </c>
      <c r="D25" s="178" t="str">
        <f>IF('Pantry Inventory'!A28="","",'Pantry Inventory'!A28)</f>
        <v>Spritzer</v>
      </c>
      <c r="E25" s="178" t="str">
        <f>IF('Pantry Inventory'!B28="","",'Pantry Inventory'!B28)</f>
        <v>Spritzer sparkling water (original) 400ml</v>
      </c>
      <c r="F25" s="178" t="str">
        <f>IF(E25="","",IFERROR(IF(INDEX('Item Purchases'!$S$4:$S$30,MATCH(E25,'Item Purchases'!$B$4:$B$30,0))="","Uncategorised",INDEX('Item Purchases'!$S$4:$S$30,MATCH(E25,'Item Purchases'!$B$4:$B$30,0))),"Uncategorised"))</f>
        <v>Other</v>
      </c>
      <c r="G25" s="178">
        <f>IF(E25="",0,'Pantry Inventory'!D28)</f>
        <v>48</v>
      </c>
      <c r="H25" s="178">
        <f>IF(E25="","",IF('Pantry Inventory'!E28="","",'Pantry Inventory'!E28))</f>
        <v>48</v>
      </c>
      <c r="I25" s="178">
        <f>IF(H25="","",'Pantry Inventory'!F28)</f>
        <v>24</v>
      </c>
      <c r="J25" s="179">
        <f>IF(E25="",0,IFERROR(INDEX('Item Purchases'!$Q$4:$Q$30,MATCH(E25,'Item Purchases'!$B$4:$B$30,0)),0))</f>
        <v>1.616666666666666</v>
      </c>
      <c r="K25" s="180">
        <f t="shared" si="2"/>
        <v>38.799999999999983</v>
      </c>
      <c r="L25" s="178">
        <f t="shared" si="3"/>
        <v>1</v>
      </c>
      <c r="M25" s="178">
        <f>IF(E25="",0,IF(AND(OR(OR(Dashboard!$E$5="All",Dashboard!$E$5=""),AG25=Dashboard!$E$5),OR(OR(Dashboard!$H$5="All",Dashboard!$H$5=""),F25=Dashboard!$H$5),OR(OR(Dashboard!$B$5="All",Dashboard!$B$5=""),C25=Dashboard!$B$5),OR(OR(Dashboard!$K$5="All",Dashboard!$K$5=""),A25=Dashboard!$K$5),OR(OR(Dashboard!$N$5="All",Dashboard!$N$5=""),B25=Dashboard!$N$5),OR(OR(Dashboard!$Q$5="All",Dashboard!$Q$5=""),D25=Dashboard!$Q$5),OR(OR(Dashboard!$U$5="All",Dashboard!$U$5=""),E25=Dashboard!$U$5)),1,0))</f>
        <v>1</v>
      </c>
      <c r="N25" s="178">
        <f>IF(E25="",0,IF(AND(OR(OR(Dashboard!$E$5="All",Dashboard!$E$5=""),AG25=Dashboard!$E$5),OR(OR(Dashboard!$B$5="All",Dashboard!$B$5=""),C25=Dashboard!$B$5),OR(OR(Dashboard!$K$5="All",Dashboard!$K$5=""),A25=Dashboard!$K$5),OR(OR(Dashboard!$N$5="All",Dashboard!$N$5=""),B25=Dashboard!$N$5),OR(OR(Dashboard!$Q$5="All",Dashboard!$Q$5=""),D25=Dashboard!$Q$5),OR(OR(Dashboard!$U$5="All",Dashboard!$U$5=""),E25=Dashboard!$U$5)),1,0))</f>
        <v>1</v>
      </c>
      <c r="O25" s="165">
        <f t="shared" si="4"/>
        <v>576</v>
      </c>
      <c r="R25" s="167" t="str">
        <f>IFERROR(SMALL($Z$2:$Z$26,23),"")</f>
        <v/>
      </c>
      <c r="T25" s="165" t="str">
        <f>IFERROR(INDEX($AB$2:$AB$28,MATCH(23,$AC$2:$AC$28,0)),"")</f>
        <v/>
      </c>
      <c r="U25" s="165" t="str">
        <f>IFERROR(INDEX('Item Purchases'!$B$4:$B$30,MATCH(23,$AD$2:$AD$28,0)),"")</f>
        <v>FN 100 plus (original) 325ml</v>
      </c>
      <c r="Z25" s="167">
        <f>IF('Pantry Inventory'!$M$132&lt;&gt;"",'Pantry Inventory'!$M$132,IF(COUNT('Pantry Inventory'!M135:M161)+COUNT('Pantry Inventory'!N135:N161)&gt;0,AF25,""))</f>
        <v>46294</v>
      </c>
      <c r="AB25" s="165" t="str">
        <f>IF('Item Purchases'!$U$27="","",'Item Purchases'!$U$27)</f>
        <v>F&amp;N</v>
      </c>
      <c r="AC25" s="165">
        <f>IF(AB25="","",IF(COUNTIF(AB$2:AB25,AB25)=1,COUNT(AC$1:AC24)+1,""))</f>
        <v>13</v>
      </c>
      <c r="AD25" s="165">
        <f>IF('Item Purchases'!$B$27="","",COUNT(AD$1:AD24)+1)</f>
        <v>23</v>
      </c>
      <c r="AF25" s="167">
        <f>IF('Pantry Inventory'!$M$132&lt;&gt;"",'Pantry Inventory'!$M$132,IF(AF24="","",WORKDAY(AF24,1)))</f>
        <v>46294</v>
      </c>
      <c r="AG25" s="178" t="str">
        <f>IF(E25="","",IFERROR(IF(INDEX('Item Purchases'!$AM$4:$AM$30,MATCH(E25,'Item Purchases'!$B$4:$B$30,0))="","Uncategorised",INDEX('Item Purchases'!$AM$4:$AM$30,MATCH(E25,'Item Purchases'!$B$4:$B$30,0))),"Uncategorised"))</f>
        <v>Beverages</v>
      </c>
      <c r="AH25" s="165">
        <f>IF(AND(E25&lt;&gt;"",L25=1),COUNTIFS($E$2:E25,E25,$L$2:L25,1),0)</f>
        <v>1</v>
      </c>
      <c r="AI25" s="165">
        <f t="shared" si="5"/>
        <v>24</v>
      </c>
      <c r="AJ25" s="165">
        <f t="shared" si="6"/>
        <v>1</v>
      </c>
    </row>
    <row r="26" spans="1:36" x14ac:dyDescent="0.25">
      <c r="A26" s="177">
        <f t="shared" si="0"/>
        <v>46266</v>
      </c>
      <c r="B26" s="178" t="str">
        <f t="shared" si="1"/>
        <v>Tue</v>
      </c>
      <c r="C26" s="178" t="str">
        <f>'Pantry Inventory'!$A$2</f>
        <v>Sep Week 1</v>
      </c>
      <c r="D26" s="178" t="str">
        <f>IF('Pantry Inventory'!A29="","",'Pantry Inventory'!A29)</f>
        <v>Oat Side</v>
      </c>
      <c r="E26" s="178" t="str">
        <f>IF('Pantry Inventory'!B29="","",'Pantry Inventory'!B29)</f>
        <v>Oat Side Original 200ml</v>
      </c>
      <c r="F26" s="178" t="str">
        <f>IF(E26="","",IFERROR(IF(INDEX('Item Purchases'!$S$4:$S$30,MATCH(E26,'Item Purchases'!$B$4:$B$30,0))="","Uncategorised",INDEX('Item Purchases'!$S$4:$S$30,MATCH(E26,'Item Purchases'!$B$4:$B$30,0))),"Uncategorised"))</f>
        <v>Other</v>
      </c>
      <c r="G26" s="178">
        <f>IF(E26="",0,'Pantry Inventory'!D29)</f>
        <v>24</v>
      </c>
      <c r="H26" s="178">
        <f>IF(E26="","",IF('Pantry Inventory'!E29="","",'Pantry Inventory'!E29))</f>
        <v>24</v>
      </c>
      <c r="I26" s="178">
        <f>IF(H26="","",'Pantry Inventory'!F29)</f>
        <v>24</v>
      </c>
      <c r="J26" s="179">
        <f>IF(E26="",0,IFERROR(INDEX('Item Purchases'!$Q$4:$Q$30,MATCH(E26,'Item Purchases'!$B$4:$B$30,0)),0))</f>
        <v>3</v>
      </c>
      <c r="K26" s="180">
        <f t="shared" si="2"/>
        <v>72</v>
      </c>
      <c r="L26" s="178">
        <f t="shared" si="3"/>
        <v>1</v>
      </c>
      <c r="M26" s="178">
        <f>IF(E26="",0,IF(AND(OR(OR(Dashboard!$E$5="All",Dashboard!$E$5=""),AG26=Dashboard!$E$5),OR(OR(Dashboard!$H$5="All",Dashboard!$H$5=""),F26=Dashboard!$H$5),OR(OR(Dashboard!$B$5="All",Dashboard!$B$5=""),C26=Dashboard!$B$5),OR(OR(Dashboard!$K$5="All",Dashboard!$K$5=""),A26=Dashboard!$K$5),OR(OR(Dashboard!$N$5="All",Dashboard!$N$5=""),B26=Dashboard!$N$5),OR(OR(Dashboard!$Q$5="All",Dashboard!$Q$5=""),D26=Dashboard!$Q$5),OR(OR(Dashboard!$U$5="All",Dashboard!$U$5=""),E26=Dashboard!$U$5)),1,0))</f>
        <v>1</v>
      </c>
      <c r="N26" s="178">
        <f>IF(E26="",0,IF(AND(OR(OR(Dashboard!$E$5="All",Dashboard!$E$5=""),AG26=Dashboard!$E$5),OR(OR(Dashboard!$B$5="All",Dashboard!$B$5=""),C26=Dashboard!$B$5),OR(OR(Dashboard!$K$5="All",Dashboard!$K$5=""),A26=Dashboard!$K$5),OR(OR(Dashboard!$N$5="All",Dashboard!$N$5=""),B26=Dashboard!$N$5),OR(OR(Dashboard!$Q$5="All",Dashboard!$Q$5=""),D26=Dashboard!$Q$5),OR(OR(Dashboard!$U$5="All",Dashboard!$U$5=""),E26=Dashboard!$U$5)),1,0))</f>
        <v>1</v>
      </c>
      <c r="O26" s="165">
        <f t="shared" si="4"/>
        <v>576</v>
      </c>
      <c r="R26" s="167" t="str">
        <f>IFERROR(SMALL($Z$2:$Z$26,24),"")</f>
        <v/>
      </c>
      <c r="T26" s="165" t="str">
        <f>IFERROR(INDEX($AB$2:$AB$28,MATCH(24,$AC$2:$AC$28,0)),"")</f>
        <v/>
      </c>
      <c r="U26" s="165" t="str">
        <f>IFERROR(INDEX('Item Purchases'!$B$4:$B$30,MATCH(24,$AD$2:$AD$28,0)),"")</f>
        <v>Spritzer sparkling water (original) 400ml</v>
      </c>
      <c r="Z26" s="167">
        <f>IF('Pantry Inventory'!$P$132&lt;&gt;"",'Pantry Inventory'!$P$132,IF(COUNT('Pantry Inventory'!P135:P161)+COUNT('Pantry Inventory'!Q135:Q161)&gt;0,AF26,""))</f>
        <v>46295</v>
      </c>
      <c r="AB26" s="165" t="str">
        <f>IF('Item Purchases'!$U$28="","",'Item Purchases'!$U$28)</f>
        <v>Spritzer</v>
      </c>
      <c r="AC26" s="165">
        <f>IF(AB26="","",IF(COUNTIF(AB$2:AB26,AB26)=1,COUNT(AC$1:AC25)+1,""))</f>
        <v>14</v>
      </c>
      <c r="AD26" s="165">
        <f>IF('Item Purchases'!$B$28="","",COUNT(AD$1:AD25)+1)</f>
        <v>24</v>
      </c>
      <c r="AF26" s="167">
        <f>IF('Pantry Inventory'!$P$132&lt;&gt;"",'Pantry Inventory'!$P$132,IF(AF25="","",WORKDAY(AF25,1)))</f>
        <v>46295</v>
      </c>
      <c r="AG26" s="178" t="str">
        <f>IF(E26="","",IFERROR(IF(INDEX('Item Purchases'!$AM$4:$AM$30,MATCH(E26,'Item Purchases'!$B$4:$B$30,0))="","Uncategorised",INDEX('Item Purchases'!$AM$4:$AM$30,MATCH(E26,'Item Purchases'!$B$4:$B$30,0))),"Uncategorised"))</f>
        <v>Beverages</v>
      </c>
      <c r="AH26" s="165">
        <f>IF(AND(E26&lt;&gt;"",L26=1),COUNTIFS($E$2:E26,E26,$L$2:L26,1),0)</f>
        <v>1</v>
      </c>
      <c r="AI26" s="165">
        <f t="shared" si="5"/>
        <v>24</v>
      </c>
      <c r="AJ26" s="165">
        <f t="shared" si="6"/>
        <v>1</v>
      </c>
    </row>
    <row r="27" spans="1:36" x14ac:dyDescent="0.25">
      <c r="A27" s="177">
        <f t="shared" si="0"/>
        <v>46266</v>
      </c>
      <c r="B27" s="178" t="str">
        <f t="shared" si="1"/>
        <v>Tue</v>
      </c>
      <c r="C27" s="178" t="str">
        <f>'Pantry Inventory'!$A$2</f>
        <v>Sep Week 1</v>
      </c>
      <c r="D27" s="178" t="str">
        <f>IF('Pantry Inventory'!A30="","",'Pantry Inventory'!A30)</f>
        <v>Oat Side</v>
      </c>
      <c r="E27" s="178" t="str">
        <f>IF('Pantry Inventory'!B30="","",'Pantry Inventory'!B30)</f>
        <v>Oat Side Chocolate 200ml</v>
      </c>
      <c r="F27" s="178" t="str">
        <f>IF(E27="","",IFERROR(IF(INDEX('Item Purchases'!$S$4:$S$30,MATCH(E27,'Item Purchases'!$B$4:$B$30,0))="","Uncategorised",INDEX('Item Purchases'!$S$4:$S$30,MATCH(E27,'Item Purchases'!$B$4:$B$30,0))),"Uncategorised"))</f>
        <v>Other</v>
      </c>
      <c r="G27" s="178">
        <f>IF(E27="",0,'Pantry Inventory'!D30)</f>
        <v>24</v>
      </c>
      <c r="H27" s="178">
        <f>IF(E27="","",IF('Pantry Inventory'!E30="","",'Pantry Inventory'!E30))</f>
        <v>24</v>
      </c>
      <c r="I27" s="178">
        <f>IF(H27="","",'Pantry Inventory'!F30)</f>
        <v>24</v>
      </c>
      <c r="J27" s="179">
        <f>IF(E27="",0,IFERROR(INDEX('Item Purchases'!$Q$4:$Q$30,MATCH(E27,'Item Purchases'!$B$4:$B$30,0)),0))</f>
        <v>3</v>
      </c>
      <c r="K27" s="180">
        <f t="shared" si="2"/>
        <v>72</v>
      </c>
      <c r="L27" s="178">
        <f t="shared" si="3"/>
        <v>1</v>
      </c>
      <c r="M27" s="178">
        <f>IF(E27="",0,IF(AND(OR(OR(Dashboard!$E$5="All",Dashboard!$E$5=""),AG27=Dashboard!$E$5),OR(OR(Dashboard!$H$5="All",Dashboard!$H$5=""),F27=Dashboard!$H$5),OR(OR(Dashboard!$B$5="All",Dashboard!$B$5=""),C27=Dashboard!$B$5),OR(OR(Dashboard!$K$5="All",Dashboard!$K$5=""),A27=Dashboard!$K$5),OR(OR(Dashboard!$N$5="All",Dashboard!$N$5=""),B27=Dashboard!$N$5),OR(OR(Dashboard!$Q$5="All",Dashboard!$Q$5=""),D27=Dashboard!$Q$5),OR(OR(Dashboard!$U$5="All",Dashboard!$U$5=""),E27=Dashboard!$U$5)),1,0))</f>
        <v>1</v>
      </c>
      <c r="N27" s="178">
        <f>IF(E27="",0,IF(AND(OR(OR(Dashboard!$E$5="All",Dashboard!$E$5=""),AG27=Dashboard!$E$5),OR(OR(Dashboard!$B$5="All",Dashboard!$B$5=""),C27=Dashboard!$B$5),OR(OR(Dashboard!$K$5="All",Dashboard!$K$5=""),A27=Dashboard!$K$5),OR(OR(Dashboard!$N$5="All",Dashboard!$N$5=""),B27=Dashboard!$N$5),OR(OR(Dashboard!$Q$5="All",Dashboard!$Q$5=""),D27=Dashboard!$Q$5),OR(OR(Dashboard!$U$5="All",Dashboard!$U$5=""),E27=Dashboard!$U$5)),1,0))</f>
        <v>1</v>
      </c>
      <c r="O27" s="165">
        <f t="shared" si="4"/>
        <v>576</v>
      </c>
      <c r="R27" s="167" t="str">
        <f>IFERROR(SMALL($Z$2:$Z$26,25),"")</f>
        <v/>
      </c>
      <c r="T27" s="165" t="str">
        <f>IFERROR(INDEX($AB$2:$AB$28,MATCH(25,$AC$2:$AC$28,0)),"")</f>
        <v/>
      </c>
      <c r="U27" s="165" t="str">
        <f>IFERROR(INDEX('Item Purchases'!$B$4:$B$30,MATCH(25,$AD$2:$AD$28,0)),"")</f>
        <v>Oat Side Original 200ml</v>
      </c>
      <c r="AB27" s="165" t="str">
        <f>IF('Item Purchases'!$U$29="","",'Item Purchases'!$U$29)</f>
        <v>Oat Side</v>
      </c>
      <c r="AC27" s="165">
        <f>IF(AB27="","",IF(COUNTIF(AB$2:AB27,AB27)=1,COUNT(AC$1:AC26)+1,""))</f>
        <v>15</v>
      </c>
      <c r="AD27" s="165">
        <f>IF('Item Purchases'!$B$29="","",COUNT(AD$1:AD26)+1)</f>
        <v>25</v>
      </c>
      <c r="AG27" s="178" t="str">
        <f>IF(E27="","",IFERROR(IF(INDEX('Item Purchases'!$AM$4:$AM$30,MATCH(E27,'Item Purchases'!$B$4:$B$30,0))="","Uncategorised",INDEX('Item Purchases'!$AM$4:$AM$30,MATCH(E27,'Item Purchases'!$B$4:$B$30,0))),"Uncategorised"))</f>
        <v>Beverages</v>
      </c>
      <c r="AH27" s="165">
        <f>IF(AND(E27&lt;&gt;"",L27=1),COUNTIFS($E$2:E27,E27,$L$2:L27,1),0)</f>
        <v>1</v>
      </c>
      <c r="AI27" s="165">
        <f t="shared" si="5"/>
        <v>24</v>
      </c>
      <c r="AJ27" s="165">
        <f t="shared" si="6"/>
        <v>1</v>
      </c>
    </row>
    <row r="28" spans="1:36" x14ac:dyDescent="0.25">
      <c r="A28" s="177">
        <f t="shared" si="0"/>
        <v>46266</v>
      </c>
      <c r="B28" s="178" t="str">
        <f t="shared" si="1"/>
        <v>Tue</v>
      </c>
      <c r="C28" s="178" t="str">
        <f>'Pantry Inventory'!$A$2</f>
        <v>Sep Week 1</v>
      </c>
      <c r="D28" s="178" t="str">
        <f>IF('Pantry Inventory'!A31="","",'Pantry Inventory'!A31)</f>
        <v/>
      </c>
      <c r="E28" s="178" t="str">
        <f>IF('Pantry Inventory'!B31="","",'Pantry Inventory'!B31)</f>
        <v/>
      </c>
      <c r="F28" s="178" t="str">
        <f>IF(E28="","",IFERROR(IF(INDEX('Item Purchases'!$S$4:$S$30,MATCH(E28,'Item Purchases'!$B$4:$B$30,0))="","Uncategorised",INDEX('Item Purchases'!$S$4:$S$30,MATCH(E28,'Item Purchases'!$B$4:$B$30,0))),"Uncategorised"))</f>
        <v/>
      </c>
      <c r="G28" s="178">
        <f>IF(E28="",0,'Pantry Inventory'!D31)</f>
        <v>0</v>
      </c>
      <c r="H28" s="178" t="str">
        <f>IF(E28="","",IF('Pantry Inventory'!E31="","",'Pantry Inventory'!E31))</f>
        <v/>
      </c>
      <c r="I28" s="178" t="str">
        <f>IF(H28="","",'Pantry Inventory'!F31)</f>
        <v/>
      </c>
      <c r="J28" s="179">
        <f>IF(E28="",0,IFERROR(INDEX('Item Purchases'!$Q$4:$Q$30,MATCH(E28,'Item Purchases'!$B$4:$B$30,0)),0))</f>
        <v>0</v>
      </c>
      <c r="K28" s="180" t="str">
        <f t="shared" si="2"/>
        <v/>
      </c>
      <c r="L28" s="178">
        <f t="shared" si="3"/>
        <v>0</v>
      </c>
      <c r="M28" s="178">
        <f>IF(E28="",0,IF(AND(OR(OR(Dashboard!$E$5="All",Dashboard!$E$5=""),AG28=Dashboard!$E$5),OR(OR(Dashboard!$H$5="All",Dashboard!$H$5=""),F28=Dashboard!$H$5),OR(OR(Dashboard!$B$5="All",Dashboard!$B$5=""),C28=Dashboard!$B$5),OR(OR(Dashboard!$K$5="All",Dashboard!$K$5=""),A28=Dashboard!$K$5),OR(OR(Dashboard!$N$5="All",Dashboard!$N$5=""),B28=Dashboard!$N$5),OR(OR(Dashboard!$Q$5="All",Dashboard!$Q$5=""),D28=Dashboard!$Q$5),OR(OR(Dashboard!$U$5="All",Dashboard!$U$5=""),E28=Dashboard!$U$5)),1,0))</f>
        <v>0</v>
      </c>
      <c r="N28" s="178">
        <f>IF(E28="",0,IF(AND(OR(OR(Dashboard!$E$5="All",Dashboard!$E$5=""),AG28=Dashboard!$E$5),OR(OR(Dashboard!$B$5="All",Dashboard!$B$5=""),C28=Dashboard!$B$5),OR(OR(Dashboard!$K$5="All",Dashboard!$K$5=""),A28=Dashboard!$K$5),OR(OR(Dashboard!$N$5="All",Dashboard!$N$5=""),B28=Dashboard!$N$5),OR(OR(Dashboard!$Q$5="All",Dashboard!$Q$5=""),D28=Dashboard!$Q$5),OR(OR(Dashboard!$U$5="All",Dashboard!$U$5=""),E28=Dashboard!$U$5)),1,0))</f>
        <v>0</v>
      </c>
      <c r="O28" s="165">
        <f t="shared" si="4"/>
        <v>0</v>
      </c>
      <c r="T28" s="165" t="str">
        <f>IFERROR(INDEX($AB$2:$AB$28,MATCH(26,$AC$2:$AC$28,0)),"")</f>
        <v/>
      </c>
      <c r="U28" s="165" t="str">
        <f>IFERROR(INDEX('Item Purchases'!$B$4:$B$30,MATCH(26,$AD$2:$AD$28,0)),"")</f>
        <v>Oat Side Chocolate 200ml</v>
      </c>
      <c r="AB28" s="165" t="str">
        <f>IF('Item Purchases'!$U$30="","",'Item Purchases'!$U$30)</f>
        <v>Oat Side</v>
      </c>
      <c r="AC28" s="165" t="str">
        <f>IF(AB28="","",IF(COUNTIF(AB$2:AB28,AB28)=1,COUNT(AC$1:AC27)+1,""))</f>
        <v/>
      </c>
      <c r="AD28" s="165">
        <f>IF('Item Purchases'!$B$30="","",COUNT(AD$1:AD27)+1)</f>
        <v>26</v>
      </c>
      <c r="AG28" s="178" t="str">
        <f>IF(E28="","",IFERROR(IF(INDEX('Item Purchases'!$AM$4:$AM$30,MATCH(E28,'Item Purchases'!$B$4:$B$30,0))="","Uncategorised",INDEX('Item Purchases'!$AM$4:$AM$30,MATCH(E28,'Item Purchases'!$B$4:$B$30,0))),"Uncategorised"))</f>
        <v/>
      </c>
      <c r="AH28" s="165">
        <f>IF(AND(E28&lt;&gt;"",L28=1),COUNTIFS($E$2:E28,E28,$L$2:L28,1),0)</f>
        <v>0</v>
      </c>
      <c r="AI28" s="165">
        <f t="shared" si="5"/>
        <v>0</v>
      </c>
      <c r="AJ28" s="165">
        <f t="shared" si="6"/>
        <v>0</v>
      </c>
    </row>
    <row r="29" spans="1:36" x14ac:dyDescent="0.25">
      <c r="A29" s="177">
        <f t="shared" ref="A29:A55" si="7">IF($Z$3="",0,$Z$3)</f>
        <v>46267</v>
      </c>
      <c r="B29" s="178" t="str">
        <f t="shared" si="1"/>
        <v>Wed</v>
      </c>
      <c r="C29" s="178" t="str">
        <f>'Pantry Inventory'!$A$2</f>
        <v>Sep Week 1</v>
      </c>
      <c r="D29" s="178" t="str">
        <f>IF('Pantry Inventory'!A5="","",'Pantry Inventory'!A5)</f>
        <v>Julie's</v>
      </c>
      <c r="E29" s="178" t="str">
        <f>IF('Pantry Inventory'!B5="","",'Pantry Inventory'!B5)</f>
        <v>Julie's Peanut Butter Sandwich 360g (12pkts x 30g)</v>
      </c>
      <c r="F29" s="178" t="str">
        <f>IF(E29="","",IFERROR(IF(INDEX('Item Purchases'!$S$4:$S$30,MATCH(E29,'Item Purchases'!$B$4:$B$30,0))="","Uncategorised",INDEX('Item Purchases'!$S$4:$S$30,MATCH(E29,'Item Purchases'!$B$4:$B$30,0))),"Uncategorised"))</f>
        <v>Sweet</v>
      </c>
      <c r="G29" s="178">
        <f>IF(E29="",0,'Pantry Inventory'!G5)</f>
        <v>0</v>
      </c>
      <c r="H29" s="178">
        <f>IF(E29="","",IF('Pantry Inventory'!H5="","",'Pantry Inventory'!H5))</f>
        <v>24</v>
      </c>
      <c r="I29" s="178">
        <f>IF(H29="","",'Pantry Inventory'!I5)</f>
        <v>6</v>
      </c>
      <c r="J29" s="179">
        <f>IF(E29="",0,IFERROR(INDEX('Item Purchases'!$Q$4:$Q$30,MATCH(E29,'Item Purchases'!$B$4:$B$30,0)),0))</f>
        <v>1.083</v>
      </c>
      <c r="K29" s="180">
        <f t="shared" si="2"/>
        <v>6.4979999999999993</v>
      </c>
      <c r="L29" s="178">
        <f t="shared" si="3"/>
        <v>1</v>
      </c>
      <c r="M29" s="178">
        <f>IF(E29="",0,IF(AND(OR(OR(Dashboard!$E$5="All",Dashboard!$E$5=""),AG29=Dashboard!$E$5),OR(OR(Dashboard!$H$5="All",Dashboard!$H$5=""),F29=Dashboard!$H$5),OR(OR(Dashboard!$B$5="All",Dashboard!$B$5=""),C29=Dashboard!$B$5),OR(OR(Dashboard!$K$5="All",Dashboard!$K$5=""),A29=Dashboard!$K$5),OR(OR(Dashboard!$N$5="All",Dashboard!$N$5=""),B29=Dashboard!$N$5),OR(OR(Dashboard!$Q$5="All",Dashboard!$Q$5=""),D29=Dashboard!$Q$5),OR(OR(Dashboard!$U$5="All",Dashboard!$U$5=""),E29=Dashboard!$U$5)),1,0))</f>
        <v>1</v>
      </c>
      <c r="N29" s="178">
        <f>IF(E29="",0,IF(AND(OR(OR(Dashboard!$E$5="All",Dashboard!$E$5=""),AG29=Dashboard!$E$5),OR(OR(Dashboard!$B$5="All",Dashboard!$B$5=""),C29=Dashboard!$B$5),OR(OR(Dashboard!$K$5="All",Dashboard!$K$5=""),A29=Dashboard!$K$5),OR(OR(Dashboard!$N$5="All",Dashboard!$N$5=""),B29=Dashboard!$N$5),OR(OR(Dashboard!$Q$5="All",Dashboard!$Q$5=""),D29=Dashboard!$Q$5),OR(OR(Dashboard!$U$5="All",Dashboard!$U$5=""),E29=Dashboard!$U$5)),1,0))</f>
        <v>1</v>
      </c>
      <c r="O29" s="165">
        <f t="shared" si="4"/>
        <v>36</v>
      </c>
      <c r="T29" s="165" t="str">
        <f>IFERROR(INDEX($AB$2:$AB$28,MATCH(27,$AC$2:$AC$28,0)),"")</f>
        <v/>
      </c>
      <c r="U29" s="165" t="str">
        <f>IFERROR(INDEX('Item Purchases'!$B$4:$B$30,MATCH(27,$AD$2:$AD$28,0)),"")</f>
        <v/>
      </c>
      <c r="AG29" s="178" t="str">
        <f>IF(E29="","",IFERROR(IF(INDEX('Item Purchases'!$AM$4:$AM$30,MATCH(E29,'Item Purchases'!$B$4:$B$30,0))="","Uncategorised",INDEX('Item Purchases'!$AM$4:$AM$30,MATCH(E29,'Item Purchases'!$B$4:$B$30,0))),"Uncategorised"))</f>
        <v>Snacks</v>
      </c>
      <c r="AH29" s="165">
        <f>IF(AND(E29&lt;&gt;"",L29=1),COUNTIFS($E$2:E29,E29,$L$2:L29,1),0)</f>
        <v>2</v>
      </c>
      <c r="AI29" s="165">
        <f t="shared" si="5"/>
        <v>6</v>
      </c>
      <c r="AJ29" s="165">
        <f t="shared" si="6"/>
        <v>1</v>
      </c>
    </row>
    <row r="30" spans="1:36" x14ac:dyDescent="0.25">
      <c r="A30" s="177">
        <f t="shared" si="7"/>
        <v>46267</v>
      </c>
      <c r="B30" s="178" t="str">
        <f t="shared" si="1"/>
        <v>Wed</v>
      </c>
      <c r="C30" s="178" t="str">
        <f>'Pantry Inventory'!$A$2</f>
        <v>Sep Week 1</v>
      </c>
      <c r="D30" s="178" t="str">
        <f>IF('Pantry Inventory'!A6="","",'Pantry Inventory'!A6)</f>
        <v>Julie's</v>
      </c>
      <c r="E30" s="178" t="str">
        <f>IF('Pantry Inventory'!B6="","",'Pantry Inventory'!B6)</f>
        <v>Julies Butter Waffles</v>
      </c>
      <c r="F30" s="178" t="str">
        <f>IF(E30="","",IFERROR(IF(INDEX('Item Purchases'!$S$4:$S$30,MATCH(E30,'Item Purchases'!$B$4:$B$30,0))="","Uncategorised",INDEX('Item Purchases'!$S$4:$S$30,MATCH(E30,'Item Purchases'!$B$4:$B$30,0))),"Uncategorised"))</f>
        <v>Sweet</v>
      </c>
      <c r="G30" s="178">
        <f>IF(E30="",0,'Pantry Inventory'!G6)</f>
        <v>0</v>
      </c>
      <c r="H30" s="178">
        <f>IF(E30="","",IF('Pantry Inventory'!H6="","",'Pantry Inventory'!H6))</f>
        <v>12</v>
      </c>
      <c r="I30" s="178">
        <f>IF(H30="","",'Pantry Inventory'!I6)</f>
        <v>0</v>
      </c>
      <c r="J30" s="179">
        <f>IF(E30="",0,IFERROR(INDEX('Item Purchases'!$Q$4:$Q$30,MATCH(E30,'Item Purchases'!$B$4:$B$30,0)),0))</f>
        <v>5.15</v>
      </c>
      <c r="K30" s="180">
        <f t="shared" si="2"/>
        <v>0</v>
      </c>
      <c r="L30" s="178">
        <f t="shared" si="3"/>
        <v>1</v>
      </c>
      <c r="M30" s="178">
        <f>IF(E30="",0,IF(AND(OR(OR(Dashboard!$E$5="All",Dashboard!$E$5=""),AG30=Dashboard!$E$5),OR(OR(Dashboard!$H$5="All",Dashboard!$H$5=""),F30=Dashboard!$H$5),OR(OR(Dashboard!$B$5="All",Dashboard!$B$5=""),C30=Dashboard!$B$5),OR(OR(Dashboard!$K$5="All",Dashboard!$K$5=""),A30=Dashboard!$K$5),OR(OR(Dashboard!$N$5="All",Dashboard!$N$5=""),B30=Dashboard!$N$5),OR(OR(Dashboard!$Q$5="All",Dashboard!$Q$5=""),D30=Dashboard!$Q$5),OR(OR(Dashboard!$U$5="All",Dashboard!$U$5=""),E30=Dashboard!$U$5)),1,0))</f>
        <v>1</v>
      </c>
      <c r="N30" s="178">
        <f>IF(E30="",0,IF(AND(OR(OR(Dashboard!$E$5="All",Dashboard!$E$5=""),AG30=Dashboard!$E$5),OR(OR(Dashboard!$B$5="All",Dashboard!$B$5=""),C30=Dashboard!$B$5),OR(OR(Dashboard!$K$5="All",Dashboard!$K$5=""),A30=Dashboard!$K$5),OR(OR(Dashboard!$N$5="All",Dashboard!$N$5=""),B30=Dashboard!$N$5),OR(OR(Dashboard!$Q$5="All",Dashboard!$Q$5=""),D30=Dashboard!$Q$5),OR(OR(Dashboard!$U$5="All",Dashboard!$U$5=""),E30=Dashboard!$U$5)),1,0))</f>
        <v>1</v>
      </c>
      <c r="O30" s="165">
        <f t="shared" si="4"/>
        <v>0</v>
      </c>
      <c r="AG30" s="178" t="str">
        <f>IF(E30="","",IFERROR(IF(INDEX('Item Purchases'!$AM$4:$AM$30,MATCH(E30,'Item Purchases'!$B$4:$B$30,0))="","Uncategorised",INDEX('Item Purchases'!$AM$4:$AM$30,MATCH(E30,'Item Purchases'!$B$4:$B$30,0))),"Uncategorised"))</f>
        <v>Snacks</v>
      </c>
      <c r="AH30" s="165">
        <f>IF(AND(E30&lt;&gt;"",L30=1),COUNTIFS($E$2:E30,E30,$L$2:L30,1),0)</f>
        <v>2</v>
      </c>
      <c r="AI30" s="165">
        <f t="shared" si="5"/>
        <v>0</v>
      </c>
      <c r="AJ30" s="165">
        <f t="shared" si="6"/>
        <v>1</v>
      </c>
    </row>
    <row r="31" spans="1:36" x14ac:dyDescent="0.25">
      <c r="A31" s="177">
        <f t="shared" si="7"/>
        <v>46267</v>
      </c>
      <c r="B31" s="178" t="str">
        <f t="shared" si="1"/>
        <v>Wed</v>
      </c>
      <c r="C31" s="178" t="str">
        <f>'Pantry Inventory'!$A$2</f>
        <v>Sep Week 1</v>
      </c>
      <c r="D31" s="178" t="str">
        <f>IF('Pantry Inventory'!A7="","",'Pantry Inventory'!A7)</f>
        <v>Julie's</v>
      </c>
      <c r="E31" s="178" t="str">
        <f>IF('Pantry Inventory'!B7="","",'Pantry Inventory'!B7)</f>
        <v>Julies Choco More Sandwich (44G)</v>
      </c>
      <c r="F31" s="178" t="str">
        <f>IF(E31="","",IFERROR(IF(INDEX('Item Purchases'!$S$4:$S$30,MATCH(E31,'Item Purchases'!$B$4:$B$30,0))="","Uncategorised",INDEX('Item Purchases'!$S$4:$S$30,MATCH(E31,'Item Purchases'!$B$4:$B$30,0))),"Uncategorised"))</f>
        <v>Sweet</v>
      </c>
      <c r="G31" s="178">
        <f>IF(E31="",0,'Pantry Inventory'!G7)</f>
        <v>0</v>
      </c>
      <c r="H31" s="178">
        <f>IF(E31="","",IF('Pantry Inventory'!H7="","",'Pantry Inventory'!H7))</f>
        <v>0</v>
      </c>
      <c r="I31" s="178">
        <f>IF(H31="","",'Pantry Inventory'!I7)</f>
        <v>0</v>
      </c>
      <c r="J31" s="179">
        <f>IF(E31="",0,IFERROR(INDEX('Item Purchases'!$Q$4:$Q$30,MATCH(E31,'Item Purchases'!$B$4:$B$30,0)),0))</f>
        <v>1.2</v>
      </c>
      <c r="K31" s="180">
        <f t="shared" si="2"/>
        <v>0</v>
      </c>
      <c r="L31" s="178">
        <f t="shared" si="3"/>
        <v>1</v>
      </c>
      <c r="M31" s="178">
        <f>IF(E31="",0,IF(AND(OR(OR(Dashboard!$E$5="All",Dashboard!$E$5=""),AG31=Dashboard!$E$5),OR(OR(Dashboard!$H$5="All",Dashboard!$H$5=""),F31=Dashboard!$H$5),OR(OR(Dashboard!$B$5="All",Dashboard!$B$5=""),C31=Dashboard!$B$5),OR(OR(Dashboard!$K$5="All",Dashboard!$K$5=""),A31=Dashboard!$K$5),OR(OR(Dashboard!$N$5="All",Dashboard!$N$5=""),B31=Dashboard!$N$5),OR(OR(Dashboard!$Q$5="All",Dashboard!$Q$5=""),D31=Dashboard!$Q$5),OR(OR(Dashboard!$U$5="All",Dashboard!$U$5=""),E31=Dashboard!$U$5)),1,0))</f>
        <v>1</v>
      </c>
      <c r="N31" s="178">
        <f>IF(E31="",0,IF(AND(OR(OR(Dashboard!$E$5="All",Dashboard!$E$5=""),AG31=Dashboard!$E$5),OR(OR(Dashboard!$B$5="All",Dashboard!$B$5=""),C31=Dashboard!$B$5),OR(OR(Dashboard!$K$5="All",Dashboard!$K$5=""),A31=Dashboard!$K$5),OR(OR(Dashboard!$N$5="All",Dashboard!$N$5=""),B31=Dashboard!$N$5),OR(OR(Dashboard!$Q$5="All",Dashboard!$Q$5=""),D31=Dashboard!$Q$5),OR(OR(Dashboard!$U$5="All",Dashboard!$U$5=""),E31=Dashboard!$U$5)),1,0))</f>
        <v>1</v>
      </c>
      <c r="O31" s="165">
        <f t="shared" si="4"/>
        <v>0</v>
      </c>
      <c r="AG31" s="178" t="str">
        <f>IF(E31="","",IFERROR(IF(INDEX('Item Purchases'!$AM$4:$AM$30,MATCH(E31,'Item Purchases'!$B$4:$B$30,0))="","Uncategorised",INDEX('Item Purchases'!$AM$4:$AM$30,MATCH(E31,'Item Purchases'!$B$4:$B$30,0))),"Uncategorised"))</f>
        <v>Snacks</v>
      </c>
      <c r="AH31" s="165">
        <f>IF(AND(E31&lt;&gt;"",L31=1),COUNTIFS($E$2:E31,E31,$L$2:L31,1),0)</f>
        <v>2</v>
      </c>
      <c r="AI31" s="165">
        <f t="shared" si="5"/>
        <v>0</v>
      </c>
      <c r="AJ31" s="165">
        <f t="shared" si="6"/>
        <v>0</v>
      </c>
    </row>
    <row r="32" spans="1:36" x14ac:dyDescent="0.25">
      <c r="A32" s="177">
        <f t="shared" si="7"/>
        <v>46267</v>
      </c>
      <c r="B32" s="178" t="str">
        <f t="shared" si="1"/>
        <v>Wed</v>
      </c>
      <c r="C32" s="178" t="str">
        <f>'Pantry Inventory'!$A$2</f>
        <v>Sep Week 1</v>
      </c>
      <c r="D32" s="178" t="str">
        <f>IF('Pantry Inventory'!A8="","",'Pantry Inventory'!A8)</f>
        <v>Julie's</v>
      </c>
      <c r="E32" s="178" t="str">
        <f>IF('Pantry Inventory'!B8="","",'Pantry Inventory'!B8)</f>
        <v>Julies Cheese Sandwich (28G)</v>
      </c>
      <c r="F32" s="178" t="str">
        <f>IF(E32="","",IFERROR(IF(INDEX('Item Purchases'!$S$4:$S$30,MATCH(E32,'Item Purchases'!$B$4:$B$30,0))="","Uncategorised",INDEX('Item Purchases'!$S$4:$S$30,MATCH(E32,'Item Purchases'!$B$4:$B$30,0))),"Uncategorised"))</f>
        <v>Savoury</v>
      </c>
      <c r="G32" s="178">
        <f>IF(E32="",0,'Pantry Inventory'!G8)</f>
        <v>0</v>
      </c>
      <c r="H32" s="178">
        <f>IF(E32="","",IF('Pantry Inventory'!H8="","",'Pantry Inventory'!H8))</f>
        <v>36</v>
      </c>
      <c r="I32" s="178">
        <f>IF(H32="","",'Pantry Inventory'!I8)</f>
        <v>6</v>
      </c>
      <c r="J32" s="179">
        <f>IF(E32="",0,IFERROR(INDEX('Item Purchases'!$Q$4:$Q$30,MATCH(E32,'Item Purchases'!$B$4:$B$30,0)),0))</f>
        <v>1.1000000000000001</v>
      </c>
      <c r="K32" s="180">
        <f t="shared" si="2"/>
        <v>6.6000000000000005</v>
      </c>
      <c r="L32" s="178">
        <f t="shared" si="3"/>
        <v>1</v>
      </c>
      <c r="M32" s="178">
        <f>IF(E32="",0,IF(AND(OR(OR(Dashboard!$E$5="All",Dashboard!$E$5=""),AG32=Dashboard!$E$5),OR(OR(Dashboard!$H$5="All",Dashboard!$H$5=""),F32=Dashboard!$H$5),OR(OR(Dashboard!$B$5="All",Dashboard!$B$5=""),C32=Dashboard!$B$5),OR(OR(Dashboard!$K$5="All",Dashboard!$K$5=""),A32=Dashboard!$K$5),OR(OR(Dashboard!$N$5="All",Dashboard!$N$5=""),B32=Dashboard!$N$5),OR(OR(Dashboard!$Q$5="All",Dashboard!$Q$5=""),D32=Dashboard!$Q$5),OR(OR(Dashboard!$U$5="All",Dashboard!$U$5=""),E32=Dashboard!$U$5)),1,0))</f>
        <v>1</v>
      </c>
      <c r="N32" s="178">
        <f>IF(E32="",0,IF(AND(OR(OR(Dashboard!$E$5="All",Dashboard!$E$5=""),AG32=Dashboard!$E$5),OR(OR(Dashboard!$B$5="All",Dashboard!$B$5=""),C32=Dashboard!$B$5),OR(OR(Dashboard!$K$5="All",Dashboard!$K$5=""),A32=Dashboard!$K$5),OR(OR(Dashboard!$N$5="All",Dashboard!$N$5=""),B32=Dashboard!$N$5),OR(OR(Dashboard!$Q$5="All",Dashboard!$Q$5=""),D32=Dashboard!$Q$5),OR(OR(Dashboard!$U$5="All",Dashboard!$U$5=""),E32=Dashboard!$U$5)),1,0))</f>
        <v>1</v>
      </c>
      <c r="O32" s="165">
        <f t="shared" si="4"/>
        <v>36</v>
      </c>
      <c r="AG32" s="178" t="str">
        <f>IF(E32="","",IFERROR(IF(INDEX('Item Purchases'!$AM$4:$AM$30,MATCH(E32,'Item Purchases'!$B$4:$B$30,0))="","Uncategorised",INDEX('Item Purchases'!$AM$4:$AM$30,MATCH(E32,'Item Purchases'!$B$4:$B$30,0))),"Uncategorised"))</f>
        <v>Snacks</v>
      </c>
      <c r="AH32" s="165">
        <f>IF(AND(E32&lt;&gt;"",L32=1),COUNTIFS($E$2:E32,E32,$L$2:L32,1),0)</f>
        <v>2</v>
      </c>
      <c r="AI32" s="165">
        <f t="shared" si="5"/>
        <v>6</v>
      </c>
      <c r="AJ32" s="165">
        <f t="shared" si="6"/>
        <v>1</v>
      </c>
    </row>
    <row r="33" spans="1:36" x14ac:dyDescent="0.25">
      <c r="A33" s="177">
        <f t="shared" si="7"/>
        <v>46267</v>
      </c>
      <c r="B33" s="178" t="str">
        <f t="shared" si="1"/>
        <v>Wed</v>
      </c>
      <c r="C33" s="178" t="str">
        <f>'Pantry Inventory'!$A$2</f>
        <v>Sep Week 1</v>
      </c>
      <c r="D33" s="178" t="str">
        <f>IF('Pantry Inventory'!A9="","",'Pantry Inventory'!A9)</f>
        <v>Nature Valley</v>
      </c>
      <c r="E33" s="178" t="str">
        <f>IF('Pantry Inventory'!B9="","",'Pantry Inventory'!B9)</f>
        <v>NV OATS &amp; DARK CHOC 42GX5</v>
      </c>
      <c r="F33" s="178" t="str">
        <f>IF(E33="","",IFERROR(IF(INDEX('Item Purchases'!$S$4:$S$30,MATCH(E33,'Item Purchases'!$B$4:$B$30,0))="","Uncategorised",INDEX('Item Purchases'!$S$4:$S$30,MATCH(E33,'Item Purchases'!$B$4:$B$30,0))),"Uncategorised"))</f>
        <v>Sweet</v>
      </c>
      <c r="G33" s="178">
        <f>IF(E33="",0,'Pantry Inventory'!G9)</f>
        <v>0</v>
      </c>
      <c r="H33" s="178">
        <f>IF(E33="","",IF('Pantry Inventory'!H9="","",'Pantry Inventory'!H9))</f>
        <v>4</v>
      </c>
      <c r="I33" s="178">
        <f>IF(H33="","",'Pantry Inventory'!I9)</f>
        <v>2</v>
      </c>
      <c r="J33" s="179">
        <f>IF(E33="",0,IFERROR(INDEX('Item Purchases'!$Q$4:$Q$30,MATCH(E33,'Item Purchases'!$B$4:$B$30,0)),0))</f>
        <v>2.78</v>
      </c>
      <c r="K33" s="180">
        <f t="shared" si="2"/>
        <v>5.56</v>
      </c>
      <c r="L33" s="178">
        <f t="shared" si="3"/>
        <v>1</v>
      </c>
      <c r="M33" s="178">
        <f>IF(E33="",0,IF(AND(OR(OR(Dashboard!$E$5="All",Dashboard!$E$5=""),AG33=Dashboard!$E$5),OR(OR(Dashboard!$H$5="All",Dashboard!$H$5=""),F33=Dashboard!$H$5),OR(OR(Dashboard!$B$5="All",Dashboard!$B$5=""),C33=Dashboard!$B$5),OR(OR(Dashboard!$K$5="All",Dashboard!$K$5=""),A33=Dashboard!$K$5),OR(OR(Dashboard!$N$5="All",Dashboard!$N$5=""),B33=Dashboard!$N$5),OR(OR(Dashboard!$Q$5="All",Dashboard!$Q$5=""),D33=Dashboard!$Q$5),OR(OR(Dashboard!$U$5="All",Dashboard!$U$5=""),E33=Dashboard!$U$5)),1,0))</f>
        <v>1</v>
      </c>
      <c r="N33" s="178">
        <f>IF(E33="",0,IF(AND(OR(OR(Dashboard!$E$5="All",Dashboard!$E$5=""),AG33=Dashboard!$E$5),OR(OR(Dashboard!$B$5="All",Dashboard!$B$5=""),C33=Dashboard!$B$5),OR(OR(Dashboard!$K$5="All",Dashboard!$K$5=""),A33=Dashboard!$K$5),OR(OR(Dashboard!$N$5="All",Dashboard!$N$5=""),B33=Dashboard!$N$5),OR(OR(Dashboard!$Q$5="All",Dashboard!$Q$5=""),D33=Dashboard!$Q$5),OR(OR(Dashboard!$U$5="All",Dashboard!$U$5=""),E33=Dashboard!$U$5)),1,0))</f>
        <v>1</v>
      </c>
      <c r="O33" s="165">
        <f t="shared" si="4"/>
        <v>4</v>
      </c>
      <c r="AG33" s="178" t="str">
        <f>IF(E33="","",IFERROR(IF(INDEX('Item Purchases'!$AM$4:$AM$30,MATCH(E33,'Item Purchases'!$B$4:$B$30,0))="","Uncategorised",INDEX('Item Purchases'!$AM$4:$AM$30,MATCH(E33,'Item Purchases'!$B$4:$B$30,0))),"Uncategorised"))</f>
        <v>Snacks</v>
      </c>
      <c r="AH33" s="165">
        <f>IF(AND(E33&lt;&gt;"",L33=1),COUNTIFS($E$2:E33,E33,$L$2:L33,1),0)</f>
        <v>2</v>
      </c>
      <c r="AI33" s="165">
        <f t="shared" si="5"/>
        <v>2</v>
      </c>
      <c r="AJ33" s="165">
        <f t="shared" si="6"/>
        <v>1</v>
      </c>
    </row>
    <row r="34" spans="1:36" x14ac:dyDescent="0.25">
      <c r="A34" s="177">
        <f t="shared" si="7"/>
        <v>46267</v>
      </c>
      <c r="B34" s="178" t="str">
        <f t="shared" si="1"/>
        <v>Wed</v>
      </c>
      <c r="C34" s="178" t="str">
        <f>'Pantry Inventory'!$A$2</f>
        <v>Sep Week 1</v>
      </c>
      <c r="D34" s="178" t="str">
        <f>IF('Pantry Inventory'!A10="","",'Pantry Inventory'!A10)</f>
        <v>Nature Valley</v>
      </c>
      <c r="E34" s="178" t="str">
        <f>IF('Pantry Inventory'!B10="","",'Pantry Inventory'!B10)</f>
        <v xml:space="preserve">NV PROTEIN - SALTED CARAMEL 40G </v>
      </c>
      <c r="F34" s="178" t="str">
        <f>IF(E34="","",IFERROR(IF(INDEX('Item Purchases'!$S$4:$S$30,MATCH(E34,'Item Purchases'!$B$4:$B$30,0))="","Uncategorised",INDEX('Item Purchases'!$S$4:$S$30,MATCH(E34,'Item Purchases'!$B$4:$B$30,0))),"Uncategorised"))</f>
        <v>Sweet</v>
      </c>
      <c r="G34" s="178">
        <f>IF(E34="",0,'Pantry Inventory'!G10)</f>
        <v>0</v>
      </c>
      <c r="H34" s="178">
        <f>IF(E34="","",IF('Pantry Inventory'!H10="","",'Pantry Inventory'!H10))</f>
        <v>0</v>
      </c>
      <c r="I34" s="178">
        <f>IF(H34="","",'Pantry Inventory'!I10)</f>
        <v>0</v>
      </c>
      <c r="J34" s="179">
        <f>IF(E34="",0,IFERROR(INDEX('Item Purchases'!$Q$4:$Q$30,MATCH(E34,'Item Purchases'!$B$4:$B$30,0)),0))</f>
        <v>4.9000000000000004</v>
      </c>
      <c r="K34" s="180">
        <f t="shared" si="2"/>
        <v>0</v>
      </c>
      <c r="L34" s="178">
        <f t="shared" si="3"/>
        <v>1</v>
      </c>
      <c r="M34" s="178">
        <f>IF(E34="",0,IF(AND(OR(OR(Dashboard!$E$5="All",Dashboard!$E$5=""),AG34=Dashboard!$E$5),OR(OR(Dashboard!$H$5="All",Dashboard!$H$5=""),F34=Dashboard!$H$5),OR(OR(Dashboard!$B$5="All",Dashboard!$B$5=""),C34=Dashboard!$B$5),OR(OR(Dashboard!$K$5="All",Dashboard!$K$5=""),A34=Dashboard!$K$5),OR(OR(Dashboard!$N$5="All",Dashboard!$N$5=""),B34=Dashboard!$N$5),OR(OR(Dashboard!$Q$5="All",Dashboard!$Q$5=""),D34=Dashboard!$Q$5),OR(OR(Dashboard!$U$5="All",Dashboard!$U$5=""),E34=Dashboard!$U$5)),1,0))</f>
        <v>1</v>
      </c>
      <c r="N34" s="178">
        <f>IF(E34="",0,IF(AND(OR(OR(Dashboard!$E$5="All",Dashboard!$E$5=""),AG34=Dashboard!$E$5),OR(OR(Dashboard!$B$5="All",Dashboard!$B$5=""),C34=Dashboard!$B$5),OR(OR(Dashboard!$K$5="All",Dashboard!$K$5=""),A34=Dashboard!$K$5),OR(OR(Dashboard!$N$5="All",Dashboard!$N$5=""),B34=Dashboard!$N$5),OR(OR(Dashboard!$Q$5="All",Dashboard!$Q$5=""),D34=Dashboard!$Q$5),OR(OR(Dashboard!$U$5="All",Dashboard!$U$5=""),E34=Dashboard!$U$5)),1,0))</f>
        <v>1</v>
      </c>
      <c r="O34" s="165">
        <f t="shared" si="4"/>
        <v>0</v>
      </c>
      <c r="AG34" s="178" t="str">
        <f>IF(E34="","",IFERROR(IF(INDEX('Item Purchases'!$AM$4:$AM$30,MATCH(E34,'Item Purchases'!$B$4:$B$30,0))="","Uncategorised",INDEX('Item Purchases'!$AM$4:$AM$30,MATCH(E34,'Item Purchases'!$B$4:$B$30,0))),"Uncategorised"))</f>
        <v>Snacks</v>
      </c>
      <c r="AH34" s="165">
        <f>IF(AND(E34&lt;&gt;"",L34=1),COUNTIFS($E$2:E34,E34,$L$2:L34,1),0)</f>
        <v>2</v>
      </c>
      <c r="AI34" s="165">
        <f t="shared" si="5"/>
        <v>0</v>
      </c>
      <c r="AJ34" s="165">
        <f t="shared" si="6"/>
        <v>0</v>
      </c>
    </row>
    <row r="35" spans="1:36" x14ac:dyDescent="0.25">
      <c r="A35" s="177">
        <f t="shared" si="7"/>
        <v>46267</v>
      </c>
      <c r="B35" s="178" t="str">
        <f t="shared" si="1"/>
        <v>Wed</v>
      </c>
      <c r="C35" s="178" t="str">
        <f>'Pantry Inventory'!$A$2</f>
        <v>Sep Week 1</v>
      </c>
      <c r="D35" s="178" t="str">
        <f>IF('Pantry Inventory'!A11="","",'Pantry Inventory'!A11)</f>
        <v>BBMG</v>
      </c>
      <c r="E35" s="178" t="str">
        <f>IF('Pantry Inventory'!B11="","",'Pantry Inventory'!B11)</f>
        <v>BBMG 90G</v>
      </c>
      <c r="F35" s="178" t="str">
        <f>IF(E35="","",IFERROR(IF(INDEX('Item Purchases'!$S$4:$S$30,MATCH(E35,'Item Purchases'!$B$4:$B$30,0))="","Uncategorised",INDEX('Item Purchases'!$S$4:$S$30,MATCH(E35,'Item Purchases'!$B$4:$B$30,0))),"Uncategorised"))</f>
        <v>Savoury</v>
      </c>
      <c r="G35" s="178">
        <f>IF(E35="",0,'Pantry Inventory'!G11)</f>
        <v>0</v>
      </c>
      <c r="H35" s="178">
        <f>IF(E35="","",IF('Pantry Inventory'!H11="","",'Pantry Inventory'!H11))</f>
        <v>0</v>
      </c>
      <c r="I35" s="178">
        <f>IF(H35="","",'Pantry Inventory'!I11)</f>
        <v>0</v>
      </c>
      <c r="J35" s="179">
        <f>IF(E35="",0,IFERROR(INDEX('Item Purchases'!$Q$4:$Q$30,MATCH(E35,'Item Purchases'!$B$4:$B$30,0)),0))</f>
        <v>0.34300000000000003</v>
      </c>
      <c r="K35" s="180">
        <f t="shared" si="2"/>
        <v>0</v>
      </c>
      <c r="L35" s="178">
        <f t="shared" si="3"/>
        <v>1</v>
      </c>
      <c r="M35" s="178">
        <f>IF(E35="",0,IF(AND(OR(OR(Dashboard!$E$5="All",Dashboard!$E$5=""),AG35=Dashboard!$E$5),OR(OR(Dashboard!$H$5="All",Dashboard!$H$5=""),F35=Dashboard!$H$5),OR(OR(Dashboard!$B$5="All",Dashboard!$B$5=""),C35=Dashboard!$B$5),OR(OR(Dashboard!$K$5="All",Dashboard!$K$5=""),A35=Dashboard!$K$5),OR(OR(Dashboard!$N$5="All",Dashboard!$N$5=""),B35=Dashboard!$N$5),OR(OR(Dashboard!$Q$5="All",Dashboard!$Q$5=""),D35=Dashboard!$Q$5),OR(OR(Dashboard!$U$5="All",Dashboard!$U$5=""),E35=Dashboard!$U$5)),1,0))</f>
        <v>1</v>
      </c>
      <c r="N35" s="178">
        <f>IF(E35="",0,IF(AND(OR(OR(Dashboard!$E$5="All",Dashboard!$E$5=""),AG35=Dashboard!$E$5),OR(OR(Dashboard!$B$5="All",Dashboard!$B$5=""),C35=Dashboard!$B$5),OR(OR(Dashboard!$K$5="All",Dashboard!$K$5=""),A35=Dashboard!$K$5),OR(OR(Dashboard!$N$5="All",Dashboard!$N$5=""),B35=Dashboard!$N$5),OR(OR(Dashboard!$Q$5="All",Dashboard!$Q$5=""),D35=Dashboard!$Q$5),OR(OR(Dashboard!$U$5="All",Dashboard!$U$5=""),E35=Dashboard!$U$5)),1,0))</f>
        <v>1</v>
      </c>
      <c r="O35" s="165">
        <f t="shared" si="4"/>
        <v>0</v>
      </c>
      <c r="AG35" s="178" t="str">
        <f>IF(E35="","",IFERROR(IF(INDEX('Item Purchases'!$AM$4:$AM$30,MATCH(E35,'Item Purchases'!$B$4:$B$30,0))="","Uncategorised",INDEX('Item Purchases'!$AM$4:$AM$30,MATCH(E35,'Item Purchases'!$B$4:$B$30,0))),"Uncategorised"))</f>
        <v>Snacks</v>
      </c>
      <c r="AH35" s="165">
        <f>IF(AND(E35&lt;&gt;"",L35=1),COUNTIFS($E$2:E35,E35,$L$2:L35,1),0)</f>
        <v>2</v>
      </c>
      <c r="AI35" s="165">
        <f t="shared" si="5"/>
        <v>0</v>
      </c>
      <c r="AJ35" s="165">
        <f t="shared" si="6"/>
        <v>0</v>
      </c>
    </row>
    <row r="36" spans="1:36" x14ac:dyDescent="0.25">
      <c r="A36" s="177">
        <f t="shared" si="7"/>
        <v>46267</v>
      </c>
      <c r="B36" s="178" t="str">
        <f t="shared" si="1"/>
        <v>Wed</v>
      </c>
      <c r="C36" s="178" t="str">
        <f>'Pantry Inventory'!$A$2</f>
        <v>Sep Week 1</v>
      </c>
      <c r="D36" s="178" t="str">
        <f>IF('Pantry Inventory'!A12="","",'Pantry Inventory'!A12)</f>
        <v>Lays</v>
      </c>
      <c r="E36" s="178" t="str">
        <f>IF('Pantry Inventory'!B12="","",'Pantry Inventory'!B12)</f>
        <v>Lays Potato Chips (Original) 50g</v>
      </c>
      <c r="F36" s="178" t="str">
        <f>IF(E36="","",IFERROR(IF(INDEX('Item Purchases'!$S$4:$S$30,MATCH(E36,'Item Purchases'!$B$4:$B$30,0))="","Uncategorised",INDEX('Item Purchases'!$S$4:$S$30,MATCH(E36,'Item Purchases'!$B$4:$B$30,0))),"Uncategorised"))</f>
        <v>Savoury</v>
      </c>
      <c r="G36" s="178">
        <f>IF(E36="",0,'Pantry Inventory'!G12)</f>
        <v>0</v>
      </c>
      <c r="H36" s="178">
        <f>IF(E36="","",IF('Pantry Inventory'!H12="","",'Pantry Inventory'!H12))</f>
        <v>20</v>
      </c>
      <c r="I36" s="178">
        <f>IF(H36="","",'Pantry Inventory'!I12)</f>
        <v>8</v>
      </c>
      <c r="J36" s="179">
        <f>IF(E36="",0,IFERROR(INDEX('Item Purchases'!$Q$4:$Q$30,MATCH(E36,'Item Purchases'!$B$4:$B$30,0)),0))</f>
        <v>3.4580000000000002</v>
      </c>
      <c r="K36" s="180">
        <f t="shared" si="2"/>
        <v>27.664000000000001</v>
      </c>
      <c r="L36" s="178">
        <f t="shared" si="3"/>
        <v>1</v>
      </c>
      <c r="M36" s="178">
        <f>IF(E36="",0,IF(AND(OR(OR(Dashboard!$E$5="All",Dashboard!$E$5=""),AG36=Dashboard!$E$5),OR(OR(Dashboard!$H$5="All",Dashboard!$H$5=""),F36=Dashboard!$H$5),OR(OR(Dashboard!$B$5="All",Dashboard!$B$5=""),C36=Dashboard!$B$5),OR(OR(Dashboard!$K$5="All",Dashboard!$K$5=""),A36=Dashboard!$K$5),OR(OR(Dashboard!$N$5="All",Dashboard!$N$5=""),B36=Dashboard!$N$5),OR(OR(Dashboard!$Q$5="All",Dashboard!$Q$5=""),D36=Dashboard!$Q$5),OR(OR(Dashboard!$U$5="All",Dashboard!$U$5=""),E36=Dashboard!$U$5)),1,0))</f>
        <v>1</v>
      </c>
      <c r="N36" s="178">
        <f>IF(E36="",0,IF(AND(OR(OR(Dashboard!$E$5="All",Dashboard!$E$5=""),AG36=Dashboard!$E$5),OR(OR(Dashboard!$B$5="All",Dashboard!$B$5=""),C36=Dashboard!$B$5),OR(OR(Dashboard!$K$5="All",Dashboard!$K$5=""),A36=Dashboard!$K$5),OR(OR(Dashboard!$N$5="All",Dashboard!$N$5=""),B36=Dashboard!$N$5),OR(OR(Dashboard!$Q$5="All",Dashboard!$Q$5=""),D36=Dashboard!$Q$5),OR(OR(Dashboard!$U$5="All",Dashboard!$U$5=""),E36=Dashboard!$U$5)),1,0))</f>
        <v>1</v>
      </c>
      <c r="O36" s="165">
        <f t="shared" si="4"/>
        <v>64</v>
      </c>
      <c r="AG36" s="178" t="str">
        <f>IF(E36="","",IFERROR(IF(INDEX('Item Purchases'!$AM$4:$AM$30,MATCH(E36,'Item Purchases'!$B$4:$B$30,0))="","Uncategorised",INDEX('Item Purchases'!$AM$4:$AM$30,MATCH(E36,'Item Purchases'!$B$4:$B$30,0))),"Uncategorised"))</f>
        <v>Snacks</v>
      </c>
      <c r="AH36" s="165">
        <f>IF(AND(E36&lt;&gt;"",L36=1),COUNTIFS($E$2:E36,E36,$L$2:L36,1),0)</f>
        <v>2</v>
      </c>
      <c r="AI36" s="165">
        <f t="shared" si="5"/>
        <v>8</v>
      </c>
      <c r="AJ36" s="165">
        <f t="shared" si="6"/>
        <v>1</v>
      </c>
    </row>
    <row r="37" spans="1:36" x14ac:dyDescent="0.25">
      <c r="A37" s="177">
        <f t="shared" si="7"/>
        <v>46267</v>
      </c>
      <c r="B37" s="178" t="str">
        <f t="shared" si="1"/>
        <v>Wed</v>
      </c>
      <c r="C37" s="178" t="str">
        <f>'Pantry Inventory'!$A$2</f>
        <v>Sep Week 1</v>
      </c>
      <c r="D37" s="178" t="str">
        <f>IF('Pantry Inventory'!A13="","",'Pantry Inventory'!A13)</f>
        <v>Lays</v>
      </c>
      <c r="E37" s="178" t="str">
        <f>IF('Pantry Inventory'!B13="","",'Pantry Inventory'!B13)</f>
        <v xml:space="preserve">Lays Double Crunch - Seaweed Flav (50g) </v>
      </c>
      <c r="F37" s="178" t="str">
        <f>IF(E37="","",IFERROR(IF(INDEX('Item Purchases'!$S$4:$S$30,MATCH(E37,'Item Purchases'!$B$4:$B$30,0))="","Uncategorised",INDEX('Item Purchases'!$S$4:$S$30,MATCH(E37,'Item Purchases'!$B$4:$B$30,0))),"Uncategorised"))</f>
        <v>Savoury</v>
      </c>
      <c r="G37" s="178">
        <f>IF(E37="",0,'Pantry Inventory'!G13)</f>
        <v>24</v>
      </c>
      <c r="H37" s="178">
        <f>IF(E37="","",IF('Pantry Inventory'!H13="","",'Pantry Inventory'!H13))</f>
        <v>24</v>
      </c>
      <c r="I37" s="178">
        <f>IF(H37="","",'Pantry Inventory'!I13)</f>
        <v>24</v>
      </c>
      <c r="J37" s="179">
        <f>IF(E37="",0,IFERROR(INDEX('Item Purchases'!$Q$4:$Q$30,MATCH(E37,'Item Purchases'!$B$4:$B$30,0)),0))</f>
        <v>4</v>
      </c>
      <c r="K37" s="180">
        <f t="shared" si="2"/>
        <v>96</v>
      </c>
      <c r="L37" s="178">
        <f t="shared" si="3"/>
        <v>1</v>
      </c>
      <c r="M37" s="178">
        <f>IF(E37="",0,IF(AND(OR(OR(Dashboard!$E$5="All",Dashboard!$E$5=""),AG37=Dashboard!$E$5),OR(OR(Dashboard!$H$5="All",Dashboard!$H$5=""),F37=Dashboard!$H$5),OR(OR(Dashboard!$B$5="All",Dashboard!$B$5=""),C37=Dashboard!$B$5),OR(OR(Dashboard!$K$5="All",Dashboard!$K$5=""),A37=Dashboard!$K$5),OR(OR(Dashboard!$N$5="All",Dashboard!$N$5=""),B37=Dashboard!$N$5),OR(OR(Dashboard!$Q$5="All",Dashboard!$Q$5=""),D37=Dashboard!$Q$5),OR(OR(Dashboard!$U$5="All",Dashboard!$U$5=""),E37=Dashboard!$U$5)),1,0))</f>
        <v>1</v>
      </c>
      <c r="N37" s="178">
        <f>IF(E37="",0,IF(AND(OR(OR(Dashboard!$E$5="All",Dashboard!$E$5=""),AG37=Dashboard!$E$5),OR(OR(Dashboard!$B$5="All",Dashboard!$B$5=""),C37=Dashboard!$B$5),OR(OR(Dashboard!$K$5="All",Dashboard!$K$5=""),A37=Dashboard!$K$5),OR(OR(Dashboard!$N$5="All",Dashboard!$N$5=""),B37=Dashboard!$N$5),OR(OR(Dashboard!$Q$5="All",Dashboard!$Q$5=""),D37=Dashboard!$Q$5),OR(OR(Dashboard!$U$5="All",Dashboard!$U$5=""),E37=Dashboard!$U$5)),1,0))</f>
        <v>1</v>
      </c>
      <c r="O37" s="165">
        <f t="shared" si="4"/>
        <v>576</v>
      </c>
      <c r="AG37" s="178" t="str">
        <f>IF(E37="","",IFERROR(IF(INDEX('Item Purchases'!$AM$4:$AM$30,MATCH(E37,'Item Purchases'!$B$4:$B$30,0))="","Uncategorised",INDEX('Item Purchases'!$AM$4:$AM$30,MATCH(E37,'Item Purchases'!$B$4:$B$30,0))),"Uncategorised"))</f>
        <v>Snacks</v>
      </c>
      <c r="AH37" s="165">
        <f>IF(AND(E37&lt;&gt;"",L37=1),COUNTIFS($E$2:E37,E37,$L$2:L37,1),0)</f>
        <v>2</v>
      </c>
      <c r="AI37" s="165">
        <f t="shared" si="5"/>
        <v>24</v>
      </c>
      <c r="AJ37" s="165">
        <f t="shared" si="6"/>
        <v>1</v>
      </c>
    </row>
    <row r="38" spans="1:36" x14ac:dyDescent="0.25">
      <c r="A38" s="177">
        <f t="shared" si="7"/>
        <v>46267</v>
      </c>
      <c r="B38" s="178" t="str">
        <f t="shared" si="1"/>
        <v>Wed</v>
      </c>
      <c r="C38" s="178" t="str">
        <f>'Pantry Inventory'!$A$2</f>
        <v>Sep Week 1</v>
      </c>
      <c r="D38" s="178" t="str">
        <f>IF('Pantry Inventory'!A14="","",'Pantry Inventory'!A14)</f>
        <v>Munchy</v>
      </c>
      <c r="E38" s="178" t="str">
        <f>IF('Pantry Inventory'!B14="","",'Pantry Inventory'!B14)</f>
        <v>Munchy Oat Krunch - Dark Choco</v>
      </c>
      <c r="F38" s="178" t="str">
        <f>IF(E38="","",IFERROR(IF(INDEX('Item Purchases'!$S$4:$S$30,MATCH(E38,'Item Purchases'!$B$4:$B$30,0))="","Uncategorised",INDEX('Item Purchases'!$S$4:$S$30,MATCH(E38,'Item Purchases'!$B$4:$B$30,0))),"Uncategorised"))</f>
        <v>Sweet</v>
      </c>
      <c r="G38" s="178">
        <f>IF(E38="",0,'Pantry Inventory'!G14)</f>
        <v>0</v>
      </c>
      <c r="H38" s="178">
        <f>IF(E38="","",IF('Pantry Inventory'!H14="","",'Pantry Inventory'!H14))</f>
        <v>4</v>
      </c>
      <c r="I38" s="178">
        <f>IF(H38="","",'Pantry Inventory'!I14)</f>
        <v>33</v>
      </c>
      <c r="J38" s="179">
        <f>IF(E38="",0,IFERROR(INDEX('Item Purchases'!$Q$4:$Q$30,MATCH(E38,'Item Purchases'!$B$4:$B$30,0)),0))</f>
        <v>0.73</v>
      </c>
      <c r="K38" s="180">
        <f t="shared" si="2"/>
        <v>24.09</v>
      </c>
      <c r="L38" s="178">
        <f t="shared" si="3"/>
        <v>1</v>
      </c>
      <c r="M38" s="178">
        <f>IF(E38="",0,IF(AND(OR(OR(Dashboard!$E$5="All",Dashboard!$E$5=""),AG38=Dashboard!$E$5),OR(OR(Dashboard!$H$5="All",Dashboard!$H$5=""),F38=Dashboard!$H$5),OR(OR(Dashboard!$B$5="All",Dashboard!$B$5=""),C38=Dashboard!$B$5),OR(OR(Dashboard!$K$5="All",Dashboard!$K$5=""),A38=Dashboard!$K$5),OR(OR(Dashboard!$N$5="All",Dashboard!$N$5=""),B38=Dashboard!$N$5),OR(OR(Dashboard!$Q$5="All",Dashboard!$Q$5=""),D38=Dashboard!$Q$5),OR(OR(Dashboard!$U$5="All",Dashboard!$U$5=""),E38=Dashboard!$U$5)),1,0))</f>
        <v>1</v>
      </c>
      <c r="N38" s="178">
        <f>IF(E38="",0,IF(AND(OR(OR(Dashboard!$E$5="All",Dashboard!$E$5=""),AG38=Dashboard!$E$5),OR(OR(Dashboard!$B$5="All",Dashboard!$B$5=""),C38=Dashboard!$B$5),OR(OR(Dashboard!$K$5="All",Dashboard!$K$5=""),A38=Dashboard!$K$5),OR(OR(Dashboard!$N$5="All",Dashboard!$N$5=""),B38=Dashboard!$N$5),OR(OR(Dashboard!$Q$5="All",Dashboard!$Q$5=""),D38=Dashboard!$Q$5),OR(OR(Dashboard!$U$5="All",Dashboard!$U$5=""),E38=Dashboard!$U$5)),1,0))</f>
        <v>1</v>
      </c>
      <c r="O38" s="165">
        <f t="shared" si="4"/>
        <v>1089</v>
      </c>
      <c r="AG38" s="178" t="str">
        <f>IF(E38="","",IFERROR(IF(INDEX('Item Purchases'!$AM$4:$AM$30,MATCH(E38,'Item Purchases'!$B$4:$B$30,0))="","Uncategorised",INDEX('Item Purchases'!$AM$4:$AM$30,MATCH(E38,'Item Purchases'!$B$4:$B$30,0))),"Uncategorised"))</f>
        <v>Snacks</v>
      </c>
      <c r="AH38" s="165">
        <f>IF(AND(E38&lt;&gt;"",L38=1),COUNTIFS($E$2:E38,E38,$L$2:L38,1),0)</f>
        <v>2</v>
      </c>
      <c r="AI38" s="165">
        <f t="shared" si="5"/>
        <v>33</v>
      </c>
      <c r="AJ38" s="165">
        <f t="shared" si="6"/>
        <v>1</v>
      </c>
    </row>
    <row r="39" spans="1:36" x14ac:dyDescent="0.25">
      <c r="A39" s="177">
        <f t="shared" si="7"/>
        <v>46267</v>
      </c>
      <c r="B39" s="178" t="str">
        <f t="shared" si="1"/>
        <v>Wed</v>
      </c>
      <c r="C39" s="178" t="str">
        <f>'Pantry Inventory'!$A$2</f>
        <v>Sep Week 1</v>
      </c>
      <c r="D39" s="178" t="str">
        <f>IF('Pantry Inventory'!A15="","",'Pantry Inventory'!A15)</f>
        <v>Munchy</v>
      </c>
      <c r="E39" s="178" t="str">
        <f>IF('Pantry Inventory'!B15="","",'Pantry Inventory'!B15)</f>
        <v>Munchy Oat Krunch - Strawberry &amp; Blackcurrant</v>
      </c>
      <c r="F39" s="178" t="str">
        <f>IF(E39="","",IFERROR(IF(INDEX('Item Purchases'!$S$4:$S$30,MATCH(E39,'Item Purchases'!$B$4:$B$30,0))="","Uncategorised",INDEX('Item Purchases'!$S$4:$S$30,MATCH(E39,'Item Purchases'!$B$4:$B$30,0))),"Uncategorised"))</f>
        <v>Sweet</v>
      </c>
      <c r="G39" s="178">
        <f>IF(E39="",0,'Pantry Inventory'!G15)</f>
        <v>0</v>
      </c>
      <c r="H39" s="178">
        <f>IF(E39="","",IF('Pantry Inventory'!H15="","",'Pantry Inventory'!H15))</f>
        <v>35</v>
      </c>
      <c r="I39" s="178">
        <f>IF(H39="","",'Pantry Inventory'!I15)</f>
        <v>10</v>
      </c>
      <c r="J39" s="179">
        <f>IF(E39="",0,IFERROR(INDEX('Item Purchases'!$Q$4:$Q$30,MATCH(E39,'Item Purchases'!$B$4:$B$30,0)),0))</f>
        <v>0.73</v>
      </c>
      <c r="K39" s="180">
        <f t="shared" si="2"/>
        <v>7.3</v>
      </c>
      <c r="L39" s="178">
        <f t="shared" si="3"/>
        <v>1</v>
      </c>
      <c r="M39" s="178">
        <f>IF(E39="",0,IF(AND(OR(OR(Dashboard!$E$5="All",Dashboard!$E$5=""),AG39=Dashboard!$E$5),OR(OR(Dashboard!$H$5="All",Dashboard!$H$5=""),F39=Dashboard!$H$5),OR(OR(Dashboard!$B$5="All",Dashboard!$B$5=""),C39=Dashboard!$B$5),OR(OR(Dashboard!$K$5="All",Dashboard!$K$5=""),A39=Dashboard!$K$5),OR(OR(Dashboard!$N$5="All",Dashboard!$N$5=""),B39=Dashboard!$N$5),OR(OR(Dashboard!$Q$5="All",Dashboard!$Q$5=""),D39=Dashboard!$Q$5),OR(OR(Dashboard!$U$5="All",Dashboard!$U$5=""),E39=Dashboard!$U$5)),1,0))</f>
        <v>1</v>
      </c>
      <c r="N39" s="178">
        <f>IF(E39="",0,IF(AND(OR(OR(Dashboard!$E$5="All",Dashboard!$E$5=""),AG39=Dashboard!$E$5),OR(OR(Dashboard!$B$5="All",Dashboard!$B$5=""),C39=Dashboard!$B$5),OR(OR(Dashboard!$K$5="All",Dashboard!$K$5=""),A39=Dashboard!$K$5),OR(OR(Dashboard!$N$5="All",Dashboard!$N$5=""),B39=Dashboard!$N$5),OR(OR(Dashboard!$Q$5="All",Dashboard!$Q$5=""),D39=Dashboard!$Q$5),OR(OR(Dashboard!$U$5="All",Dashboard!$U$5=""),E39=Dashboard!$U$5)),1,0))</f>
        <v>1</v>
      </c>
      <c r="O39" s="165">
        <f t="shared" si="4"/>
        <v>100</v>
      </c>
      <c r="AG39" s="178" t="str">
        <f>IF(E39="","",IFERROR(IF(INDEX('Item Purchases'!$AM$4:$AM$30,MATCH(E39,'Item Purchases'!$B$4:$B$30,0))="","Uncategorised",INDEX('Item Purchases'!$AM$4:$AM$30,MATCH(E39,'Item Purchases'!$B$4:$B$30,0))),"Uncategorised"))</f>
        <v>Snacks</v>
      </c>
      <c r="AH39" s="165">
        <f>IF(AND(E39&lt;&gt;"",L39=1),COUNTIFS($E$2:E39,E39,$L$2:L39,1),0)</f>
        <v>2</v>
      </c>
      <c r="AI39" s="165">
        <f t="shared" si="5"/>
        <v>10</v>
      </c>
      <c r="AJ39" s="165">
        <f t="shared" si="6"/>
        <v>1</v>
      </c>
    </row>
    <row r="40" spans="1:36" x14ac:dyDescent="0.25">
      <c r="A40" s="177">
        <f t="shared" si="7"/>
        <v>46267</v>
      </c>
      <c r="B40" s="178" t="str">
        <f t="shared" si="1"/>
        <v>Wed</v>
      </c>
      <c r="C40" s="178" t="str">
        <f>'Pantry Inventory'!$A$2</f>
        <v>Sep Week 1</v>
      </c>
      <c r="D40" s="178" t="str">
        <f>IF('Pantry Inventory'!A16="","",'Pantry Inventory'!A16)</f>
        <v/>
      </c>
      <c r="E40" s="178" t="str">
        <f>IF('Pantry Inventory'!B16="","",'Pantry Inventory'!B16)</f>
        <v/>
      </c>
      <c r="F40" s="178" t="str">
        <f>IF(E40="","",IFERROR(IF(INDEX('Item Purchases'!$S$4:$S$30,MATCH(E40,'Item Purchases'!$B$4:$B$30,0))="","Uncategorised",INDEX('Item Purchases'!$S$4:$S$30,MATCH(E40,'Item Purchases'!$B$4:$B$30,0))),"Uncategorised"))</f>
        <v/>
      </c>
      <c r="G40" s="178">
        <f>IF(E40="",0,'Pantry Inventory'!G16)</f>
        <v>0</v>
      </c>
      <c r="H40" s="178" t="str">
        <f>IF(E40="","",IF('Pantry Inventory'!H16="","",'Pantry Inventory'!H16))</f>
        <v/>
      </c>
      <c r="I40" s="178" t="str">
        <f>IF(H40="","",'Pantry Inventory'!I16)</f>
        <v/>
      </c>
      <c r="J40" s="179">
        <f>IF(E40="",0,IFERROR(INDEX('Item Purchases'!$Q$4:$Q$30,MATCH(E40,'Item Purchases'!$B$4:$B$30,0)),0))</f>
        <v>0</v>
      </c>
      <c r="K40" s="180" t="str">
        <f t="shared" si="2"/>
        <v/>
      </c>
      <c r="L40" s="178">
        <f t="shared" si="3"/>
        <v>0</v>
      </c>
      <c r="M40" s="178">
        <f>IF(E40="",0,IF(AND(OR(OR(Dashboard!$E$5="All",Dashboard!$E$5=""),AG40=Dashboard!$E$5),OR(OR(Dashboard!$H$5="All",Dashboard!$H$5=""),F40=Dashboard!$H$5),OR(OR(Dashboard!$B$5="All",Dashboard!$B$5=""),C40=Dashboard!$B$5),OR(OR(Dashboard!$K$5="All",Dashboard!$K$5=""),A40=Dashboard!$K$5),OR(OR(Dashboard!$N$5="All",Dashboard!$N$5=""),B40=Dashboard!$N$5),OR(OR(Dashboard!$Q$5="All",Dashboard!$Q$5=""),D40=Dashboard!$Q$5),OR(OR(Dashboard!$U$5="All",Dashboard!$U$5=""),E40=Dashboard!$U$5)),1,0))</f>
        <v>0</v>
      </c>
      <c r="N40" s="178">
        <f>IF(E40="",0,IF(AND(OR(OR(Dashboard!$E$5="All",Dashboard!$E$5=""),AG40=Dashboard!$E$5),OR(OR(Dashboard!$B$5="All",Dashboard!$B$5=""),C40=Dashboard!$B$5),OR(OR(Dashboard!$K$5="All",Dashboard!$K$5=""),A40=Dashboard!$K$5),OR(OR(Dashboard!$N$5="All",Dashboard!$N$5=""),B40=Dashboard!$N$5),OR(OR(Dashboard!$Q$5="All",Dashboard!$Q$5=""),D40=Dashboard!$Q$5),OR(OR(Dashboard!$U$5="All",Dashboard!$U$5=""),E40=Dashboard!$U$5)),1,0))</f>
        <v>0</v>
      </c>
      <c r="O40" s="165">
        <f t="shared" si="4"/>
        <v>0</v>
      </c>
      <c r="AG40" s="178" t="str">
        <f>IF(E40="","",IFERROR(IF(INDEX('Item Purchases'!$AM$4:$AM$30,MATCH(E40,'Item Purchases'!$B$4:$B$30,0))="","Uncategorised",INDEX('Item Purchases'!$AM$4:$AM$30,MATCH(E40,'Item Purchases'!$B$4:$B$30,0))),"Uncategorised"))</f>
        <v/>
      </c>
      <c r="AH40" s="165">
        <f>IF(AND(E40&lt;&gt;"",L40=1),COUNTIFS($E$2:E40,E40,$L$2:L40,1),0)</f>
        <v>0</v>
      </c>
      <c r="AI40" s="165">
        <f t="shared" si="5"/>
        <v>0</v>
      </c>
      <c r="AJ40" s="165">
        <f t="shared" si="6"/>
        <v>0</v>
      </c>
    </row>
    <row r="41" spans="1:36" x14ac:dyDescent="0.25">
      <c r="A41" s="177">
        <f t="shared" si="7"/>
        <v>46267</v>
      </c>
      <c r="B41" s="178" t="str">
        <f t="shared" si="1"/>
        <v>Wed</v>
      </c>
      <c r="C41" s="178" t="str">
        <f>'Pantry Inventory'!$A$2</f>
        <v>Sep Week 1</v>
      </c>
      <c r="D41" s="178" t="str">
        <f>IF('Pantry Inventory'!A17="","",'Pantry Inventory'!A17)</f>
        <v>Nestle</v>
      </c>
      <c r="E41" s="178" t="str">
        <f>IF('Pantry Inventory'!B17="","",'Pantry Inventory'!B17)</f>
        <v>Milo 200ml</v>
      </c>
      <c r="F41" s="178" t="str">
        <f>IF(E41="","",IFERROR(IF(INDEX('Item Purchases'!$S$4:$S$30,MATCH(E41,'Item Purchases'!$B$4:$B$30,0))="","Uncategorised",INDEX('Item Purchases'!$S$4:$S$30,MATCH(E41,'Item Purchases'!$B$4:$B$30,0))),"Uncategorised"))</f>
        <v>Other</v>
      </c>
      <c r="G41" s="178">
        <f>IF(E41="",0,'Pantry Inventory'!G17)</f>
        <v>24</v>
      </c>
      <c r="H41" s="178">
        <f>IF(E41="","",IF('Pantry Inventory'!H17="","",'Pantry Inventory'!H17))</f>
        <v>35</v>
      </c>
      <c r="I41" s="178">
        <f>IF(H41="","",'Pantry Inventory'!I17)</f>
        <v>11</v>
      </c>
      <c r="J41" s="179">
        <f>IF(E41="",0,IFERROR(INDEX('Item Purchases'!$Q$4:$Q$30,MATCH(E41,'Item Purchases'!$B$4:$B$30,0)),0))</f>
        <v>2.37</v>
      </c>
      <c r="K41" s="180">
        <f t="shared" si="2"/>
        <v>26.07</v>
      </c>
      <c r="L41" s="178">
        <f t="shared" si="3"/>
        <v>1</v>
      </c>
      <c r="M41" s="178">
        <f>IF(E41="",0,IF(AND(OR(OR(Dashboard!$E$5="All",Dashboard!$E$5=""),AG41=Dashboard!$E$5),OR(OR(Dashboard!$H$5="All",Dashboard!$H$5=""),F41=Dashboard!$H$5),OR(OR(Dashboard!$B$5="All",Dashboard!$B$5=""),C41=Dashboard!$B$5),OR(OR(Dashboard!$K$5="All",Dashboard!$K$5=""),A41=Dashboard!$K$5),OR(OR(Dashboard!$N$5="All",Dashboard!$N$5=""),B41=Dashboard!$N$5),OR(OR(Dashboard!$Q$5="All",Dashboard!$Q$5=""),D41=Dashboard!$Q$5),OR(OR(Dashboard!$U$5="All",Dashboard!$U$5=""),E41=Dashboard!$U$5)),1,0))</f>
        <v>1</v>
      </c>
      <c r="N41" s="178">
        <f>IF(E41="",0,IF(AND(OR(OR(Dashboard!$E$5="All",Dashboard!$E$5=""),AG41=Dashboard!$E$5),OR(OR(Dashboard!$B$5="All",Dashboard!$B$5=""),C41=Dashboard!$B$5),OR(OR(Dashboard!$K$5="All",Dashboard!$K$5=""),A41=Dashboard!$K$5),OR(OR(Dashboard!$N$5="All",Dashboard!$N$5=""),B41=Dashboard!$N$5),OR(OR(Dashboard!$Q$5="All",Dashboard!$Q$5=""),D41=Dashboard!$Q$5),OR(OR(Dashboard!$U$5="All",Dashboard!$U$5=""),E41=Dashboard!$U$5)),1,0))</f>
        <v>1</v>
      </c>
      <c r="O41" s="165">
        <f t="shared" si="4"/>
        <v>121</v>
      </c>
      <c r="AG41" s="178" t="str">
        <f>IF(E41="","",IFERROR(IF(INDEX('Item Purchases'!$AM$4:$AM$30,MATCH(E41,'Item Purchases'!$B$4:$B$30,0))="","Uncategorised",INDEX('Item Purchases'!$AM$4:$AM$30,MATCH(E41,'Item Purchases'!$B$4:$B$30,0))),"Uncategorised"))</f>
        <v>Beverages</v>
      </c>
      <c r="AH41" s="165">
        <f>IF(AND(E41&lt;&gt;"",L41=1),COUNTIFS($E$2:E41,E41,$L$2:L41,1),0)</f>
        <v>2</v>
      </c>
      <c r="AI41" s="165">
        <f t="shared" si="5"/>
        <v>11</v>
      </c>
      <c r="AJ41" s="165">
        <f t="shared" si="6"/>
        <v>1</v>
      </c>
    </row>
    <row r="42" spans="1:36" x14ac:dyDescent="0.25">
      <c r="A42" s="177">
        <f t="shared" si="7"/>
        <v>46267</v>
      </c>
      <c r="B42" s="178" t="str">
        <f t="shared" si="1"/>
        <v>Wed</v>
      </c>
      <c r="C42" s="178" t="str">
        <f>'Pantry Inventory'!$A$2</f>
        <v>Sep Week 1</v>
      </c>
      <c r="D42" s="178" t="str">
        <f>IF('Pantry Inventory'!A18="","",'Pantry Inventory'!A18)</f>
        <v>Nestle</v>
      </c>
      <c r="E42" s="178" t="str">
        <f>IF('Pantry Inventory'!B18="","",'Pantry Inventory'!B18)</f>
        <v>Nescafe Latte 240ml</v>
      </c>
      <c r="F42" s="178" t="str">
        <f>IF(E42="","",IFERROR(IF(INDEX('Item Purchases'!$S$4:$S$30,MATCH(E42,'Item Purchases'!$B$4:$B$30,0))="","Uncategorised",INDEX('Item Purchases'!$S$4:$S$30,MATCH(E42,'Item Purchases'!$B$4:$B$30,0))),"Uncategorised"))</f>
        <v>Coffee</v>
      </c>
      <c r="G42" s="178">
        <f>IF(E42="",0,'Pantry Inventory'!G18)</f>
        <v>0</v>
      </c>
      <c r="H42" s="178">
        <f>IF(E42="","",IF('Pantry Inventory'!H18="","",'Pantry Inventory'!H18))</f>
        <v>27</v>
      </c>
      <c r="I42" s="178">
        <f>IF(H42="","",'Pantry Inventory'!I18)</f>
        <v>2</v>
      </c>
      <c r="J42" s="179">
        <f>IF(E42="",0,IFERROR(INDEX('Item Purchases'!$Q$4:$Q$30,MATCH(E42,'Item Purchases'!$B$4:$B$30,0)),0))</f>
        <v>2.1875</v>
      </c>
      <c r="K42" s="180">
        <f t="shared" si="2"/>
        <v>4.375</v>
      </c>
      <c r="L42" s="178">
        <f t="shared" si="3"/>
        <v>1</v>
      </c>
      <c r="M42" s="178">
        <f>IF(E42="",0,IF(AND(OR(OR(Dashboard!$E$5="All",Dashboard!$E$5=""),AG42=Dashboard!$E$5),OR(OR(Dashboard!$H$5="All",Dashboard!$H$5=""),F42=Dashboard!$H$5),OR(OR(Dashboard!$B$5="All",Dashboard!$B$5=""),C42=Dashboard!$B$5),OR(OR(Dashboard!$K$5="All",Dashboard!$K$5=""),A42=Dashboard!$K$5),OR(OR(Dashboard!$N$5="All",Dashboard!$N$5=""),B42=Dashboard!$N$5),OR(OR(Dashboard!$Q$5="All",Dashboard!$Q$5=""),D42=Dashboard!$Q$5),OR(OR(Dashboard!$U$5="All",Dashboard!$U$5=""),E42=Dashboard!$U$5)),1,0))</f>
        <v>1</v>
      </c>
      <c r="N42" s="178">
        <f>IF(E42="",0,IF(AND(OR(OR(Dashboard!$E$5="All",Dashboard!$E$5=""),AG42=Dashboard!$E$5),OR(OR(Dashboard!$B$5="All",Dashboard!$B$5=""),C42=Dashboard!$B$5),OR(OR(Dashboard!$K$5="All",Dashboard!$K$5=""),A42=Dashboard!$K$5),OR(OR(Dashboard!$N$5="All",Dashboard!$N$5=""),B42=Dashboard!$N$5),OR(OR(Dashboard!$Q$5="All",Dashboard!$Q$5=""),D42=Dashboard!$Q$5),OR(OR(Dashboard!$U$5="All",Dashboard!$U$5=""),E42=Dashboard!$U$5)),1,0))</f>
        <v>1</v>
      </c>
      <c r="O42" s="165">
        <f t="shared" si="4"/>
        <v>4</v>
      </c>
      <c r="AG42" s="178" t="str">
        <f>IF(E42="","",IFERROR(IF(INDEX('Item Purchases'!$AM$4:$AM$30,MATCH(E42,'Item Purchases'!$B$4:$B$30,0))="","Uncategorised",INDEX('Item Purchases'!$AM$4:$AM$30,MATCH(E42,'Item Purchases'!$B$4:$B$30,0))),"Uncategorised"))</f>
        <v>Beverages</v>
      </c>
      <c r="AH42" s="165">
        <f>IF(AND(E42&lt;&gt;"",L42=1),COUNTIFS($E$2:E42,E42,$L$2:L42,1),0)</f>
        <v>2</v>
      </c>
      <c r="AI42" s="165">
        <f t="shared" si="5"/>
        <v>2</v>
      </c>
      <c r="AJ42" s="165">
        <f t="shared" si="6"/>
        <v>1</v>
      </c>
    </row>
    <row r="43" spans="1:36" x14ac:dyDescent="0.25">
      <c r="A43" s="177">
        <f t="shared" si="7"/>
        <v>46267</v>
      </c>
      <c r="B43" s="178" t="str">
        <f t="shared" si="1"/>
        <v>Wed</v>
      </c>
      <c r="C43" s="178" t="str">
        <f>'Pantry Inventory'!$A$2</f>
        <v>Sep Week 1</v>
      </c>
      <c r="D43" s="178" t="str">
        <f>IF('Pantry Inventory'!A19="","",'Pantry Inventory'!A19)</f>
        <v>Nestle</v>
      </c>
      <c r="E43" s="178" t="str">
        <f>IF('Pantry Inventory'!B19="","",'Pantry Inventory'!B19)</f>
        <v>Nescafe original 240ml</v>
      </c>
      <c r="F43" s="178" t="str">
        <f>IF(E43="","",IFERROR(IF(INDEX('Item Purchases'!$S$4:$S$30,MATCH(E43,'Item Purchases'!$B$4:$B$30,0))="","Uncategorised",INDEX('Item Purchases'!$S$4:$S$30,MATCH(E43,'Item Purchases'!$B$4:$B$30,0))),"Uncategorised"))</f>
        <v>Coffee</v>
      </c>
      <c r="G43" s="178">
        <f>IF(E43="",0,'Pantry Inventory'!G19)</f>
        <v>0</v>
      </c>
      <c r="H43" s="178">
        <f>IF(E43="","",IF('Pantry Inventory'!H19="","",'Pantry Inventory'!H19))</f>
        <v>23</v>
      </c>
      <c r="I43" s="178">
        <f>IF(H43="","",'Pantry Inventory'!I19)</f>
        <v>1</v>
      </c>
      <c r="J43" s="179">
        <f>IF(E43="",0,IFERROR(INDEX('Item Purchases'!$Q$4:$Q$30,MATCH(E43,'Item Purchases'!$B$4:$B$30,0)),0))</f>
        <v>2.1875</v>
      </c>
      <c r="K43" s="180">
        <f t="shared" si="2"/>
        <v>2.1875</v>
      </c>
      <c r="L43" s="178">
        <f t="shared" si="3"/>
        <v>1</v>
      </c>
      <c r="M43" s="178">
        <f>IF(E43="",0,IF(AND(OR(OR(Dashboard!$E$5="All",Dashboard!$E$5=""),AG43=Dashboard!$E$5),OR(OR(Dashboard!$H$5="All",Dashboard!$H$5=""),F43=Dashboard!$H$5),OR(OR(Dashboard!$B$5="All",Dashboard!$B$5=""),C43=Dashboard!$B$5),OR(OR(Dashboard!$K$5="All",Dashboard!$K$5=""),A43=Dashboard!$K$5),OR(OR(Dashboard!$N$5="All",Dashboard!$N$5=""),B43=Dashboard!$N$5),OR(OR(Dashboard!$Q$5="All",Dashboard!$Q$5=""),D43=Dashboard!$Q$5),OR(OR(Dashboard!$U$5="All",Dashboard!$U$5=""),E43=Dashboard!$U$5)),1,0))</f>
        <v>1</v>
      </c>
      <c r="N43" s="178">
        <f>IF(E43="",0,IF(AND(OR(OR(Dashboard!$E$5="All",Dashboard!$E$5=""),AG43=Dashboard!$E$5),OR(OR(Dashboard!$B$5="All",Dashboard!$B$5=""),C43=Dashboard!$B$5),OR(OR(Dashboard!$K$5="All",Dashboard!$K$5=""),A43=Dashboard!$K$5),OR(OR(Dashboard!$N$5="All",Dashboard!$N$5=""),B43=Dashboard!$N$5),OR(OR(Dashboard!$Q$5="All",Dashboard!$Q$5=""),D43=Dashboard!$Q$5),OR(OR(Dashboard!$U$5="All",Dashboard!$U$5=""),E43=Dashboard!$U$5)),1,0))</f>
        <v>1</v>
      </c>
      <c r="O43" s="165">
        <f t="shared" si="4"/>
        <v>1</v>
      </c>
      <c r="AG43" s="178" t="str">
        <f>IF(E43="","",IFERROR(IF(INDEX('Item Purchases'!$AM$4:$AM$30,MATCH(E43,'Item Purchases'!$B$4:$B$30,0))="","Uncategorised",INDEX('Item Purchases'!$AM$4:$AM$30,MATCH(E43,'Item Purchases'!$B$4:$B$30,0))),"Uncategorised"))</f>
        <v>Beverages</v>
      </c>
      <c r="AH43" s="165">
        <f>IF(AND(E43&lt;&gt;"",L43=1),COUNTIFS($E$2:E43,E43,$L$2:L43,1),0)</f>
        <v>2</v>
      </c>
      <c r="AI43" s="165">
        <f t="shared" si="5"/>
        <v>1</v>
      </c>
      <c r="AJ43" s="165">
        <f t="shared" si="6"/>
        <v>1</v>
      </c>
    </row>
    <row r="44" spans="1:36" x14ac:dyDescent="0.25">
      <c r="A44" s="177">
        <f t="shared" si="7"/>
        <v>46267</v>
      </c>
      <c r="B44" s="178" t="str">
        <f t="shared" si="1"/>
        <v>Wed</v>
      </c>
      <c r="C44" s="178" t="str">
        <f>'Pantry Inventory'!$A$2</f>
        <v>Sep Week 1</v>
      </c>
      <c r="D44" s="178" t="str">
        <f>IF('Pantry Inventory'!A20="","",'Pantry Inventory'!A20)</f>
        <v>COWA</v>
      </c>
      <c r="E44" s="178" t="str">
        <f>IF('Pantry Inventory'!B20="","",'Pantry Inventory'!B20)</f>
        <v>COWA Coconut Water 330 ml</v>
      </c>
      <c r="F44" s="178" t="str">
        <f>IF(E44="","",IFERROR(IF(INDEX('Item Purchases'!$S$4:$S$30,MATCH(E44,'Item Purchases'!$B$4:$B$30,0))="","Uncategorised",INDEX('Item Purchases'!$S$4:$S$30,MATCH(E44,'Item Purchases'!$B$4:$B$30,0))),"Uncategorised"))</f>
        <v>Other</v>
      </c>
      <c r="G44" s="178">
        <f>IF(E44="",0,'Pantry Inventory'!G20)</f>
        <v>0</v>
      </c>
      <c r="H44" s="178">
        <f>IF(E44="","",IF('Pantry Inventory'!H20="","",'Pantry Inventory'!H20))</f>
        <v>0</v>
      </c>
      <c r="I44" s="178">
        <f>IF(H44="","",'Pantry Inventory'!I20)</f>
        <v>0</v>
      </c>
      <c r="J44" s="179">
        <f>IF(E44="",0,IFERROR(INDEX('Item Purchases'!$Q$4:$Q$30,MATCH(E44,'Item Purchases'!$B$4:$B$30,0)),0))</f>
        <v>3</v>
      </c>
      <c r="K44" s="180">
        <f t="shared" si="2"/>
        <v>0</v>
      </c>
      <c r="L44" s="178">
        <f t="shared" si="3"/>
        <v>1</v>
      </c>
      <c r="M44" s="178">
        <f>IF(E44="",0,IF(AND(OR(OR(Dashboard!$E$5="All",Dashboard!$E$5=""),AG44=Dashboard!$E$5),OR(OR(Dashboard!$H$5="All",Dashboard!$H$5=""),F44=Dashboard!$H$5),OR(OR(Dashboard!$B$5="All",Dashboard!$B$5=""),C44=Dashboard!$B$5),OR(OR(Dashboard!$K$5="All",Dashboard!$K$5=""),A44=Dashboard!$K$5),OR(OR(Dashboard!$N$5="All",Dashboard!$N$5=""),B44=Dashboard!$N$5),OR(OR(Dashboard!$Q$5="All",Dashboard!$Q$5=""),D44=Dashboard!$Q$5),OR(OR(Dashboard!$U$5="All",Dashboard!$U$5=""),E44=Dashboard!$U$5)),1,0))</f>
        <v>1</v>
      </c>
      <c r="N44" s="178">
        <f>IF(E44="",0,IF(AND(OR(OR(Dashboard!$E$5="All",Dashboard!$E$5=""),AG44=Dashboard!$E$5),OR(OR(Dashboard!$B$5="All",Dashboard!$B$5=""),C44=Dashboard!$B$5),OR(OR(Dashboard!$K$5="All",Dashboard!$K$5=""),A44=Dashboard!$K$5),OR(OR(Dashboard!$N$5="All",Dashboard!$N$5=""),B44=Dashboard!$N$5),OR(OR(Dashboard!$Q$5="All",Dashboard!$Q$5=""),D44=Dashboard!$Q$5),OR(OR(Dashboard!$U$5="All",Dashboard!$U$5=""),E44=Dashboard!$U$5)),1,0))</f>
        <v>1</v>
      </c>
      <c r="O44" s="165">
        <f t="shared" si="4"/>
        <v>0</v>
      </c>
      <c r="AG44" s="178" t="str">
        <f>IF(E44="","",IFERROR(IF(INDEX('Item Purchases'!$AM$4:$AM$30,MATCH(E44,'Item Purchases'!$B$4:$B$30,0))="","Uncategorised",INDEX('Item Purchases'!$AM$4:$AM$30,MATCH(E44,'Item Purchases'!$B$4:$B$30,0))),"Uncategorised"))</f>
        <v>Beverages</v>
      </c>
      <c r="AH44" s="165">
        <f>IF(AND(E44&lt;&gt;"",L44=1),COUNTIFS($E$2:E44,E44,$L$2:L44,1),0)</f>
        <v>2</v>
      </c>
      <c r="AI44" s="165">
        <f t="shared" si="5"/>
        <v>0</v>
      </c>
      <c r="AJ44" s="165">
        <f t="shared" si="6"/>
        <v>0</v>
      </c>
    </row>
    <row r="45" spans="1:36" x14ac:dyDescent="0.25">
      <c r="A45" s="177">
        <f t="shared" si="7"/>
        <v>46267</v>
      </c>
      <c r="B45" s="178" t="str">
        <f t="shared" si="1"/>
        <v>Wed</v>
      </c>
      <c r="C45" s="178" t="str">
        <f>'Pantry Inventory'!$A$2</f>
        <v>Sep Week 1</v>
      </c>
      <c r="D45" s="178" t="str">
        <f>IF('Pantry Inventory'!A21="","",'Pantry Inventory'!A21)</f>
        <v>Coca Cola</v>
      </c>
      <c r="E45" s="178" t="str">
        <f>IF('Pantry Inventory'!B21="","",'Pantry Inventory'!B21)</f>
        <v>COKE ZERO  325ML</v>
      </c>
      <c r="F45" s="178" t="str">
        <f>IF(E45="","",IFERROR(IF(INDEX('Item Purchases'!$S$4:$S$30,MATCH(E45,'Item Purchases'!$B$4:$B$30,0))="","Uncategorised",INDEX('Item Purchases'!$S$4:$S$30,MATCH(E45,'Item Purchases'!$B$4:$B$30,0))),"Uncategorised"))</f>
        <v>Other</v>
      </c>
      <c r="G45" s="178">
        <f>IF(E45="",0,'Pantry Inventory'!G21)</f>
        <v>0</v>
      </c>
      <c r="H45" s="178">
        <f>IF(E45="","",IF('Pantry Inventory'!H21="","",'Pantry Inventory'!H21))</f>
        <v>41</v>
      </c>
      <c r="I45" s="178">
        <f>IF(H45="","",'Pantry Inventory'!I21)</f>
        <v>5</v>
      </c>
      <c r="J45" s="179">
        <f>IF(E45="",0,IFERROR(INDEX('Item Purchases'!$Q$4:$Q$30,MATCH(E45,'Item Purchases'!$B$4:$B$30,0)),0))</f>
        <v>1.83</v>
      </c>
      <c r="K45" s="180">
        <f t="shared" si="2"/>
        <v>9.15</v>
      </c>
      <c r="L45" s="178">
        <f t="shared" si="3"/>
        <v>1</v>
      </c>
      <c r="M45" s="178">
        <f>IF(E45="",0,IF(AND(OR(OR(Dashboard!$E$5="All",Dashboard!$E$5=""),AG45=Dashboard!$E$5),OR(OR(Dashboard!$H$5="All",Dashboard!$H$5=""),F45=Dashboard!$H$5),OR(OR(Dashboard!$B$5="All",Dashboard!$B$5=""),C45=Dashboard!$B$5),OR(OR(Dashboard!$K$5="All",Dashboard!$K$5=""),A45=Dashboard!$K$5),OR(OR(Dashboard!$N$5="All",Dashboard!$N$5=""),B45=Dashboard!$N$5),OR(OR(Dashboard!$Q$5="All",Dashboard!$Q$5=""),D45=Dashboard!$Q$5),OR(OR(Dashboard!$U$5="All",Dashboard!$U$5=""),E45=Dashboard!$U$5)),1,0))</f>
        <v>1</v>
      </c>
      <c r="N45" s="178">
        <f>IF(E45="",0,IF(AND(OR(OR(Dashboard!$E$5="All",Dashboard!$E$5=""),AG45=Dashboard!$E$5),OR(OR(Dashboard!$B$5="All",Dashboard!$B$5=""),C45=Dashboard!$B$5),OR(OR(Dashboard!$K$5="All",Dashboard!$K$5=""),A45=Dashboard!$K$5),OR(OR(Dashboard!$N$5="All",Dashboard!$N$5=""),B45=Dashboard!$N$5),OR(OR(Dashboard!$Q$5="All",Dashboard!$Q$5=""),D45=Dashboard!$Q$5),OR(OR(Dashboard!$U$5="All",Dashboard!$U$5=""),E45=Dashboard!$U$5)),1,0))</f>
        <v>1</v>
      </c>
      <c r="O45" s="165">
        <f t="shared" si="4"/>
        <v>25</v>
      </c>
      <c r="AG45" s="178" t="str">
        <f>IF(E45="","",IFERROR(IF(INDEX('Item Purchases'!$AM$4:$AM$30,MATCH(E45,'Item Purchases'!$B$4:$B$30,0))="","Uncategorised",INDEX('Item Purchases'!$AM$4:$AM$30,MATCH(E45,'Item Purchases'!$B$4:$B$30,0))),"Uncategorised"))</f>
        <v>Beverages</v>
      </c>
      <c r="AH45" s="165">
        <f>IF(AND(E45&lt;&gt;"",L45=1),COUNTIFS($E$2:E45,E45,$L$2:L45,1),0)</f>
        <v>2</v>
      </c>
      <c r="AI45" s="165">
        <f t="shared" si="5"/>
        <v>5</v>
      </c>
      <c r="AJ45" s="165">
        <f t="shared" si="6"/>
        <v>1</v>
      </c>
    </row>
    <row r="46" spans="1:36" x14ac:dyDescent="0.25">
      <c r="A46" s="177">
        <f t="shared" si="7"/>
        <v>46267</v>
      </c>
      <c r="B46" s="178" t="str">
        <f t="shared" si="1"/>
        <v>Wed</v>
      </c>
      <c r="C46" s="178" t="str">
        <f>'Pantry Inventory'!$A$2</f>
        <v>Sep Week 1</v>
      </c>
      <c r="D46" s="178" t="str">
        <f>IF('Pantry Inventory'!A22="","",'Pantry Inventory'!A22)</f>
        <v>Coca Cola</v>
      </c>
      <c r="E46" s="178" t="str">
        <f>IF('Pantry Inventory'!B22="","",'Pantry Inventory'!B22)</f>
        <v>Ayataka Tea 300ml</v>
      </c>
      <c r="F46" s="178" t="str">
        <f>IF(E46="","",IFERROR(IF(INDEX('Item Purchases'!$S$4:$S$30,MATCH(E46,'Item Purchases'!$B$4:$B$30,0))="","Uncategorised",INDEX('Item Purchases'!$S$4:$S$30,MATCH(E46,'Item Purchases'!$B$4:$B$30,0))),"Uncategorised"))</f>
        <v>Tea</v>
      </c>
      <c r="G46" s="178">
        <f>IF(E46="",0,'Pantry Inventory'!G22)</f>
        <v>0</v>
      </c>
      <c r="H46" s="178">
        <f>IF(E46="","",IF('Pantry Inventory'!H22="","",'Pantry Inventory'!H22))</f>
        <v>0</v>
      </c>
      <c r="I46" s="178">
        <f>IF(H46="","",'Pantry Inventory'!I22)</f>
        <v>36</v>
      </c>
      <c r="J46" s="179">
        <f>IF(E46="",0,IFERROR(INDEX('Item Purchases'!$Q$4:$Q$30,MATCH(E46,'Item Purchases'!$B$4:$B$30,0)),0))</f>
        <v>1.75</v>
      </c>
      <c r="K46" s="180">
        <f t="shared" si="2"/>
        <v>63</v>
      </c>
      <c r="L46" s="178">
        <f t="shared" si="3"/>
        <v>1</v>
      </c>
      <c r="M46" s="178">
        <f>IF(E46="",0,IF(AND(OR(OR(Dashboard!$E$5="All",Dashboard!$E$5=""),AG46=Dashboard!$E$5),OR(OR(Dashboard!$H$5="All",Dashboard!$H$5=""),F46=Dashboard!$H$5),OR(OR(Dashboard!$B$5="All",Dashboard!$B$5=""),C46=Dashboard!$B$5),OR(OR(Dashboard!$K$5="All",Dashboard!$K$5=""),A46=Dashboard!$K$5),OR(OR(Dashboard!$N$5="All",Dashboard!$N$5=""),B46=Dashboard!$N$5),OR(OR(Dashboard!$Q$5="All",Dashboard!$Q$5=""),D46=Dashboard!$Q$5),OR(OR(Dashboard!$U$5="All",Dashboard!$U$5=""),E46=Dashboard!$U$5)),1,0))</f>
        <v>1</v>
      </c>
      <c r="N46" s="178">
        <f>IF(E46="",0,IF(AND(OR(OR(Dashboard!$E$5="All",Dashboard!$E$5=""),AG46=Dashboard!$E$5),OR(OR(Dashboard!$B$5="All",Dashboard!$B$5=""),C46=Dashboard!$B$5),OR(OR(Dashboard!$K$5="All",Dashboard!$K$5=""),A46=Dashboard!$K$5),OR(OR(Dashboard!$N$5="All",Dashboard!$N$5=""),B46=Dashboard!$N$5),OR(OR(Dashboard!$Q$5="All",Dashboard!$Q$5=""),D46=Dashboard!$Q$5),OR(OR(Dashboard!$U$5="All",Dashboard!$U$5=""),E46=Dashboard!$U$5)),1,0))</f>
        <v>1</v>
      </c>
      <c r="O46" s="165">
        <f t="shared" si="4"/>
        <v>0</v>
      </c>
      <c r="AG46" s="178" t="str">
        <f>IF(E46="","",IFERROR(IF(INDEX('Item Purchases'!$AM$4:$AM$30,MATCH(E46,'Item Purchases'!$B$4:$B$30,0))="","Uncategorised",INDEX('Item Purchases'!$AM$4:$AM$30,MATCH(E46,'Item Purchases'!$B$4:$B$30,0))),"Uncategorised"))</f>
        <v>Beverages</v>
      </c>
      <c r="AH46" s="165">
        <f>IF(AND(E46&lt;&gt;"",L46=1),COUNTIFS($E$2:E46,E46,$L$2:L46,1),0)</f>
        <v>2</v>
      </c>
      <c r="AI46" s="165">
        <f t="shared" si="5"/>
        <v>36</v>
      </c>
      <c r="AJ46" s="165">
        <f t="shared" si="6"/>
        <v>0</v>
      </c>
    </row>
    <row r="47" spans="1:36" x14ac:dyDescent="0.25">
      <c r="A47" s="177">
        <f t="shared" si="7"/>
        <v>46267</v>
      </c>
      <c r="B47" s="178" t="str">
        <f t="shared" si="1"/>
        <v>Wed</v>
      </c>
      <c r="C47" s="178" t="str">
        <f>'Pantry Inventory'!$A$2</f>
        <v>Sep Week 1</v>
      </c>
      <c r="D47" s="178" t="str">
        <f>IF('Pantry Inventory'!A23="","",'Pantry Inventory'!A23)</f>
        <v>Coca Cola</v>
      </c>
      <c r="E47" s="178" t="str">
        <f>IF('Pantry Inventory'!B23="","",'Pantry Inventory'!B23)</f>
        <v>Oolong Tea 300ml</v>
      </c>
      <c r="F47" s="178" t="str">
        <f>IF(E47="","",IFERROR(IF(INDEX('Item Purchases'!$S$4:$S$30,MATCH(E47,'Item Purchases'!$B$4:$B$30,0))="","Uncategorised",INDEX('Item Purchases'!$S$4:$S$30,MATCH(E47,'Item Purchases'!$B$4:$B$30,0))),"Uncategorised"))</f>
        <v>Tea</v>
      </c>
      <c r="G47" s="178">
        <f>IF(E47="",0,'Pantry Inventory'!G23)</f>
        <v>0</v>
      </c>
      <c r="H47" s="178">
        <f>IF(E47="","",IF('Pantry Inventory'!H23="","",'Pantry Inventory'!H23))</f>
        <v>0</v>
      </c>
      <c r="I47" s="178">
        <f>IF(H47="","",'Pantry Inventory'!I23)</f>
        <v>36</v>
      </c>
      <c r="J47" s="179">
        <f>IF(E47="",0,IFERROR(INDEX('Item Purchases'!$Q$4:$Q$30,MATCH(E47,'Item Purchases'!$B$4:$B$30,0)),0))</f>
        <v>1.75</v>
      </c>
      <c r="K47" s="180">
        <f t="shared" si="2"/>
        <v>63</v>
      </c>
      <c r="L47" s="178">
        <f t="shared" si="3"/>
        <v>1</v>
      </c>
      <c r="M47" s="178">
        <f>IF(E47="",0,IF(AND(OR(OR(Dashboard!$E$5="All",Dashboard!$E$5=""),AG47=Dashboard!$E$5),OR(OR(Dashboard!$H$5="All",Dashboard!$H$5=""),F47=Dashboard!$H$5),OR(OR(Dashboard!$B$5="All",Dashboard!$B$5=""),C47=Dashboard!$B$5),OR(OR(Dashboard!$K$5="All",Dashboard!$K$5=""),A47=Dashboard!$K$5),OR(OR(Dashboard!$N$5="All",Dashboard!$N$5=""),B47=Dashboard!$N$5),OR(OR(Dashboard!$Q$5="All",Dashboard!$Q$5=""),D47=Dashboard!$Q$5),OR(OR(Dashboard!$U$5="All",Dashboard!$U$5=""),E47=Dashboard!$U$5)),1,0))</f>
        <v>1</v>
      </c>
      <c r="N47" s="178">
        <f>IF(E47="",0,IF(AND(OR(OR(Dashboard!$E$5="All",Dashboard!$E$5=""),AG47=Dashboard!$E$5),OR(OR(Dashboard!$B$5="All",Dashboard!$B$5=""),C47=Dashboard!$B$5),OR(OR(Dashboard!$K$5="All",Dashboard!$K$5=""),A47=Dashboard!$K$5),OR(OR(Dashboard!$N$5="All",Dashboard!$N$5=""),B47=Dashboard!$N$5),OR(OR(Dashboard!$Q$5="All",Dashboard!$Q$5=""),D47=Dashboard!$Q$5),OR(OR(Dashboard!$U$5="All",Dashboard!$U$5=""),E47=Dashboard!$U$5)),1,0))</f>
        <v>1</v>
      </c>
      <c r="O47" s="165">
        <f t="shared" si="4"/>
        <v>0</v>
      </c>
      <c r="AG47" s="178" t="str">
        <f>IF(E47="","",IFERROR(IF(INDEX('Item Purchases'!$AM$4:$AM$30,MATCH(E47,'Item Purchases'!$B$4:$B$30,0))="","Uncategorised",INDEX('Item Purchases'!$AM$4:$AM$30,MATCH(E47,'Item Purchases'!$B$4:$B$30,0))),"Uncategorised"))</f>
        <v>Beverages</v>
      </c>
      <c r="AH47" s="165">
        <f>IF(AND(E47&lt;&gt;"",L47=1),COUNTIFS($E$2:E47,E47,$L$2:L47,1),0)</f>
        <v>2</v>
      </c>
      <c r="AI47" s="165">
        <f t="shared" si="5"/>
        <v>36</v>
      </c>
      <c r="AJ47" s="165">
        <f t="shared" si="6"/>
        <v>0</v>
      </c>
    </row>
    <row r="48" spans="1:36" x14ac:dyDescent="0.25">
      <c r="A48" s="177">
        <f t="shared" si="7"/>
        <v>46267</v>
      </c>
      <c r="B48" s="178" t="str">
        <f t="shared" si="1"/>
        <v>Wed</v>
      </c>
      <c r="C48" s="178" t="str">
        <f>'Pantry Inventory'!$A$2</f>
        <v>Sep Week 1</v>
      </c>
      <c r="D48" s="178" t="str">
        <f>IF('Pantry Inventory'!A24="","",'Pantry Inventory'!A24)</f>
        <v>Vsoy</v>
      </c>
      <c r="E48" s="178" t="str">
        <f>IF('Pantry Inventory'!B24="","",'Pantry Inventory'!B24)</f>
        <v>Vsoy Soya Bean  250ml</v>
      </c>
      <c r="F48" s="178" t="str">
        <f>IF(E48="","",IFERROR(IF(INDEX('Item Purchases'!$S$4:$S$30,MATCH(E48,'Item Purchases'!$B$4:$B$30,0))="","Uncategorised",INDEX('Item Purchases'!$S$4:$S$30,MATCH(E48,'Item Purchases'!$B$4:$B$30,0))),"Uncategorised"))</f>
        <v>Other</v>
      </c>
      <c r="G48" s="178">
        <f>IF(E48="",0,'Pantry Inventory'!G24)</f>
        <v>48</v>
      </c>
      <c r="H48" s="178">
        <f>IF(E48="","",IF('Pantry Inventory'!H24="","",'Pantry Inventory'!H24))</f>
        <v>78</v>
      </c>
      <c r="I48" s="178">
        <f>IF(H48="","",'Pantry Inventory'!I24)</f>
        <v>13</v>
      </c>
      <c r="J48" s="179">
        <f>IF(E48="",0,IFERROR(INDEX('Item Purchases'!$Q$4:$Q$30,MATCH(E48,'Item Purchases'!$B$4:$B$30,0)),0))</f>
        <v>1.25</v>
      </c>
      <c r="K48" s="180">
        <f t="shared" si="2"/>
        <v>16.25</v>
      </c>
      <c r="L48" s="178">
        <f t="shared" si="3"/>
        <v>1</v>
      </c>
      <c r="M48" s="178">
        <f>IF(E48="",0,IF(AND(OR(OR(Dashboard!$E$5="All",Dashboard!$E$5=""),AG48=Dashboard!$E$5),OR(OR(Dashboard!$H$5="All",Dashboard!$H$5=""),F48=Dashboard!$H$5),OR(OR(Dashboard!$B$5="All",Dashboard!$B$5=""),C48=Dashboard!$B$5),OR(OR(Dashboard!$K$5="All",Dashboard!$K$5=""),A48=Dashboard!$K$5),OR(OR(Dashboard!$N$5="All",Dashboard!$N$5=""),B48=Dashboard!$N$5),OR(OR(Dashboard!$Q$5="All",Dashboard!$Q$5=""),D48=Dashboard!$Q$5),OR(OR(Dashboard!$U$5="All",Dashboard!$U$5=""),E48=Dashboard!$U$5)),1,0))</f>
        <v>1</v>
      </c>
      <c r="N48" s="178">
        <f>IF(E48="",0,IF(AND(OR(OR(Dashboard!$E$5="All",Dashboard!$E$5=""),AG48=Dashboard!$E$5),OR(OR(Dashboard!$B$5="All",Dashboard!$B$5=""),C48=Dashboard!$B$5),OR(OR(Dashboard!$K$5="All",Dashboard!$K$5=""),A48=Dashboard!$K$5),OR(OR(Dashboard!$N$5="All",Dashboard!$N$5=""),B48=Dashboard!$N$5),OR(OR(Dashboard!$Q$5="All",Dashboard!$Q$5=""),D48=Dashboard!$Q$5),OR(OR(Dashboard!$U$5="All",Dashboard!$U$5=""),E48=Dashboard!$U$5)),1,0))</f>
        <v>1</v>
      </c>
      <c r="O48" s="165">
        <f t="shared" si="4"/>
        <v>169</v>
      </c>
      <c r="AG48" s="178" t="str">
        <f>IF(E48="","",IFERROR(IF(INDEX('Item Purchases'!$AM$4:$AM$30,MATCH(E48,'Item Purchases'!$B$4:$B$30,0))="","Uncategorised",INDEX('Item Purchases'!$AM$4:$AM$30,MATCH(E48,'Item Purchases'!$B$4:$B$30,0))),"Uncategorised"))</f>
        <v>Beverages</v>
      </c>
      <c r="AH48" s="165">
        <f>IF(AND(E48&lt;&gt;"",L48=1),COUNTIFS($E$2:E48,E48,$L$2:L48,1),0)</f>
        <v>2</v>
      </c>
      <c r="AI48" s="165">
        <f t="shared" si="5"/>
        <v>13</v>
      </c>
      <c r="AJ48" s="165">
        <f t="shared" si="6"/>
        <v>1</v>
      </c>
    </row>
    <row r="49" spans="1:36" x14ac:dyDescent="0.25">
      <c r="A49" s="177">
        <f t="shared" si="7"/>
        <v>46267</v>
      </c>
      <c r="B49" s="178" t="str">
        <f t="shared" si="1"/>
        <v>Wed</v>
      </c>
      <c r="C49" s="178" t="str">
        <f>'Pantry Inventory'!$A$2</f>
        <v>Sep Week 1</v>
      </c>
      <c r="D49" s="178" t="str">
        <f>IF('Pantry Inventory'!A25="","",'Pantry Inventory'!A25)</f>
        <v>BingRae</v>
      </c>
      <c r="E49" s="178" t="str">
        <f>IF('Pantry Inventory'!B25="","",'Pantry Inventory'!B25)</f>
        <v>BingRae Banana Milk 200ml</v>
      </c>
      <c r="F49" s="178" t="str">
        <f>IF(E49="","",IFERROR(IF(INDEX('Item Purchases'!$S$4:$S$30,MATCH(E49,'Item Purchases'!$B$4:$B$30,0))="","Uncategorised",INDEX('Item Purchases'!$S$4:$S$30,MATCH(E49,'Item Purchases'!$B$4:$B$30,0))),"Uncategorised"))</f>
        <v>Other</v>
      </c>
      <c r="G49" s="178">
        <f>IF(E49="",0,'Pantry Inventory'!G25)</f>
        <v>0</v>
      </c>
      <c r="H49" s="178">
        <f>IF(E49="","",IF('Pantry Inventory'!H25="","",'Pantry Inventory'!H25))</f>
        <v>6</v>
      </c>
      <c r="I49" s="178">
        <f>IF(H49="","",'Pantry Inventory'!I25)</f>
        <v>5</v>
      </c>
      <c r="J49" s="179">
        <f>IF(E49="",0,IFERROR(INDEX('Item Purchases'!$Q$4:$Q$30,MATCH(E49,'Item Purchases'!$B$4:$B$30,0)),0))</f>
        <v>3.3159999999999998</v>
      </c>
      <c r="K49" s="180">
        <f t="shared" si="2"/>
        <v>16.579999999999998</v>
      </c>
      <c r="L49" s="178">
        <f t="shared" si="3"/>
        <v>1</v>
      </c>
      <c r="M49" s="178">
        <f>IF(E49="",0,IF(AND(OR(OR(Dashboard!$E$5="All",Dashboard!$E$5=""),AG49=Dashboard!$E$5),OR(OR(Dashboard!$H$5="All",Dashboard!$H$5=""),F49=Dashboard!$H$5),OR(OR(Dashboard!$B$5="All",Dashboard!$B$5=""),C49=Dashboard!$B$5),OR(OR(Dashboard!$K$5="All",Dashboard!$K$5=""),A49=Dashboard!$K$5),OR(OR(Dashboard!$N$5="All",Dashboard!$N$5=""),B49=Dashboard!$N$5),OR(OR(Dashboard!$Q$5="All",Dashboard!$Q$5=""),D49=Dashboard!$Q$5),OR(OR(Dashboard!$U$5="All",Dashboard!$U$5=""),E49=Dashboard!$U$5)),1,0))</f>
        <v>1</v>
      </c>
      <c r="N49" s="178">
        <f>IF(E49="",0,IF(AND(OR(OR(Dashboard!$E$5="All",Dashboard!$E$5=""),AG49=Dashboard!$E$5),OR(OR(Dashboard!$B$5="All",Dashboard!$B$5=""),C49=Dashboard!$B$5),OR(OR(Dashboard!$K$5="All",Dashboard!$K$5=""),A49=Dashboard!$K$5),OR(OR(Dashboard!$N$5="All",Dashboard!$N$5=""),B49=Dashboard!$N$5),OR(OR(Dashboard!$Q$5="All",Dashboard!$Q$5=""),D49=Dashboard!$Q$5),OR(OR(Dashboard!$U$5="All",Dashboard!$U$5=""),E49=Dashboard!$U$5)),1,0))</f>
        <v>1</v>
      </c>
      <c r="O49" s="165">
        <f t="shared" si="4"/>
        <v>25</v>
      </c>
      <c r="AG49" s="178" t="str">
        <f>IF(E49="","",IFERROR(IF(INDEX('Item Purchases'!$AM$4:$AM$30,MATCH(E49,'Item Purchases'!$B$4:$B$30,0))="","Uncategorised",INDEX('Item Purchases'!$AM$4:$AM$30,MATCH(E49,'Item Purchases'!$B$4:$B$30,0))),"Uncategorised"))</f>
        <v>Beverages</v>
      </c>
      <c r="AH49" s="165">
        <f>IF(AND(E49&lt;&gt;"",L49=1),COUNTIFS($E$2:E49,E49,$L$2:L49,1),0)</f>
        <v>2</v>
      </c>
      <c r="AI49" s="165">
        <f t="shared" si="5"/>
        <v>5</v>
      </c>
      <c r="AJ49" s="165">
        <f t="shared" si="6"/>
        <v>1</v>
      </c>
    </row>
    <row r="50" spans="1:36" x14ac:dyDescent="0.25">
      <c r="A50" s="177">
        <f t="shared" si="7"/>
        <v>46267</v>
      </c>
      <c r="B50" s="178" t="str">
        <f t="shared" si="1"/>
        <v>Wed</v>
      </c>
      <c r="C50" s="178" t="str">
        <f>'Pantry Inventory'!$A$2</f>
        <v>Sep Week 1</v>
      </c>
      <c r="D50" s="178" t="str">
        <f>IF('Pantry Inventory'!A26="","",'Pantry Inventory'!A26)</f>
        <v>Fuze Tea</v>
      </c>
      <c r="E50" s="178" t="str">
        <f>IF('Pantry Inventory'!B26="","",'Pantry Inventory'!B26)</f>
        <v>Fuze Tea by Heaven and Earth Jasmine Tea</v>
      </c>
      <c r="F50" s="178" t="str">
        <f>IF(E50="","",IFERROR(IF(INDEX('Item Purchases'!$S$4:$S$30,MATCH(E50,'Item Purchases'!$B$4:$B$30,0))="","Uncategorised",INDEX('Item Purchases'!$S$4:$S$30,MATCH(E50,'Item Purchases'!$B$4:$B$30,0))),"Uncategorised"))</f>
        <v>Tea</v>
      </c>
      <c r="G50" s="178">
        <f>IF(E50="",0,'Pantry Inventory'!G26)</f>
        <v>0</v>
      </c>
      <c r="H50" s="178">
        <f>IF(E50="","",IF('Pantry Inventory'!H26="","",'Pantry Inventory'!H26))</f>
        <v>0</v>
      </c>
      <c r="I50" s="178">
        <f>IF(H50="","",'Pantry Inventory'!I26)</f>
        <v>0</v>
      </c>
      <c r="J50" s="179">
        <f>IF(E50="",0,IFERROR(INDEX('Item Purchases'!$Q$4:$Q$30,MATCH(E50,'Item Purchases'!$B$4:$B$30,0)),0))</f>
        <v>1.167</v>
      </c>
      <c r="K50" s="180">
        <f t="shared" si="2"/>
        <v>0</v>
      </c>
      <c r="L50" s="178">
        <f t="shared" si="3"/>
        <v>1</v>
      </c>
      <c r="M50" s="178">
        <f>IF(E50="",0,IF(AND(OR(OR(Dashboard!$E$5="All",Dashboard!$E$5=""),AG50=Dashboard!$E$5),OR(OR(Dashboard!$H$5="All",Dashboard!$H$5=""),F50=Dashboard!$H$5),OR(OR(Dashboard!$B$5="All",Dashboard!$B$5=""),C50=Dashboard!$B$5),OR(OR(Dashboard!$K$5="All",Dashboard!$K$5=""),A50=Dashboard!$K$5),OR(OR(Dashboard!$N$5="All",Dashboard!$N$5=""),B50=Dashboard!$N$5),OR(OR(Dashboard!$Q$5="All",Dashboard!$Q$5=""),D50=Dashboard!$Q$5),OR(OR(Dashboard!$U$5="All",Dashboard!$U$5=""),E50=Dashboard!$U$5)),1,0))</f>
        <v>1</v>
      </c>
      <c r="N50" s="178">
        <f>IF(E50="",0,IF(AND(OR(OR(Dashboard!$E$5="All",Dashboard!$E$5=""),AG50=Dashboard!$E$5),OR(OR(Dashboard!$B$5="All",Dashboard!$B$5=""),C50=Dashboard!$B$5),OR(OR(Dashboard!$K$5="All",Dashboard!$K$5=""),A50=Dashboard!$K$5),OR(OR(Dashboard!$N$5="All",Dashboard!$N$5=""),B50=Dashboard!$N$5),OR(OR(Dashboard!$Q$5="All",Dashboard!$Q$5=""),D50=Dashboard!$Q$5),OR(OR(Dashboard!$U$5="All",Dashboard!$U$5=""),E50=Dashboard!$U$5)),1,0))</f>
        <v>1</v>
      </c>
      <c r="O50" s="165">
        <f t="shared" si="4"/>
        <v>0</v>
      </c>
      <c r="AG50" s="178" t="str">
        <f>IF(E50="","",IFERROR(IF(INDEX('Item Purchases'!$AM$4:$AM$30,MATCH(E50,'Item Purchases'!$B$4:$B$30,0))="","Uncategorised",INDEX('Item Purchases'!$AM$4:$AM$30,MATCH(E50,'Item Purchases'!$B$4:$B$30,0))),"Uncategorised"))</f>
        <v>Beverages</v>
      </c>
      <c r="AH50" s="165">
        <f>IF(AND(E50&lt;&gt;"",L50=1),COUNTIFS($E$2:E50,E50,$L$2:L50,1),0)</f>
        <v>2</v>
      </c>
      <c r="AI50" s="165">
        <f t="shared" si="5"/>
        <v>0</v>
      </c>
      <c r="AJ50" s="165">
        <f t="shared" si="6"/>
        <v>0</v>
      </c>
    </row>
    <row r="51" spans="1:36" x14ac:dyDescent="0.25">
      <c r="A51" s="177">
        <f t="shared" si="7"/>
        <v>46267</v>
      </c>
      <c r="B51" s="178" t="str">
        <f t="shared" si="1"/>
        <v>Wed</v>
      </c>
      <c r="C51" s="178" t="str">
        <f>'Pantry Inventory'!$A$2</f>
        <v>Sep Week 1</v>
      </c>
      <c r="D51" s="178" t="str">
        <f>IF('Pantry Inventory'!A27="","",'Pantry Inventory'!A27)</f>
        <v>F&amp;N</v>
      </c>
      <c r="E51" s="178" t="str">
        <f>IF('Pantry Inventory'!B27="","",'Pantry Inventory'!B27)</f>
        <v>FN 100 plus (original) 325ml</v>
      </c>
      <c r="F51" s="178" t="str">
        <f>IF(E51="","",IFERROR(IF(INDEX('Item Purchases'!$S$4:$S$30,MATCH(E51,'Item Purchases'!$B$4:$B$30,0))="","Uncategorised",INDEX('Item Purchases'!$S$4:$S$30,MATCH(E51,'Item Purchases'!$B$4:$B$30,0))),"Uncategorised"))</f>
        <v>Other</v>
      </c>
      <c r="G51" s="178">
        <f>IF(E51="",0,'Pantry Inventory'!G27)</f>
        <v>0</v>
      </c>
      <c r="H51" s="178">
        <f>IF(E51="","",IF('Pantry Inventory'!H27="","",'Pantry Inventory'!H27))</f>
        <v>29</v>
      </c>
      <c r="I51" s="178">
        <f>IF(H51="","",'Pantry Inventory'!I27)</f>
        <v>11</v>
      </c>
      <c r="J51" s="179">
        <f>IF(E51="",0,IFERROR(INDEX('Item Purchases'!$Q$4:$Q$30,MATCH(E51,'Item Purchases'!$B$4:$B$30,0)),0))</f>
        <v>1.58</v>
      </c>
      <c r="K51" s="180">
        <f t="shared" si="2"/>
        <v>17.380000000000003</v>
      </c>
      <c r="L51" s="178">
        <f t="shared" si="3"/>
        <v>1</v>
      </c>
      <c r="M51" s="178">
        <f>IF(E51="",0,IF(AND(OR(OR(Dashboard!$E$5="All",Dashboard!$E$5=""),AG51=Dashboard!$E$5),OR(OR(Dashboard!$H$5="All",Dashboard!$H$5=""),F51=Dashboard!$H$5),OR(OR(Dashboard!$B$5="All",Dashboard!$B$5=""),C51=Dashboard!$B$5),OR(OR(Dashboard!$K$5="All",Dashboard!$K$5=""),A51=Dashboard!$K$5),OR(OR(Dashboard!$N$5="All",Dashboard!$N$5=""),B51=Dashboard!$N$5),OR(OR(Dashboard!$Q$5="All",Dashboard!$Q$5=""),D51=Dashboard!$Q$5),OR(OR(Dashboard!$U$5="All",Dashboard!$U$5=""),E51=Dashboard!$U$5)),1,0))</f>
        <v>1</v>
      </c>
      <c r="N51" s="178">
        <f>IF(E51="",0,IF(AND(OR(OR(Dashboard!$E$5="All",Dashboard!$E$5=""),AG51=Dashboard!$E$5),OR(OR(Dashboard!$B$5="All",Dashboard!$B$5=""),C51=Dashboard!$B$5),OR(OR(Dashboard!$K$5="All",Dashboard!$K$5=""),A51=Dashboard!$K$5),OR(OR(Dashboard!$N$5="All",Dashboard!$N$5=""),B51=Dashboard!$N$5),OR(OR(Dashboard!$Q$5="All",Dashboard!$Q$5=""),D51=Dashboard!$Q$5),OR(OR(Dashboard!$U$5="All",Dashboard!$U$5=""),E51=Dashboard!$U$5)),1,0))</f>
        <v>1</v>
      </c>
      <c r="O51" s="165">
        <f t="shared" si="4"/>
        <v>121</v>
      </c>
      <c r="AG51" s="178" t="str">
        <f>IF(E51="","",IFERROR(IF(INDEX('Item Purchases'!$AM$4:$AM$30,MATCH(E51,'Item Purchases'!$B$4:$B$30,0))="","Uncategorised",INDEX('Item Purchases'!$AM$4:$AM$30,MATCH(E51,'Item Purchases'!$B$4:$B$30,0))),"Uncategorised"))</f>
        <v>Beverages</v>
      </c>
      <c r="AH51" s="165">
        <f>IF(AND(E51&lt;&gt;"",L51=1),COUNTIFS($E$2:E51,E51,$L$2:L51,1),0)</f>
        <v>2</v>
      </c>
      <c r="AI51" s="165">
        <f t="shared" si="5"/>
        <v>11</v>
      </c>
      <c r="AJ51" s="165">
        <f t="shared" si="6"/>
        <v>1</v>
      </c>
    </row>
    <row r="52" spans="1:36" x14ac:dyDescent="0.25">
      <c r="A52" s="177">
        <f t="shared" si="7"/>
        <v>46267</v>
      </c>
      <c r="B52" s="178" t="str">
        <f t="shared" si="1"/>
        <v>Wed</v>
      </c>
      <c r="C52" s="178" t="str">
        <f>'Pantry Inventory'!$A$2</f>
        <v>Sep Week 1</v>
      </c>
      <c r="D52" s="178" t="str">
        <f>IF('Pantry Inventory'!A28="","",'Pantry Inventory'!A28)</f>
        <v>Spritzer</v>
      </c>
      <c r="E52" s="178" t="str">
        <f>IF('Pantry Inventory'!B28="","",'Pantry Inventory'!B28)</f>
        <v>Spritzer sparkling water (original) 400ml</v>
      </c>
      <c r="F52" s="178" t="str">
        <f>IF(E52="","",IFERROR(IF(INDEX('Item Purchases'!$S$4:$S$30,MATCH(E52,'Item Purchases'!$B$4:$B$30,0))="","Uncategorised",INDEX('Item Purchases'!$S$4:$S$30,MATCH(E52,'Item Purchases'!$B$4:$B$30,0))),"Uncategorised"))</f>
        <v>Other</v>
      </c>
      <c r="G52" s="178">
        <f>IF(E52="",0,'Pantry Inventory'!G28)</f>
        <v>24</v>
      </c>
      <c r="H52" s="178">
        <f>IF(E52="","",IF('Pantry Inventory'!H28="","",'Pantry Inventory'!H28))</f>
        <v>44</v>
      </c>
      <c r="I52" s="178">
        <f>IF(H52="","",'Pantry Inventory'!I28)</f>
        <v>28</v>
      </c>
      <c r="J52" s="179">
        <f>IF(E52="",0,IFERROR(INDEX('Item Purchases'!$Q$4:$Q$30,MATCH(E52,'Item Purchases'!$B$4:$B$30,0)),0))</f>
        <v>1.616666666666666</v>
      </c>
      <c r="K52" s="180">
        <f t="shared" si="2"/>
        <v>45.266666666666652</v>
      </c>
      <c r="L52" s="178">
        <f t="shared" si="3"/>
        <v>1</v>
      </c>
      <c r="M52" s="178">
        <f>IF(E52="",0,IF(AND(OR(OR(Dashboard!$E$5="All",Dashboard!$E$5=""),AG52=Dashboard!$E$5),OR(OR(Dashboard!$H$5="All",Dashboard!$H$5=""),F52=Dashboard!$H$5),OR(OR(Dashboard!$B$5="All",Dashboard!$B$5=""),C52=Dashboard!$B$5),OR(OR(Dashboard!$K$5="All",Dashboard!$K$5=""),A52=Dashboard!$K$5),OR(OR(Dashboard!$N$5="All",Dashboard!$N$5=""),B52=Dashboard!$N$5),OR(OR(Dashboard!$Q$5="All",Dashboard!$Q$5=""),D52=Dashboard!$Q$5),OR(OR(Dashboard!$U$5="All",Dashboard!$U$5=""),E52=Dashboard!$U$5)),1,0))</f>
        <v>1</v>
      </c>
      <c r="N52" s="178">
        <f>IF(E52="",0,IF(AND(OR(OR(Dashboard!$E$5="All",Dashboard!$E$5=""),AG52=Dashboard!$E$5),OR(OR(Dashboard!$B$5="All",Dashboard!$B$5=""),C52=Dashboard!$B$5),OR(OR(Dashboard!$K$5="All",Dashboard!$K$5=""),A52=Dashboard!$K$5),OR(OR(Dashboard!$N$5="All",Dashboard!$N$5=""),B52=Dashboard!$N$5),OR(OR(Dashboard!$Q$5="All",Dashboard!$Q$5=""),D52=Dashboard!$Q$5),OR(OR(Dashboard!$U$5="All",Dashboard!$U$5=""),E52=Dashboard!$U$5)),1,0))</f>
        <v>1</v>
      </c>
      <c r="O52" s="165">
        <f t="shared" si="4"/>
        <v>784</v>
      </c>
      <c r="AG52" s="178" t="str">
        <f>IF(E52="","",IFERROR(IF(INDEX('Item Purchases'!$AM$4:$AM$30,MATCH(E52,'Item Purchases'!$B$4:$B$30,0))="","Uncategorised",INDEX('Item Purchases'!$AM$4:$AM$30,MATCH(E52,'Item Purchases'!$B$4:$B$30,0))),"Uncategorised"))</f>
        <v>Beverages</v>
      </c>
      <c r="AH52" s="165">
        <f>IF(AND(E52&lt;&gt;"",L52=1),COUNTIFS($E$2:E52,E52,$L$2:L52,1),0)</f>
        <v>2</v>
      </c>
      <c r="AI52" s="165">
        <f t="shared" si="5"/>
        <v>28</v>
      </c>
      <c r="AJ52" s="165">
        <f t="shared" si="6"/>
        <v>1</v>
      </c>
    </row>
    <row r="53" spans="1:36" x14ac:dyDescent="0.25">
      <c r="A53" s="177">
        <f t="shared" si="7"/>
        <v>46267</v>
      </c>
      <c r="B53" s="178" t="str">
        <f t="shared" si="1"/>
        <v>Wed</v>
      </c>
      <c r="C53" s="178" t="str">
        <f>'Pantry Inventory'!$A$2</f>
        <v>Sep Week 1</v>
      </c>
      <c r="D53" s="178" t="str">
        <f>IF('Pantry Inventory'!A29="","",'Pantry Inventory'!A29)</f>
        <v>Oat Side</v>
      </c>
      <c r="E53" s="178" t="str">
        <f>IF('Pantry Inventory'!B29="","",'Pantry Inventory'!B29)</f>
        <v>Oat Side Original 200ml</v>
      </c>
      <c r="F53" s="178" t="str">
        <f>IF(E53="","",IFERROR(IF(INDEX('Item Purchases'!$S$4:$S$30,MATCH(E53,'Item Purchases'!$B$4:$B$30,0))="","Uncategorised",INDEX('Item Purchases'!$S$4:$S$30,MATCH(E53,'Item Purchases'!$B$4:$B$30,0))),"Uncategorised"))</f>
        <v>Other</v>
      </c>
      <c r="G53" s="178">
        <f>IF(E53="",0,'Pantry Inventory'!G29)</f>
        <v>0</v>
      </c>
      <c r="H53" s="178">
        <f>IF(E53="","",IF('Pantry Inventory'!H29="","",'Pantry Inventory'!H29))</f>
        <v>12</v>
      </c>
      <c r="I53" s="178">
        <f>IF(H53="","",'Pantry Inventory'!I29)</f>
        <v>12</v>
      </c>
      <c r="J53" s="179">
        <f>IF(E53="",0,IFERROR(INDEX('Item Purchases'!$Q$4:$Q$30,MATCH(E53,'Item Purchases'!$B$4:$B$30,0)),0))</f>
        <v>3</v>
      </c>
      <c r="K53" s="180">
        <f t="shared" si="2"/>
        <v>36</v>
      </c>
      <c r="L53" s="178">
        <f t="shared" si="3"/>
        <v>1</v>
      </c>
      <c r="M53" s="178">
        <f>IF(E53="",0,IF(AND(OR(OR(Dashboard!$E$5="All",Dashboard!$E$5=""),AG53=Dashboard!$E$5),OR(OR(Dashboard!$H$5="All",Dashboard!$H$5=""),F53=Dashboard!$H$5),OR(OR(Dashboard!$B$5="All",Dashboard!$B$5=""),C53=Dashboard!$B$5),OR(OR(Dashboard!$K$5="All",Dashboard!$K$5=""),A53=Dashboard!$K$5),OR(OR(Dashboard!$N$5="All",Dashboard!$N$5=""),B53=Dashboard!$N$5),OR(OR(Dashboard!$Q$5="All",Dashboard!$Q$5=""),D53=Dashboard!$Q$5),OR(OR(Dashboard!$U$5="All",Dashboard!$U$5=""),E53=Dashboard!$U$5)),1,0))</f>
        <v>1</v>
      </c>
      <c r="N53" s="178">
        <f>IF(E53="",0,IF(AND(OR(OR(Dashboard!$E$5="All",Dashboard!$E$5=""),AG53=Dashboard!$E$5),OR(OR(Dashboard!$B$5="All",Dashboard!$B$5=""),C53=Dashboard!$B$5),OR(OR(Dashboard!$K$5="All",Dashboard!$K$5=""),A53=Dashboard!$K$5),OR(OR(Dashboard!$N$5="All",Dashboard!$N$5=""),B53=Dashboard!$N$5),OR(OR(Dashboard!$Q$5="All",Dashboard!$Q$5=""),D53=Dashboard!$Q$5),OR(OR(Dashboard!$U$5="All",Dashboard!$U$5=""),E53=Dashboard!$U$5)),1,0))</f>
        <v>1</v>
      </c>
      <c r="O53" s="165">
        <f t="shared" si="4"/>
        <v>144</v>
      </c>
      <c r="AG53" s="178" t="str">
        <f>IF(E53="","",IFERROR(IF(INDEX('Item Purchases'!$AM$4:$AM$30,MATCH(E53,'Item Purchases'!$B$4:$B$30,0))="","Uncategorised",INDEX('Item Purchases'!$AM$4:$AM$30,MATCH(E53,'Item Purchases'!$B$4:$B$30,0))),"Uncategorised"))</f>
        <v>Beverages</v>
      </c>
      <c r="AH53" s="165">
        <f>IF(AND(E53&lt;&gt;"",L53=1),COUNTIFS($E$2:E53,E53,$L$2:L53,1),0)</f>
        <v>2</v>
      </c>
      <c r="AI53" s="165">
        <f t="shared" si="5"/>
        <v>12</v>
      </c>
      <c r="AJ53" s="165">
        <f t="shared" si="6"/>
        <v>1</v>
      </c>
    </row>
    <row r="54" spans="1:36" x14ac:dyDescent="0.25">
      <c r="A54" s="177">
        <f t="shared" si="7"/>
        <v>46267</v>
      </c>
      <c r="B54" s="178" t="str">
        <f t="shared" si="1"/>
        <v>Wed</v>
      </c>
      <c r="C54" s="178" t="str">
        <f>'Pantry Inventory'!$A$2</f>
        <v>Sep Week 1</v>
      </c>
      <c r="D54" s="178" t="str">
        <f>IF('Pantry Inventory'!A30="","",'Pantry Inventory'!A30)</f>
        <v>Oat Side</v>
      </c>
      <c r="E54" s="178" t="str">
        <f>IF('Pantry Inventory'!B30="","",'Pantry Inventory'!B30)</f>
        <v>Oat Side Chocolate 200ml</v>
      </c>
      <c r="F54" s="178" t="str">
        <f>IF(E54="","",IFERROR(IF(INDEX('Item Purchases'!$S$4:$S$30,MATCH(E54,'Item Purchases'!$B$4:$B$30,0))="","Uncategorised",INDEX('Item Purchases'!$S$4:$S$30,MATCH(E54,'Item Purchases'!$B$4:$B$30,0))),"Uncategorised"))</f>
        <v>Other</v>
      </c>
      <c r="G54" s="178">
        <f>IF(E54="",0,'Pantry Inventory'!G30)</f>
        <v>0</v>
      </c>
      <c r="H54" s="178">
        <f>IF(E54="","",IF('Pantry Inventory'!H30="","",'Pantry Inventory'!H30))</f>
        <v>0</v>
      </c>
      <c r="I54" s="178">
        <f>IF(H54="","",'Pantry Inventory'!I30)</f>
        <v>24</v>
      </c>
      <c r="J54" s="179">
        <f>IF(E54="",0,IFERROR(INDEX('Item Purchases'!$Q$4:$Q$30,MATCH(E54,'Item Purchases'!$B$4:$B$30,0)),0))</f>
        <v>3</v>
      </c>
      <c r="K54" s="180">
        <f t="shared" si="2"/>
        <v>72</v>
      </c>
      <c r="L54" s="178">
        <f t="shared" si="3"/>
        <v>1</v>
      </c>
      <c r="M54" s="178">
        <f>IF(E54="",0,IF(AND(OR(OR(Dashboard!$E$5="All",Dashboard!$E$5=""),AG54=Dashboard!$E$5),OR(OR(Dashboard!$H$5="All",Dashboard!$H$5=""),F54=Dashboard!$H$5),OR(OR(Dashboard!$B$5="All",Dashboard!$B$5=""),C54=Dashboard!$B$5),OR(OR(Dashboard!$K$5="All",Dashboard!$K$5=""),A54=Dashboard!$K$5),OR(OR(Dashboard!$N$5="All",Dashboard!$N$5=""),B54=Dashboard!$N$5),OR(OR(Dashboard!$Q$5="All",Dashboard!$Q$5=""),D54=Dashboard!$Q$5),OR(OR(Dashboard!$U$5="All",Dashboard!$U$5=""),E54=Dashboard!$U$5)),1,0))</f>
        <v>1</v>
      </c>
      <c r="N54" s="178">
        <f>IF(E54="",0,IF(AND(OR(OR(Dashboard!$E$5="All",Dashboard!$E$5=""),AG54=Dashboard!$E$5),OR(OR(Dashboard!$B$5="All",Dashboard!$B$5=""),C54=Dashboard!$B$5),OR(OR(Dashboard!$K$5="All",Dashboard!$K$5=""),A54=Dashboard!$K$5),OR(OR(Dashboard!$N$5="All",Dashboard!$N$5=""),B54=Dashboard!$N$5),OR(OR(Dashboard!$Q$5="All",Dashboard!$Q$5=""),D54=Dashboard!$Q$5),OR(OR(Dashboard!$U$5="All",Dashboard!$U$5=""),E54=Dashboard!$U$5)),1,0))</f>
        <v>1</v>
      </c>
      <c r="O54" s="165">
        <f t="shared" si="4"/>
        <v>0</v>
      </c>
      <c r="AG54" s="178" t="str">
        <f>IF(E54="","",IFERROR(IF(INDEX('Item Purchases'!$AM$4:$AM$30,MATCH(E54,'Item Purchases'!$B$4:$B$30,0))="","Uncategorised",INDEX('Item Purchases'!$AM$4:$AM$30,MATCH(E54,'Item Purchases'!$B$4:$B$30,0))),"Uncategorised"))</f>
        <v>Beverages</v>
      </c>
      <c r="AH54" s="165">
        <f>IF(AND(E54&lt;&gt;"",L54=1),COUNTIFS($E$2:E54,E54,$L$2:L54,1),0)</f>
        <v>2</v>
      </c>
      <c r="AI54" s="165">
        <f t="shared" si="5"/>
        <v>24</v>
      </c>
      <c r="AJ54" s="165">
        <f t="shared" si="6"/>
        <v>0</v>
      </c>
    </row>
    <row r="55" spans="1:36" x14ac:dyDescent="0.25">
      <c r="A55" s="177">
        <f t="shared" si="7"/>
        <v>46267</v>
      </c>
      <c r="B55" s="178" t="str">
        <f t="shared" si="1"/>
        <v>Wed</v>
      </c>
      <c r="C55" s="178" t="str">
        <f>'Pantry Inventory'!$A$2</f>
        <v>Sep Week 1</v>
      </c>
      <c r="D55" s="178" t="str">
        <f>IF('Pantry Inventory'!A31="","",'Pantry Inventory'!A31)</f>
        <v/>
      </c>
      <c r="E55" s="178" t="str">
        <f>IF('Pantry Inventory'!B31="","",'Pantry Inventory'!B31)</f>
        <v/>
      </c>
      <c r="F55" s="178" t="str">
        <f>IF(E55="","",IFERROR(IF(INDEX('Item Purchases'!$S$4:$S$30,MATCH(E55,'Item Purchases'!$B$4:$B$30,0))="","Uncategorised",INDEX('Item Purchases'!$S$4:$S$30,MATCH(E55,'Item Purchases'!$B$4:$B$30,0))),"Uncategorised"))</f>
        <v/>
      </c>
      <c r="G55" s="178">
        <f>IF(E55="",0,'Pantry Inventory'!G31)</f>
        <v>0</v>
      </c>
      <c r="H55" s="178" t="str">
        <f>IF(E55="","",IF('Pantry Inventory'!H31="","",'Pantry Inventory'!H31))</f>
        <v/>
      </c>
      <c r="I55" s="178" t="str">
        <f>IF(H55="","",'Pantry Inventory'!I31)</f>
        <v/>
      </c>
      <c r="J55" s="179">
        <f>IF(E55="",0,IFERROR(INDEX('Item Purchases'!$Q$4:$Q$30,MATCH(E55,'Item Purchases'!$B$4:$B$30,0)),0))</f>
        <v>0</v>
      </c>
      <c r="K55" s="180" t="str">
        <f t="shared" si="2"/>
        <v/>
      </c>
      <c r="L55" s="178">
        <f t="shared" si="3"/>
        <v>0</v>
      </c>
      <c r="M55" s="178">
        <f>IF(E55="",0,IF(AND(OR(OR(Dashboard!$E$5="All",Dashboard!$E$5=""),AG55=Dashboard!$E$5),OR(OR(Dashboard!$H$5="All",Dashboard!$H$5=""),F55=Dashboard!$H$5),OR(OR(Dashboard!$B$5="All",Dashboard!$B$5=""),C55=Dashboard!$B$5),OR(OR(Dashboard!$K$5="All",Dashboard!$K$5=""),A55=Dashboard!$K$5),OR(OR(Dashboard!$N$5="All",Dashboard!$N$5=""),B55=Dashboard!$N$5),OR(OR(Dashboard!$Q$5="All",Dashboard!$Q$5=""),D55=Dashboard!$Q$5),OR(OR(Dashboard!$U$5="All",Dashboard!$U$5=""),E55=Dashboard!$U$5)),1,0))</f>
        <v>0</v>
      </c>
      <c r="N55" s="178">
        <f>IF(E55="",0,IF(AND(OR(OR(Dashboard!$E$5="All",Dashboard!$E$5=""),AG55=Dashboard!$E$5),OR(OR(Dashboard!$B$5="All",Dashboard!$B$5=""),C55=Dashboard!$B$5),OR(OR(Dashboard!$K$5="All",Dashboard!$K$5=""),A55=Dashboard!$K$5),OR(OR(Dashboard!$N$5="All",Dashboard!$N$5=""),B55=Dashboard!$N$5),OR(OR(Dashboard!$Q$5="All",Dashboard!$Q$5=""),D55=Dashboard!$Q$5),OR(OR(Dashboard!$U$5="All",Dashboard!$U$5=""),E55=Dashboard!$U$5)),1,0))</f>
        <v>0</v>
      </c>
      <c r="O55" s="165">
        <f t="shared" si="4"/>
        <v>0</v>
      </c>
      <c r="AG55" s="178" t="str">
        <f>IF(E55="","",IFERROR(IF(INDEX('Item Purchases'!$AM$4:$AM$30,MATCH(E55,'Item Purchases'!$B$4:$B$30,0))="","Uncategorised",INDEX('Item Purchases'!$AM$4:$AM$30,MATCH(E55,'Item Purchases'!$B$4:$B$30,0))),"Uncategorised"))</f>
        <v/>
      </c>
      <c r="AH55" s="165">
        <f>IF(AND(E55&lt;&gt;"",L55=1),COUNTIFS($E$2:E55,E55,$L$2:L55,1),0)</f>
        <v>0</v>
      </c>
      <c r="AI55" s="165">
        <f t="shared" si="5"/>
        <v>0</v>
      </c>
      <c r="AJ55" s="165">
        <f t="shared" si="6"/>
        <v>0</v>
      </c>
    </row>
    <row r="56" spans="1:36" x14ac:dyDescent="0.25">
      <c r="A56" s="177">
        <f t="shared" ref="A56:A82" si="8">IF($Z$4="",0,$Z$4)</f>
        <v>46268</v>
      </c>
      <c r="B56" s="178" t="str">
        <f t="shared" si="1"/>
        <v>Thu</v>
      </c>
      <c r="C56" s="178" t="str">
        <f>'Pantry Inventory'!$A$2</f>
        <v>Sep Week 1</v>
      </c>
      <c r="D56" s="178" t="str">
        <f>IF('Pantry Inventory'!A5="","",'Pantry Inventory'!A5)</f>
        <v>Julie's</v>
      </c>
      <c r="E56" s="178" t="str">
        <f>IF('Pantry Inventory'!B5="","",'Pantry Inventory'!B5)</f>
        <v>Julie's Peanut Butter Sandwich 360g (12pkts x 30g)</v>
      </c>
      <c r="F56" s="178" t="str">
        <f>IF(E56="","",IFERROR(IF(INDEX('Item Purchases'!$S$4:$S$30,MATCH(E56,'Item Purchases'!$B$4:$B$30,0))="","Uncategorised",INDEX('Item Purchases'!$S$4:$S$30,MATCH(E56,'Item Purchases'!$B$4:$B$30,0))),"Uncategorised"))</f>
        <v>Sweet</v>
      </c>
      <c r="G56" s="178">
        <f>IF(E56="",0,'Pantry Inventory'!J5)</f>
        <v>36</v>
      </c>
      <c r="H56" s="178">
        <f>IF(E56="","",IF('Pantry Inventory'!K5="","",'Pantry Inventory'!K5))</f>
        <v>52</v>
      </c>
      <c r="I56" s="178">
        <f>IF(H56="","",'Pantry Inventory'!L5)</f>
        <v>8</v>
      </c>
      <c r="J56" s="179">
        <f>IF(E56="",0,IFERROR(INDEX('Item Purchases'!$Q$4:$Q$30,MATCH(E56,'Item Purchases'!$B$4:$B$30,0)),0))</f>
        <v>1.083</v>
      </c>
      <c r="K56" s="180">
        <f t="shared" si="2"/>
        <v>8.6639999999999997</v>
      </c>
      <c r="L56" s="178">
        <f t="shared" si="3"/>
        <v>1</v>
      </c>
      <c r="M56" s="178">
        <f>IF(E56="",0,IF(AND(OR(OR(Dashboard!$E$5="All",Dashboard!$E$5=""),AG56=Dashboard!$E$5),OR(OR(Dashboard!$H$5="All",Dashboard!$H$5=""),F56=Dashboard!$H$5),OR(OR(Dashboard!$B$5="All",Dashboard!$B$5=""),C56=Dashboard!$B$5),OR(OR(Dashboard!$K$5="All",Dashboard!$K$5=""),A56=Dashboard!$K$5),OR(OR(Dashboard!$N$5="All",Dashboard!$N$5=""),B56=Dashboard!$N$5),OR(OR(Dashboard!$Q$5="All",Dashboard!$Q$5=""),D56=Dashboard!$Q$5),OR(OR(Dashboard!$U$5="All",Dashboard!$U$5=""),E56=Dashboard!$U$5)),1,0))</f>
        <v>1</v>
      </c>
      <c r="N56" s="178">
        <f>IF(E56="",0,IF(AND(OR(OR(Dashboard!$E$5="All",Dashboard!$E$5=""),AG56=Dashboard!$E$5),OR(OR(Dashboard!$B$5="All",Dashboard!$B$5=""),C56=Dashboard!$B$5),OR(OR(Dashboard!$K$5="All",Dashboard!$K$5=""),A56=Dashboard!$K$5),OR(OR(Dashboard!$N$5="All",Dashboard!$N$5=""),B56=Dashboard!$N$5),OR(OR(Dashboard!$Q$5="All",Dashboard!$Q$5=""),D56=Dashboard!$Q$5),OR(OR(Dashboard!$U$5="All",Dashboard!$U$5=""),E56=Dashboard!$U$5)),1,0))</f>
        <v>1</v>
      </c>
      <c r="O56" s="165">
        <f t="shared" si="4"/>
        <v>64</v>
      </c>
      <c r="AG56" s="178" t="str">
        <f>IF(E56="","",IFERROR(IF(INDEX('Item Purchases'!$AM$4:$AM$30,MATCH(E56,'Item Purchases'!$B$4:$B$30,0))="","Uncategorised",INDEX('Item Purchases'!$AM$4:$AM$30,MATCH(E56,'Item Purchases'!$B$4:$B$30,0))),"Uncategorised"))</f>
        <v>Snacks</v>
      </c>
      <c r="AH56" s="165">
        <f>IF(AND(E56&lt;&gt;"",L56=1),COUNTIFS($E$2:E56,E56,$L$2:L56,1),0)</f>
        <v>3</v>
      </c>
      <c r="AI56" s="165">
        <f t="shared" si="5"/>
        <v>8</v>
      </c>
      <c r="AJ56" s="165">
        <f t="shared" si="6"/>
        <v>1</v>
      </c>
    </row>
    <row r="57" spans="1:36" x14ac:dyDescent="0.25">
      <c r="A57" s="177">
        <f t="shared" si="8"/>
        <v>46268</v>
      </c>
      <c r="B57" s="178" t="str">
        <f t="shared" si="1"/>
        <v>Thu</v>
      </c>
      <c r="C57" s="178" t="str">
        <f>'Pantry Inventory'!$A$2</f>
        <v>Sep Week 1</v>
      </c>
      <c r="D57" s="178" t="str">
        <f>IF('Pantry Inventory'!A6="","",'Pantry Inventory'!A6)</f>
        <v>Julie's</v>
      </c>
      <c r="E57" s="178" t="str">
        <f>IF('Pantry Inventory'!B6="","",'Pantry Inventory'!B6)</f>
        <v>Julies Butter Waffles</v>
      </c>
      <c r="F57" s="178" t="str">
        <f>IF(E57="","",IFERROR(IF(INDEX('Item Purchases'!$S$4:$S$30,MATCH(E57,'Item Purchases'!$B$4:$B$30,0))="","Uncategorised",INDEX('Item Purchases'!$S$4:$S$30,MATCH(E57,'Item Purchases'!$B$4:$B$30,0))),"Uncategorised"))</f>
        <v>Sweet</v>
      </c>
      <c r="G57" s="178">
        <f>IF(E57="",0,'Pantry Inventory'!J6)</f>
        <v>0</v>
      </c>
      <c r="H57" s="178">
        <f>IF(E57="","",IF('Pantry Inventory'!K6="","",'Pantry Inventory'!K6))</f>
        <v>11</v>
      </c>
      <c r="I57" s="178">
        <f>IF(H57="","",'Pantry Inventory'!L6)</f>
        <v>1</v>
      </c>
      <c r="J57" s="179">
        <f>IF(E57="",0,IFERROR(INDEX('Item Purchases'!$Q$4:$Q$30,MATCH(E57,'Item Purchases'!$B$4:$B$30,0)),0))</f>
        <v>5.15</v>
      </c>
      <c r="K57" s="180">
        <f t="shared" si="2"/>
        <v>5.15</v>
      </c>
      <c r="L57" s="178">
        <f t="shared" si="3"/>
        <v>1</v>
      </c>
      <c r="M57" s="178">
        <f>IF(E57="",0,IF(AND(OR(OR(Dashboard!$E$5="All",Dashboard!$E$5=""),AG57=Dashboard!$E$5),OR(OR(Dashboard!$H$5="All",Dashboard!$H$5=""),F57=Dashboard!$H$5),OR(OR(Dashboard!$B$5="All",Dashboard!$B$5=""),C57=Dashboard!$B$5),OR(OR(Dashboard!$K$5="All",Dashboard!$K$5=""),A57=Dashboard!$K$5),OR(OR(Dashboard!$N$5="All",Dashboard!$N$5=""),B57=Dashboard!$N$5),OR(OR(Dashboard!$Q$5="All",Dashboard!$Q$5=""),D57=Dashboard!$Q$5),OR(OR(Dashboard!$U$5="All",Dashboard!$U$5=""),E57=Dashboard!$U$5)),1,0))</f>
        <v>1</v>
      </c>
      <c r="N57" s="178">
        <f>IF(E57="",0,IF(AND(OR(OR(Dashboard!$E$5="All",Dashboard!$E$5=""),AG57=Dashboard!$E$5),OR(OR(Dashboard!$B$5="All",Dashboard!$B$5=""),C57=Dashboard!$B$5),OR(OR(Dashboard!$K$5="All",Dashboard!$K$5=""),A57=Dashboard!$K$5),OR(OR(Dashboard!$N$5="All",Dashboard!$N$5=""),B57=Dashboard!$N$5),OR(OR(Dashboard!$Q$5="All",Dashboard!$Q$5=""),D57=Dashboard!$Q$5),OR(OR(Dashboard!$U$5="All",Dashboard!$U$5=""),E57=Dashboard!$U$5)),1,0))</f>
        <v>1</v>
      </c>
      <c r="O57" s="165">
        <f t="shared" si="4"/>
        <v>1</v>
      </c>
      <c r="AG57" s="178" t="str">
        <f>IF(E57="","",IFERROR(IF(INDEX('Item Purchases'!$AM$4:$AM$30,MATCH(E57,'Item Purchases'!$B$4:$B$30,0))="","Uncategorised",INDEX('Item Purchases'!$AM$4:$AM$30,MATCH(E57,'Item Purchases'!$B$4:$B$30,0))),"Uncategorised"))</f>
        <v>Snacks</v>
      </c>
      <c r="AH57" s="165">
        <f>IF(AND(E57&lt;&gt;"",L57=1),COUNTIFS($E$2:E57,E57,$L$2:L57,1),0)</f>
        <v>3</v>
      </c>
      <c r="AI57" s="165">
        <f t="shared" si="5"/>
        <v>1</v>
      </c>
      <c r="AJ57" s="165">
        <f t="shared" si="6"/>
        <v>1</v>
      </c>
    </row>
    <row r="58" spans="1:36" x14ac:dyDescent="0.25">
      <c r="A58" s="177">
        <f t="shared" si="8"/>
        <v>46268</v>
      </c>
      <c r="B58" s="178" t="str">
        <f t="shared" si="1"/>
        <v>Thu</v>
      </c>
      <c r="C58" s="178" t="str">
        <f>'Pantry Inventory'!$A$2</f>
        <v>Sep Week 1</v>
      </c>
      <c r="D58" s="178" t="str">
        <f>IF('Pantry Inventory'!A7="","",'Pantry Inventory'!A7)</f>
        <v>Julie's</v>
      </c>
      <c r="E58" s="178" t="str">
        <f>IF('Pantry Inventory'!B7="","",'Pantry Inventory'!B7)</f>
        <v>Julies Choco More Sandwich (44G)</v>
      </c>
      <c r="F58" s="178" t="str">
        <f>IF(E58="","",IFERROR(IF(INDEX('Item Purchases'!$S$4:$S$30,MATCH(E58,'Item Purchases'!$B$4:$B$30,0))="","Uncategorised",INDEX('Item Purchases'!$S$4:$S$30,MATCH(E58,'Item Purchases'!$B$4:$B$30,0))),"Uncategorised"))</f>
        <v>Sweet</v>
      </c>
      <c r="G58" s="178">
        <f>IF(E58="",0,'Pantry Inventory'!J7)</f>
        <v>0</v>
      </c>
      <c r="H58" s="178">
        <f>IF(E58="","",IF('Pantry Inventory'!K7="","",'Pantry Inventory'!K7))</f>
        <v>0</v>
      </c>
      <c r="I58" s="178">
        <f>IF(H58="","",'Pantry Inventory'!L7)</f>
        <v>0</v>
      </c>
      <c r="J58" s="179">
        <f>IF(E58="",0,IFERROR(INDEX('Item Purchases'!$Q$4:$Q$30,MATCH(E58,'Item Purchases'!$B$4:$B$30,0)),0))</f>
        <v>1.2</v>
      </c>
      <c r="K58" s="180">
        <f t="shared" si="2"/>
        <v>0</v>
      </c>
      <c r="L58" s="178">
        <f t="shared" si="3"/>
        <v>1</v>
      </c>
      <c r="M58" s="178">
        <f>IF(E58="",0,IF(AND(OR(OR(Dashboard!$E$5="All",Dashboard!$E$5=""),AG58=Dashboard!$E$5),OR(OR(Dashboard!$H$5="All",Dashboard!$H$5=""),F58=Dashboard!$H$5),OR(OR(Dashboard!$B$5="All",Dashboard!$B$5=""),C58=Dashboard!$B$5),OR(OR(Dashboard!$K$5="All",Dashboard!$K$5=""),A58=Dashboard!$K$5),OR(OR(Dashboard!$N$5="All",Dashboard!$N$5=""),B58=Dashboard!$N$5),OR(OR(Dashboard!$Q$5="All",Dashboard!$Q$5=""),D58=Dashboard!$Q$5),OR(OR(Dashboard!$U$5="All",Dashboard!$U$5=""),E58=Dashboard!$U$5)),1,0))</f>
        <v>1</v>
      </c>
      <c r="N58" s="178">
        <f>IF(E58="",0,IF(AND(OR(OR(Dashboard!$E$5="All",Dashboard!$E$5=""),AG58=Dashboard!$E$5),OR(OR(Dashboard!$B$5="All",Dashboard!$B$5=""),C58=Dashboard!$B$5),OR(OR(Dashboard!$K$5="All",Dashboard!$K$5=""),A58=Dashboard!$K$5),OR(OR(Dashboard!$N$5="All",Dashboard!$N$5=""),B58=Dashboard!$N$5),OR(OR(Dashboard!$Q$5="All",Dashboard!$Q$5=""),D58=Dashboard!$Q$5),OR(OR(Dashboard!$U$5="All",Dashboard!$U$5=""),E58=Dashboard!$U$5)),1,0))</f>
        <v>1</v>
      </c>
      <c r="O58" s="165">
        <f t="shared" si="4"/>
        <v>0</v>
      </c>
      <c r="AG58" s="178" t="str">
        <f>IF(E58="","",IFERROR(IF(INDEX('Item Purchases'!$AM$4:$AM$30,MATCH(E58,'Item Purchases'!$B$4:$B$30,0))="","Uncategorised",INDEX('Item Purchases'!$AM$4:$AM$30,MATCH(E58,'Item Purchases'!$B$4:$B$30,0))),"Uncategorised"))</f>
        <v>Snacks</v>
      </c>
      <c r="AH58" s="165">
        <f>IF(AND(E58&lt;&gt;"",L58=1),COUNTIFS($E$2:E58,E58,$L$2:L58,1),0)</f>
        <v>3</v>
      </c>
      <c r="AI58" s="165">
        <f t="shared" si="5"/>
        <v>0</v>
      </c>
      <c r="AJ58" s="165">
        <f t="shared" si="6"/>
        <v>0</v>
      </c>
    </row>
    <row r="59" spans="1:36" x14ac:dyDescent="0.25">
      <c r="A59" s="177">
        <f t="shared" si="8"/>
        <v>46268</v>
      </c>
      <c r="B59" s="178" t="str">
        <f t="shared" si="1"/>
        <v>Thu</v>
      </c>
      <c r="C59" s="178" t="str">
        <f>'Pantry Inventory'!$A$2</f>
        <v>Sep Week 1</v>
      </c>
      <c r="D59" s="178" t="str">
        <f>IF('Pantry Inventory'!A8="","",'Pantry Inventory'!A8)</f>
        <v>Julie's</v>
      </c>
      <c r="E59" s="178" t="str">
        <f>IF('Pantry Inventory'!B8="","",'Pantry Inventory'!B8)</f>
        <v>Julies Cheese Sandwich (28G)</v>
      </c>
      <c r="F59" s="178" t="str">
        <f>IF(E59="","",IFERROR(IF(INDEX('Item Purchases'!$S$4:$S$30,MATCH(E59,'Item Purchases'!$B$4:$B$30,0))="","Uncategorised",INDEX('Item Purchases'!$S$4:$S$30,MATCH(E59,'Item Purchases'!$B$4:$B$30,0))),"Uncategorised"))</f>
        <v>Savoury</v>
      </c>
      <c r="G59" s="178">
        <f>IF(E59="",0,'Pantry Inventory'!J8)</f>
        <v>0</v>
      </c>
      <c r="H59" s="178">
        <f>IF(E59="","",IF('Pantry Inventory'!K8="","",'Pantry Inventory'!K8))</f>
        <v>24</v>
      </c>
      <c r="I59" s="178">
        <f>IF(H59="","",'Pantry Inventory'!L8)</f>
        <v>12</v>
      </c>
      <c r="J59" s="179">
        <f>IF(E59="",0,IFERROR(INDEX('Item Purchases'!$Q$4:$Q$30,MATCH(E59,'Item Purchases'!$B$4:$B$30,0)),0))</f>
        <v>1.1000000000000001</v>
      </c>
      <c r="K59" s="180">
        <f t="shared" si="2"/>
        <v>13.200000000000001</v>
      </c>
      <c r="L59" s="178">
        <f t="shared" si="3"/>
        <v>1</v>
      </c>
      <c r="M59" s="178">
        <f>IF(E59="",0,IF(AND(OR(OR(Dashboard!$E$5="All",Dashboard!$E$5=""),AG59=Dashboard!$E$5),OR(OR(Dashboard!$H$5="All",Dashboard!$H$5=""),F59=Dashboard!$H$5),OR(OR(Dashboard!$B$5="All",Dashboard!$B$5=""),C59=Dashboard!$B$5),OR(OR(Dashboard!$K$5="All",Dashboard!$K$5=""),A59=Dashboard!$K$5),OR(OR(Dashboard!$N$5="All",Dashboard!$N$5=""),B59=Dashboard!$N$5),OR(OR(Dashboard!$Q$5="All",Dashboard!$Q$5=""),D59=Dashboard!$Q$5),OR(OR(Dashboard!$U$5="All",Dashboard!$U$5=""),E59=Dashboard!$U$5)),1,0))</f>
        <v>1</v>
      </c>
      <c r="N59" s="178">
        <f>IF(E59="",0,IF(AND(OR(OR(Dashboard!$E$5="All",Dashboard!$E$5=""),AG59=Dashboard!$E$5),OR(OR(Dashboard!$B$5="All",Dashboard!$B$5=""),C59=Dashboard!$B$5),OR(OR(Dashboard!$K$5="All",Dashboard!$K$5=""),A59=Dashboard!$K$5),OR(OR(Dashboard!$N$5="All",Dashboard!$N$5=""),B59=Dashboard!$N$5),OR(OR(Dashboard!$Q$5="All",Dashboard!$Q$5=""),D59=Dashboard!$Q$5),OR(OR(Dashboard!$U$5="All",Dashboard!$U$5=""),E59=Dashboard!$U$5)),1,0))</f>
        <v>1</v>
      </c>
      <c r="O59" s="165">
        <f t="shared" si="4"/>
        <v>144</v>
      </c>
      <c r="AG59" s="178" t="str">
        <f>IF(E59="","",IFERROR(IF(INDEX('Item Purchases'!$AM$4:$AM$30,MATCH(E59,'Item Purchases'!$B$4:$B$30,0))="","Uncategorised",INDEX('Item Purchases'!$AM$4:$AM$30,MATCH(E59,'Item Purchases'!$B$4:$B$30,0))),"Uncategorised"))</f>
        <v>Snacks</v>
      </c>
      <c r="AH59" s="165">
        <f>IF(AND(E59&lt;&gt;"",L59=1),COUNTIFS($E$2:E59,E59,$L$2:L59,1),0)</f>
        <v>3</v>
      </c>
      <c r="AI59" s="165">
        <f t="shared" si="5"/>
        <v>12</v>
      </c>
      <c r="AJ59" s="165">
        <f t="shared" si="6"/>
        <v>1</v>
      </c>
    </row>
    <row r="60" spans="1:36" x14ac:dyDescent="0.25">
      <c r="A60" s="177">
        <f t="shared" si="8"/>
        <v>46268</v>
      </c>
      <c r="B60" s="178" t="str">
        <f t="shared" si="1"/>
        <v>Thu</v>
      </c>
      <c r="C60" s="178" t="str">
        <f>'Pantry Inventory'!$A$2</f>
        <v>Sep Week 1</v>
      </c>
      <c r="D60" s="178" t="str">
        <f>IF('Pantry Inventory'!A9="","",'Pantry Inventory'!A9)</f>
        <v>Nature Valley</v>
      </c>
      <c r="E60" s="178" t="str">
        <f>IF('Pantry Inventory'!B9="","",'Pantry Inventory'!B9)</f>
        <v>NV OATS &amp; DARK CHOC 42GX5</v>
      </c>
      <c r="F60" s="178" t="str">
        <f>IF(E60="","",IFERROR(IF(INDEX('Item Purchases'!$S$4:$S$30,MATCH(E60,'Item Purchases'!$B$4:$B$30,0))="","Uncategorised",INDEX('Item Purchases'!$S$4:$S$30,MATCH(E60,'Item Purchases'!$B$4:$B$30,0))),"Uncategorised"))</f>
        <v>Sweet</v>
      </c>
      <c r="G60" s="178">
        <f>IF(E60="",0,'Pantry Inventory'!J9)</f>
        <v>0</v>
      </c>
      <c r="H60" s="178">
        <f>IF(E60="","",IF('Pantry Inventory'!K9="","",'Pantry Inventory'!K9))</f>
        <v>0</v>
      </c>
      <c r="I60" s="178">
        <f>IF(H60="","",'Pantry Inventory'!L9)</f>
        <v>4</v>
      </c>
      <c r="J60" s="179">
        <f>IF(E60="",0,IFERROR(INDEX('Item Purchases'!$Q$4:$Q$30,MATCH(E60,'Item Purchases'!$B$4:$B$30,0)),0))</f>
        <v>2.78</v>
      </c>
      <c r="K60" s="180">
        <f t="shared" si="2"/>
        <v>11.12</v>
      </c>
      <c r="L60" s="178">
        <f t="shared" si="3"/>
        <v>1</v>
      </c>
      <c r="M60" s="178">
        <f>IF(E60="",0,IF(AND(OR(OR(Dashboard!$E$5="All",Dashboard!$E$5=""),AG60=Dashboard!$E$5),OR(OR(Dashboard!$H$5="All",Dashboard!$H$5=""),F60=Dashboard!$H$5),OR(OR(Dashboard!$B$5="All",Dashboard!$B$5=""),C60=Dashboard!$B$5),OR(OR(Dashboard!$K$5="All",Dashboard!$K$5=""),A60=Dashboard!$K$5),OR(OR(Dashboard!$N$5="All",Dashboard!$N$5=""),B60=Dashboard!$N$5),OR(OR(Dashboard!$Q$5="All",Dashboard!$Q$5=""),D60=Dashboard!$Q$5),OR(OR(Dashboard!$U$5="All",Dashboard!$U$5=""),E60=Dashboard!$U$5)),1,0))</f>
        <v>1</v>
      </c>
      <c r="N60" s="178">
        <f>IF(E60="",0,IF(AND(OR(OR(Dashboard!$E$5="All",Dashboard!$E$5=""),AG60=Dashboard!$E$5),OR(OR(Dashboard!$B$5="All",Dashboard!$B$5=""),C60=Dashboard!$B$5),OR(OR(Dashboard!$K$5="All",Dashboard!$K$5=""),A60=Dashboard!$K$5),OR(OR(Dashboard!$N$5="All",Dashboard!$N$5=""),B60=Dashboard!$N$5),OR(OR(Dashboard!$Q$5="All",Dashboard!$Q$5=""),D60=Dashboard!$Q$5),OR(OR(Dashboard!$U$5="All",Dashboard!$U$5=""),E60=Dashboard!$U$5)),1,0))</f>
        <v>1</v>
      </c>
      <c r="O60" s="165">
        <f t="shared" si="4"/>
        <v>0</v>
      </c>
      <c r="AG60" s="178" t="str">
        <f>IF(E60="","",IFERROR(IF(INDEX('Item Purchases'!$AM$4:$AM$30,MATCH(E60,'Item Purchases'!$B$4:$B$30,0))="","Uncategorised",INDEX('Item Purchases'!$AM$4:$AM$30,MATCH(E60,'Item Purchases'!$B$4:$B$30,0))),"Uncategorised"))</f>
        <v>Snacks</v>
      </c>
      <c r="AH60" s="165">
        <f>IF(AND(E60&lt;&gt;"",L60=1),COUNTIFS($E$2:E60,E60,$L$2:L60,1),0)</f>
        <v>3</v>
      </c>
      <c r="AI60" s="165">
        <f t="shared" si="5"/>
        <v>4</v>
      </c>
      <c r="AJ60" s="165">
        <f t="shared" si="6"/>
        <v>0</v>
      </c>
    </row>
    <row r="61" spans="1:36" x14ac:dyDescent="0.25">
      <c r="A61" s="177">
        <f t="shared" si="8"/>
        <v>46268</v>
      </c>
      <c r="B61" s="178" t="str">
        <f t="shared" si="1"/>
        <v>Thu</v>
      </c>
      <c r="C61" s="178" t="str">
        <f>'Pantry Inventory'!$A$2</f>
        <v>Sep Week 1</v>
      </c>
      <c r="D61" s="178" t="str">
        <f>IF('Pantry Inventory'!A10="","",'Pantry Inventory'!A10)</f>
        <v>Nature Valley</v>
      </c>
      <c r="E61" s="178" t="str">
        <f>IF('Pantry Inventory'!B10="","",'Pantry Inventory'!B10)</f>
        <v xml:space="preserve">NV PROTEIN - SALTED CARAMEL 40G </v>
      </c>
      <c r="F61" s="178" t="str">
        <f>IF(E61="","",IFERROR(IF(INDEX('Item Purchases'!$S$4:$S$30,MATCH(E61,'Item Purchases'!$B$4:$B$30,0))="","Uncategorised",INDEX('Item Purchases'!$S$4:$S$30,MATCH(E61,'Item Purchases'!$B$4:$B$30,0))),"Uncategorised"))</f>
        <v>Sweet</v>
      </c>
      <c r="G61" s="178">
        <f>IF(E61="",0,'Pantry Inventory'!J10)</f>
        <v>0</v>
      </c>
      <c r="H61" s="178">
        <f>IF(E61="","",IF('Pantry Inventory'!K10="","",'Pantry Inventory'!K10))</f>
        <v>0</v>
      </c>
      <c r="I61" s="178">
        <f>IF(H61="","",'Pantry Inventory'!L10)</f>
        <v>0</v>
      </c>
      <c r="J61" s="179">
        <f>IF(E61="",0,IFERROR(INDEX('Item Purchases'!$Q$4:$Q$30,MATCH(E61,'Item Purchases'!$B$4:$B$30,0)),0))</f>
        <v>4.9000000000000004</v>
      </c>
      <c r="K61" s="180">
        <f t="shared" si="2"/>
        <v>0</v>
      </c>
      <c r="L61" s="178">
        <f t="shared" si="3"/>
        <v>1</v>
      </c>
      <c r="M61" s="178">
        <f>IF(E61="",0,IF(AND(OR(OR(Dashboard!$E$5="All",Dashboard!$E$5=""),AG61=Dashboard!$E$5),OR(OR(Dashboard!$H$5="All",Dashboard!$H$5=""),F61=Dashboard!$H$5),OR(OR(Dashboard!$B$5="All",Dashboard!$B$5=""),C61=Dashboard!$B$5),OR(OR(Dashboard!$K$5="All",Dashboard!$K$5=""),A61=Dashboard!$K$5),OR(OR(Dashboard!$N$5="All",Dashboard!$N$5=""),B61=Dashboard!$N$5),OR(OR(Dashboard!$Q$5="All",Dashboard!$Q$5=""),D61=Dashboard!$Q$5),OR(OR(Dashboard!$U$5="All",Dashboard!$U$5=""),E61=Dashboard!$U$5)),1,0))</f>
        <v>1</v>
      </c>
      <c r="N61" s="178">
        <f>IF(E61="",0,IF(AND(OR(OR(Dashboard!$E$5="All",Dashboard!$E$5=""),AG61=Dashboard!$E$5),OR(OR(Dashboard!$B$5="All",Dashboard!$B$5=""),C61=Dashboard!$B$5),OR(OR(Dashboard!$K$5="All",Dashboard!$K$5=""),A61=Dashboard!$K$5),OR(OR(Dashboard!$N$5="All",Dashboard!$N$5=""),B61=Dashboard!$N$5),OR(OR(Dashboard!$Q$5="All",Dashboard!$Q$5=""),D61=Dashboard!$Q$5),OR(OR(Dashboard!$U$5="All",Dashboard!$U$5=""),E61=Dashboard!$U$5)),1,0))</f>
        <v>1</v>
      </c>
      <c r="O61" s="165">
        <f t="shared" si="4"/>
        <v>0</v>
      </c>
      <c r="AG61" s="178" t="str">
        <f>IF(E61="","",IFERROR(IF(INDEX('Item Purchases'!$AM$4:$AM$30,MATCH(E61,'Item Purchases'!$B$4:$B$30,0))="","Uncategorised",INDEX('Item Purchases'!$AM$4:$AM$30,MATCH(E61,'Item Purchases'!$B$4:$B$30,0))),"Uncategorised"))</f>
        <v>Snacks</v>
      </c>
      <c r="AH61" s="165">
        <f>IF(AND(E61&lt;&gt;"",L61=1),COUNTIFS($E$2:E61,E61,$L$2:L61,1),0)</f>
        <v>3</v>
      </c>
      <c r="AI61" s="165">
        <f t="shared" si="5"/>
        <v>0</v>
      </c>
      <c r="AJ61" s="165">
        <f t="shared" si="6"/>
        <v>0</v>
      </c>
    </row>
    <row r="62" spans="1:36" x14ac:dyDescent="0.25">
      <c r="A62" s="177">
        <f t="shared" si="8"/>
        <v>46268</v>
      </c>
      <c r="B62" s="178" t="str">
        <f t="shared" si="1"/>
        <v>Thu</v>
      </c>
      <c r="C62" s="178" t="str">
        <f>'Pantry Inventory'!$A$2</f>
        <v>Sep Week 1</v>
      </c>
      <c r="D62" s="178" t="str">
        <f>IF('Pantry Inventory'!A11="","",'Pantry Inventory'!A11)</f>
        <v>BBMG</v>
      </c>
      <c r="E62" s="178" t="str">
        <f>IF('Pantry Inventory'!B11="","",'Pantry Inventory'!B11)</f>
        <v>BBMG 90G</v>
      </c>
      <c r="F62" s="178" t="str">
        <f>IF(E62="","",IFERROR(IF(INDEX('Item Purchases'!$S$4:$S$30,MATCH(E62,'Item Purchases'!$B$4:$B$30,0))="","Uncategorised",INDEX('Item Purchases'!$S$4:$S$30,MATCH(E62,'Item Purchases'!$B$4:$B$30,0))),"Uncategorised"))</f>
        <v>Savoury</v>
      </c>
      <c r="G62" s="178">
        <f>IF(E62="",0,'Pantry Inventory'!J11)</f>
        <v>0</v>
      </c>
      <c r="H62" s="178">
        <f>IF(E62="","",IF('Pantry Inventory'!K11="","",'Pantry Inventory'!K11))</f>
        <v>0</v>
      </c>
      <c r="I62" s="178">
        <f>IF(H62="","",'Pantry Inventory'!L11)</f>
        <v>0</v>
      </c>
      <c r="J62" s="179">
        <f>IF(E62="",0,IFERROR(INDEX('Item Purchases'!$Q$4:$Q$30,MATCH(E62,'Item Purchases'!$B$4:$B$30,0)),0))</f>
        <v>0.34300000000000003</v>
      </c>
      <c r="K62" s="180">
        <f t="shared" si="2"/>
        <v>0</v>
      </c>
      <c r="L62" s="178">
        <f t="shared" si="3"/>
        <v>1</v>
      </c>
      <c r="M62" s="178">
        <f>IF(E62="",0,IF(AND(OR(OR(Dashboard!$E$5="All",Dashboard!$E$5=""),AG62=Dashboard!$E$5),OR(OR(Dashboard!$H$5="All",Dashboard!$H$5=""),F62=Dashboard!$H$5),OR(OR(Dashboard!$B$5="All",Dashboard!$B$5=""),C62=Dashboard!$B$5),OR(OR(Dashboard!$K$5="All",Dashboard!$K$5=""),A62=Dashboard!$K$5),OR(OR(Dashboard!$N$5="All",Dashboard!$N$5=""),B62=Dashboard!$N$5),OR(OR(Dashboard!$Q$5="All",Dashboard!$Q$5=""),D62=Dashboard!$Q$5),OR(OR(Dashboard!$U$5="All",Dashboard!$U$5=""),E62=Dashboard!$U$5)),1,0))</f>
        <v>1</v>
      </c>
      <c r="N62" s="178">
        <f>IF(E62="",0,IF(AND(OR(OR(Dashboard!$E$5="All",Dashboard!$E$5=""),AG62=Dashboard!$E$5),OR(OR(Dashboard!$B$5="All",Dashboard!$B$5=""),C62=Dashboard!$B$5),OR(OR(Dashboard!$K$5="All",Dashboard!$K$5=""),A62=Dashboard!$K$5),OR(OR(Dashboard!$N$5="All",Dashboard!$N$5=""),B62=Dashboard!$N$5),OR(OR(Dashboard!$Q$5="All",Dashboard!$Q$5=""),D62=Dashboard!$Q$5),OR(OR(Dashboard!$U$5="All",Dashboard!$U$5=""),E62=Dashboard!$U$5)),1,0))</f>
        <v>1</v>
      </c>
      <c r="O62" s="165">
        <f t="shared" si="4"/>
        <v>0</v>
      </c>
      <c r="AG62" s="178" t="str">
        <f>IF(E62="","",IFERROR(IF(INDEX('Item Purchases'!$AM$4:$AM$30,MATCH(E62,'Item Purchases'!$B$4:$B$30,0))="","Uncategorised",INDEX('Item Purchases'!$AM$4:$AM$30,MATCH(E62,'Item Purchases'!$B$4:$B$30,0))),"Uncategorised"))</f>
        <v>Snacks</v>
      </c>
      <c r="AH62" s="165">
        <f>IF(AND(E62&lt;&gt;"",L62=1),COUNTIFS($E$2:E62,E62,$L$2:L62,1),0)</f>
        <v>3</v>
      </c>
      <c r="AI62" s="165">
        <f t="shared" si="5"/>
        <v>0</v>
      </c>
      <c r="AJ62" s="165">
        <f t="shared" si="6"/>
        <v>0</v>
      </c>
    </row>
    <row r="63" spans="1:36" x14ac:dyDescent="0.25">
      <c r="A63" s="177">
        <f t="shared" si="8"/>
        <v>46268</v>
      </c>
      <c r="B63" s="178" t="str">
        <f t="shared" si="1"/>
        <v>Thu</v>
      </c>
      <c r="C63" s="178" t="str">
        <f>'Pantry Inventory'!$A$2</f>
        <v>Sep Week 1</v>
      </c>
      <c r="D63" s="178" t="str">
        <f>IF('Pantry Inventory'!A12="","",'Pantry Inventory'!A12)</f>
        <v>Lays</v>
      </c>
      <c r="E63" s="178" t="str">
        <f>IF('Pantry Inventory'!B12="","",'Pantry Inventory'!B12)</f>
        <v>Lays Potato Chips (Original) 50g</v>
      </c>
      <c r="F63" s="178" t="str">
        <f>IF(E63="","",IFERROR(IF(INDEX('Item Purchases'!$S$4:$S$30,MATCH(E63,'Item Purchases'!$B$4:$B$30,0))="","Uncategorised",INDEX('Item Purchases'!$S$4:$S$30,MATCH(E63,'Item Purchases'!$B$4:$B$30,0))),"Uncategorised"))</f>
        <v>Savoury</v>
      </c>
      <c r="G63" s="178">
        <f>IF(E63="",0,'Pantry Inventory'!J12)</f>
        <v>24</v>
      </c>
      <c r="H63" s="178">
        <f>IF(E63="","",IF('Pantry Inventory'!K12="","",'Pantry Inventory'!K12))</f>
        <v>40</v>
      </c>
      <c r="I63" s="178">
        <f>IF(H63="","",'Pantry Inventory'!L12)</f>
        <v>4</v>
      </c>
      <c r="J63" s="179">
        <f>IF(E63="",0,IFERROR(INDEX('Item Purchases'!$Q$4:$Q$30,MATCH(E63,'Item Purchases'!$B$4:$B$30,0)),0))</f>
        <v>3.4580000000000002</v>
      </c>
      <c r="K63" s="180">
        <f t="shared" si="2"/>
        <v>13.832000000000001</v>
      </c>
      <c r="L63" s="178">
        <f t="shared" si="3"/>
        <v>1</v>
      </c>
      <c r="M63" s="178">
        <f>IF(E63="",0,IF(AND(OR(OR(Dashboard!$E$5="All",Dashboard!$E$5=""),AG63=Dashboard!$E$5),OR(OR(Dashboard!$H$5="All",Dashboard!$H$5=""),F63=Dashboard!$H$5),OR(OR(Dashboard!$B$5="All",Dashboard!$B$5=""),C63=Dashboard!$B$5),OR(OR(Dashboard!$K$5="All",Dashboard!$K$5=""),A63=Dashboard!$K$5),OR(OR(Dashboard!$N$5="All",Dashboard!$N$5=""),B63=Dashboard!$N$5),OR(OR(Dashboard!$Q$5="All",Dashboard!$Q$5=""),D63=Dashboard!$Q$5),OR(OR(Dashboard!$U$5="All",Dashboard!$U$5=""),E63=Dashboard!$U$5)),1,0))</f>
        <v>1</v>
      </c>
      <c r="N63" s="178">
        <f>IF(E63="",0,IF(AND(OR(OR(Dashboard!$E$5="All",Dashboard!$E$5=""),AG63=Dashboard!$E$5),OR(OR(Dashboard!$B$5="All",Dashboard!$B$5=""),C63=Dashboard!$B$5),OR(OR(Dashboard!$K$5="All",Dashboard!$K$5=""),A63=Dashboard!$K$5),OR(OR(Dashboard!$N$5="All",Dashboard!$N$5=""),B63=Dashboard!$N$5),OR(OR(Dashboard!$Q$5="All",Dashboard!$Q$5=""),D63=Dashboard!$Q$5),OR(OR(Dashboard!$U$5="All",Dashboard!$U$5=""),E63=Dashboard!$U$5)),1,0))</f>
        <v>1</v>
      </c>
      <c r="O63" s="165">
        <f t="shared" si="4"/>
        <v>16</v>
      </c>
      <c r="AG63" s="178" t="str">
        <f>IF(E63="","",IFERROR(IF(INDEX('Item Purchases'!$AM$4:$AM$30,MATCH(E63,'Item Purchases'!$B$4:$B$30,0))="","Uncategorised",INDEX('Item Purchases'!$AM$4:$AM$30,MATCH(E63,'Item Purchases'!$B$4:$B$30,0))),"Uncategorised"))</f>
        <v>Snacks</v>
      </c>
      <c r="AH63" s="165">
        <f>IF(AND(E63&lt;&gt;"",L63=1),COUNTIFS($E$2:E63,E63,$L$2:L63,1),0)</f>
        <v>3</v>
      </c>
      <c r="AI63" s="165">
        <f t="shared" si="5"/>
        <v>4</v>
      </c>
      <c r="AJ63" s="165">
        <f t="shared" si="6"/>
        <v>1</v>
      </c>
    </row>
    <row r="64" spans="1:36" x14ac:dyDescent="0.25">
      <c r="A64" s="177">
        <f t="shared" si="8"/>
        <v>46268</v>
      </c>
      <c r="B64" s="178" t="str">
        <f t="shared" si="1"/>
        <v>Thu</v>
      </c>
      <c r="C64" s="178" t="str">
        <f>'Pantry Inventory'!$A$2</f>
        <v>Sep Week 1</v>
      </c>
      <c r="D64" s="178" t="str">
        <f>IF('Pantry Inventory'!A13="","",'Pantry Inventory'!A13)</f>
        <v>Lays</v>
      </c>
      <c r="E64" s="178" t="str">
        <f>IF('Pantry Inventory'!B13="","",'Pantry Inventory'!B13)</f>
        <v xml:space="preserve">Lays Double Crunch - Seaweed Flav (50g) </v>
      </c>
      <c r="F64" s="178" t="str">
        <f>IF(E64="","",IFERROR(IF(INDEX('Item Purchases'!$S$4:$S$30,MATCH(E64,'Item Purchases'!$B$4:$B$30,0))="","Uncategorised",INDEX('Item Purchases'!$S$4:$S$30,MATCH(E64,'Item Purchases'!$B$4:$B$30,0))),"Uncategorised"))</f>
        <v>Savoury</v>
      </c>
      <c r="G64" s="178">
        <f>IF(E64="",0,'Pantry Inventory'!J13)</f>
        <v>24</v>
      </c>
      <c r="H64" s="178">
        <f>IF(E64="","",IF('Pantry Inventory'!K13="","",'Pantry Inventory'!K13))</f>
        <v>24</v>
      </c>
      <c r="I64" s="178">
        <f>IF(H64="","",'Pantry Inventory'!L13)</f>
        <v>24</v>
      </c>
      <c r="J64" s="179">
        <f>IF(E64="",0,IFERROR(INDEX('Item Purchases'!$Q$4:$Q$30,MATCH(E64,'Item Purchases'!$B$4:$B$30,0)),0))</f>
        <v>4</v>
      </c>
      <c r="K64" s="180">
        <f t="shared" si="2"/>
        <v>96</v>
      </c>
      <c r="L64" s="178">
        <f t="shared" si="3"/>
        <v>1</v>
      </c>
      <c r="M64" s="178">
        <f>IF(E64="",0,IF(AND(OR(OR(Dashboard!$E$5="All",Dashboard!$E$5=""),AG64=Dashboard!$E$5),OR(OR(Dashboard!$H$5="All",Dashboard!$H$5=""),F64=Dashboard!$H$5),OR(OR(Dashboard!$B$5="All",Dashboard!$B$5=""),C64=Dashboard!$B$5),OR(OR(Dashboard!$K$5="All",Dashboard!$K$5=""),A64=Dashboard!$K$5),OR(OR(Dashboard!$N$5="All",Dashboard!$N$5=""),B64=Dashboard!$N$5),OR(OR(Dashboard!$Q$5="All",Dashboard!$Q$5=""),D64=Dashboard!$Q$5),OR(OR(Dashboard!$U$5="All",Dashboard!$U$5=""),E64=Dashboard!$U$5)),1,0))</f>
        <v>1</v>
      </c>
      <c r="N64" s="178">
        <f>IF(E64="",0,IF(AND(OR(OR(Dashboard!$E$5="All",Dashboard!$E$5=""),AG64=Dashboard!$E$5),OR(OR(Dashboard!$B$5="All",Dashboard!$B$5=""),C64=Dashboard!$B$5),OR(OR(Dashboard!$K$5="All",Dashboard!$K$5=""),A64=Dashboard!$K$5),OR(OR(Dashboard!$N$5="All",Dashboard!$N$5=""),B64=Dashboard!$N$5),OR(OR(Dashboard!$Q$5="All",Dashboard!$Q$5=""),D64=Dashboard!$Q$5),OR(OR(Dashboard!$U$5="All",Dashboard!$U$5=""),E64=Dashboard!$U$5)),1,0))</f>
        <v>1</v>
      </c>
      <c r="O64" s="165">
        <f t="shared" si="4"/>
        <v>576</v>
      </c>
      <c r="AG64" s="178" t="str">
        <f>IF(E64="","",IFERROR(IF(INDEX('Item Purchases'!$AM$4:$AM$30,MATCH(E64,'Item Purchases'!$B$4:$B$30,0))="","Uncategorised",INDEX('Item Purchases'!$AM$4:$AM$30,MATCH(E64,'Item Purchases'!$B$4:$B$30,0))),"Uncategorised"))</f>
        <v>Snacks</v>
      </c>
      <c r="AH64" s="165">
        <f>IF(AND(E64&lt;&gt;"",L64=1),COUNTIFS($E$2:E64,E64,$L$2:L64,1),0)</f>
        <v>3</v>
      </c>
      <c r="AI64" s="165">
        <f t="shared" si="5"/>
        <v>24</v>
      </c>
      <c r="AJ64" s="165">
        <f t="shared" si="6"/>
        <v>1</v>
      </c>
    </row>
    <row r="65" spans="1:36" x14ac:dyDescent="0.25">
      <c r="A65" s="177">
        <f t="shared" si="8"/>
        <v>46268</v>
      </c>
      <c r="B65" s="178" t="str">
        <f t="shared" si="1"/>
        <v>Thu</v>
      </c>
      <c r="C65" s="178" t="str">
        <f>'Pantry Inventory'!$A$2</f>
        <v>Sep Week 1</v>
      </c>
      <c r="D65" s="178" t="str">
        <f>IF('Pantry Inventory'!A14="","",'Pantry Inventory'!A14)</f>
        <v>Munchy</v>
      </c>
      <c r="E65" s="178" t="str">
        <f>IF('Pantry Inventory'!B14="","",'Pantry Inventory'!B14)</f>
        <v>Munchy Oat Krunch - Dark Choco</v>
      </c>
      <c r="F65" s="178" t="str">
        <f>IF(E65="","",IFERROR(IF(INDEX('Item Purchases'!$S$4:$S$30,MATCH(E65,'Item Purchases'!$B$4:$B$30,0))="","Uncategorised",INDEX('Item Purchases'!$S$4:$S$30,MATCH(E65,'Item Purchases'!$B$4:$B$30,0))),"Uncategorised"))</f>
        <v>Sweet</v>
      </c>
      <c r="G65" s="178">
        <f>IF(E65="",0,'Pantry Inventory'!J14)</f>
        <v>30</v>
      </c>
      <c r="H65" s="178">
        <f>IF(E65="","",IF('Pantry Inventory'!K14="","",'Pantry Inventory'!K14))</f>
        <v>30</v>
      </c>
      <c r="I65" s="178">
        <f>IF(H65="","",'Pantry Inventory'!L14)</f>
        <v>4</v>
      </c>
      <c r="J65" s="179">
        <f>IF(E65="",0,IFERROR(INDEX('Item Purchases'!$Q$4:$Q$30,MATCH(E65,'Item Purchases'!$B$4:$B$30,0)),0))</f>
        <v>0.73</v>
      </c>
      <c r="K65" s="180">
        <f t="shared" si="2"/>
        <v>2.92</v>
      </c>
      <c r="L65" s="178">
        <f t="shared" si="3"/>
        <v>1</v>
      </c>
      <c r="M65" s="178">
        <f>IF(E65="",0,IF(AND(OR(OR(Dashboard!$E$5="All",Dashboard!$E$5=""),AG65=Dashboard!$E$5),OR(OR(Dashboard!$H$5="All",Dashboard!$H$5=""),F65=Dashboard!$H$5),OR(OR(Dashboard!$B$5="All",Dashboard!$B$5=""),C65=Dashboard!$B$5),OR(OR(Dashboard!$K$5="All",Dashboard!$K$5=""),A65=Dashboard!$K$5),OR(OR(Dashboard!$N$5="All",Dashboard!$N$5=""),B65=Dashboard!$N$5),OR(OR(Dashboard!$Q$5="All",Dashboard!$Q$5=""),D65=Dashboard!$Q$5),OR(OR(Dashboard!$U$5="All",Dashboard!$U$5=""),E65=Dashboard!$U$5)),1,0))</f>
        <v>1</v>
      </c>
      <c r="N65" s="178">
        <f>IF(E65="",0,IF(AND(OR(OR(Dashboard!$E$5="All",Dashboard!$E$5=""),AG65=Dashboard!$E$5),OR(OR(Dashboard!$B$5="All",Dashboard!$B$5=""),C65=Dashboard!$B$5),OR(OR(Dashboard!$K$5="All",Dashboard!$K$5=""),A65=Dashboard!$K$5),OR(OR(Dashboard!$N$5="All",Dashboard!$N$5=""),B65=Dashboard!$N$5),OR(OR(Dashboard!$Q$5="All",Dashboard!$Q$5=""),D65=Dashboard!$Q$5),OR(OR(Dashboard!$U$5="All",Dashboard!$U$5=""),E65=Dashboard!$U$5)),1,0))</f>
        <v>1</v>
      </c>
      <c r="O65" s="165">
        <f t="shared" si="4"/>
        <v>16</v>
      </c>
      <c r="AG65" s="178" t="str">
        <f>IF(E65="","",IFERROR(IF(INDEX('Item Purchases'!$AM$4:$AM$30,MATCH(E65,'Item Purchases'!$B$4:$B$30,0))="","Uncategorised",INDEX('Item Purchases'!$AM$4:$AM$30,MATCH(E65,'Item Purchases'!$B$4:$B$30,0))),"Uncategorised"))</f>
        <v>Snacks</v>
      </c>
      <c r="AH65" s="165">
        <f>IF(AND(E65&lt;&gt;"",L65=1),COUNTIFS($E$2:E65,E65,$L$2:L65,1),0)</f>
        <v>3</v>
      </c>
      <c r="AI65" s="165">
        <f t="shared" si="5"/>
        <v>4</v>
      </c>
      <c r="AJ65" s="165">
        <f t="shared" si="6"/>
        <v>1</v>
      </c>
    </row>
    <row r="66" spans="1:36" x14ac:dyDescent="0.25">
      <c r="A66" s="177">
        <f t="shared" si="8"/>
        <v>46268</v>
      </c>
      <c r="B66" s="178" t="str">
        <f t="shared" ref="B66:B129" si="9">IF(A66=0,"",CHOOSE(WEEKDAY(A66,2),"Mon","Tue","Wed","Thu","Fri","Sat","Sun"))</f>
        <v>Thu</v>
      </c>
      <c r="C66" s="178" t="str">
        <f>'Pantry Inventory'!$A$2</f>
        <v>Sep Week 1</v>
      </c>
      <c r="D66" s="178" t="str">
        <f>IF('Pantry Inventory'!A15="","",'Pantry Inventory'!A15)</f>
        <v>Munchy</v>
      </c>
      <c r="E66" s="178" t="str">
        <f>IF('Pantry Inventory'!B15="","",'Pantry Inventory'!B15)</f>
        <v>Munchy Oat Krunch - Strawberry &amp; Blackcurrant</v>
      </c>
      <c r="F66" s="178" t="str">
        <f>IF(E66="","",IFERROR(IF(INDEX('Item Purchases'!$S$4:$S$30,MATCH(E66,'Item Purchases'!$B$4:$B$30,0))="","Uncategorised",INDEX('Item Purchases'!$S$4:$S$30,MATCH(E66,'Item Purchases'!$B$4:$B$30,0))),"Uncategorised"))</f>
        <v>Sweet</v>
      </c>
      <c r="G66" s="178">
        <f>IF(E66="",0,'Pantry Inventory'!J15)</f>
        <v>30</v>
      </c>
      <c r="H66" s="178">
        <f>IF(E66="","",IF('Pantry Inventory'!K15="","",'Pantry Inventory'!K15))</f>
        <v>53</v>
      </c>
      <c r="I66" s="178">
        <f>IF(H66="","",'Pantry Inventory'!L15)</f>
        <v>12</v>
      </c>
      <c r="J66" s="179">
        <f>IF(E66="",0,IFERROR(INDEX('Item Purchases'!$Q$4:$Q$30,MATCH(E66,'Item Purchases'!$B$4:$B$30,0)),0))</f>
        <v>0.73</v>
      </c>
      <c r="K66" s="180">
        <f t="shared" ref="K66:K129" si="10">IF(I66="","",I66*J66)</f>
        <v>8.76</v>
      </c>
      <c r="L66" s="178">
        <f t="shared" ref="L66:L129" si="11">IF(H66="",0,1)</f>
        <v>1</v>
      </c>
      <c r="M66" s="178">
        <f>IF(E66="",0,IF(AND(OR(OR(Dashboard!$E$5="All",Dashboard!$E$5=""),AG66=Dashboard!$E$5),OR(OR(Dashboard!$H$5="All",Dashboard!$H$5=""),F66=Dashboard!$H$5),OR(OR(Dashboard!$B$5="All",Dashboard!$B$5=""),C66=Dashboard!$B$5),OR(OR(Dashboard!$K$5="All",Dashboard!$K$5=""),A66=Dashboard!$K$5),OR(OR(Dashboard!$N$5="All",Dashboard!$N$5=""),B66=Dashboard!$N$5),OR(OR(Dashboard!$Q$5="All",Dashboard!$Q$5=""),D66=Dashboard!$Q$5),OR(OR(Dashboard!$U$5="All",Dashboard!$U$5=""),E66=Dashboard!$U$5)),1,0))</f>
        <v>1</v>
      </c>
      <c r="N66" s="178">
        <f>IF(E66="",0,IF(AND(OR(OR(Dashboard!$E$5="All",Dashboard!$E$5=""),AG66=Dashboard!$E$5),OR(OR(Dashboard!$B$5="All",Dashboard!$B$5=""),C66=Dashboard!$B$5),OR(OR(Dashboard!$K$5="All",Dashboard!$K$5=""),A66=Dashboard!$K$5),OR(OR(Dashboard!$N$5="All",Dashboard!$N$5=""),B66=Dashboard!$N$5),OR(OR(Dashboard!$Q$5="All",Dashboard!$Q$5=""),D66=Dashboard!$Q$5),OR(OR(Dashboard!$U$5="All",Dashboard!$U$5=""),E66=Dashboard!$U$5)),1,0))</f>
        <v>1</v>
      </c>
      <c r="O66" s="165">
        <f t="shared" ref="O66:O129" si="12">IF(AND(N(H66)&gt;0,ISNUMBER(I66)),I66^2,0)</f>
        <v>144</v>
      </c>
      <c r="AG66" s="178" t="str">
        <f>IF(E66="","",IFERROR(IF(INDEX('Item Purchases'!$AM$4:$AM$30,MATCH(E66,'Item Purchases'!$B$4:$B$30,0))="","Uncategorised",INDEX('Item Purchases'!$AM$4:$AM$30,MATCH(E66,'Item Purchases'!$B$4:$B$30,0))),"Uncategorised"))</f>
        <v>Snacks</v>
      </c>
      <c r="AH66" s="165">
        <f>IF(AND(E66&lt;&gt;"",L66=1),COUNTIFS($E$2:E66,E66,$L$2:L66,1),0)</f>
        <v>3</v>
      </c>
      <c r="AI66" s="165">
        <f t="shared" ref="AI66:AI129" si="13">IF(ISNUMBER(I66),I66,0)</f>
        <v>12</v>
      </c>
      <c r="AJ66" s="165">
        <f t="shared" ref="AJ66:AJ129" si="14">IF(AND(L66=1,N(H66)&gt;0),1,0)</f>
        <v>1</v>
      </c>
    </row>
    <row r="67" spans="1:36" x14ac:dyDescent="0.25">
      <c r="A67" s="177">
        <f t="shared" si="8"/>
        <v>46268</v>
      </c>
      <c r="B67" s="178" t="str">
        <f t="shared" si="9"/>
        <v>Thu</v>
      </c>
      <c r="C67" s="178" t="str">
        <f>'Pantry Inventory'!$A$2</f>
        <v>Sep Week 1</v>
      </c>
      <c r="D67" s="178" t="str">
        <f>IF('Pantry Inventory'!A16="","",'Pantry Inventory'!A16)</f>
        <v/>
      </c>
      <c r="E67" s="178" t="str">
        <f>IF('Pantry Inventory'!B16="","",'Pantry Inventory'!B16)</f>
        <v/>
      </c>
      <c r="F67" s="178" t="str">
        <f>IF(E67="","",IFERROR(IF(INDEX('Item Purchases'!$S$4:$S$30,MATCH(E67,'Item Purchases'!$B$4:$B$30,0))="","Uncategorised",INDEX('Item Purchases'!$S$4:$S$30,MATCH(E67,'Item Purchases'!$B$4:$B$30,0))),"Uncategorised"))</f>
        <v/>
      </c>
      <c r="G67" s="178">
        <f>IF(E67="",0,'Pantry Inventory'!J16)</f>
        <v>0</v>
      </c>
      <c r="H67" s="178" t="str">
        <f>IF(E67="","",IF('Pantry Inventory'!K16="","",'Pantry Inventory'!K16))</f>
        <v/>
      </c>
      <c r="I67" s="178" t="str">
        <f>IF(H67="","",'Pantry Inventory'!L16)</f>
        <v/>
      </c>
      <c r="J67" s="179">
        <f>IF(E67="",0,IFERROR(INDEX('Item Purchases'!$Q$4:$Q$30,MATCH(E67,'Item Purchases'!$B$4:$B$30,0)),0))</f>
        <v>0</v>
      </c>
      <c r="K67" s="180" t="str">
        <f t="shared" si="10"/>
        <v/>
      </c>
      <c r="L67" s="178">
        <f t="shared" si="11"/>
        <v>0</v>
      </c>
      <c r="M67" s="178">
        <f>IF(E67="",0,IF(AND(OR(OR(Dashboard!$E$5="All",Dashboard!$E$5=""),AG67=Dashboard!$E$5),OR(OR(Dashboard!$H$5="All",Dashboard!$H$5=""),F67=Dashboard!$H$5),OR(OR(Dashboard!$B$5="All",Dashboard!$B$5=""),C67=Dashboard!$B$5),OR(OR(Dashboard!$K$5="All",Dashboard!$K$5=""),A67=Dashboard!$K$5),OR(OR(Dashboard!$N$5="All",Dashboard!$N$5=""),B67=Dashboard!$N$5),OR(OR(Dashboard!$Q$5="All",Dashboard!$Q$5=""),D67=Dashboard!$Q$5),OR(OR(Dashboard!$U$5="All",Dashboard!$U$5=""),E67=Dashboard!$U$5)),1,0))</f>
        <v>0</v>
      </c>
      <c r="N67" s="178">
        <f>IF(E67="",0,IF(AND(OR(OR(Dashboard!$E$5="All",Dashboard!$E$5=""),AG67=Dashboard!$E$5),OR(OR(Dashboard!$B$5="All",Dashboard!$B$5=""),C67=Dashboard!$B$5),OR(OR(Dashboard!$K$5="All",Dashboard!$K$5=""),A67=Dashboard!$K$5),OR(OR(Dashboard!$N$5="All",Dashboard!$N$5=""),B67=Dashboard!$N$5),OR(OR(Dashboard!$Q$5="All",Dashboard!$Q$5=""),D67=Dashboard!$Q$5),OR(OR(Dashboard!$U$5="All",Dashboard!$U$5=""),E67=Dashboard!$U$5)),1,0))</f>
        <v>0</v>
      </c>
      <c r="O67" s="165">
        <f t="shared" si="12"/>
        <v>0</v>
      </c>
      <c r="AG67" s="178" t="str">
        <f>IF(E67="","",IFERROR(IF(INDEX('Item Purchases'!$AM$4:$AM$30,MATCH(E67,'Item Purchases'!$B$4:$B$30,0))="","Uncategorised",INDEX('Item Purchases'!$AM$4:$AM$30,MATCH(E67,'Item Purchases'!$B$4:$B$30,0))),"Uncategorised"))</f>
        <v/>
      </c>
      <c r="AH67" s="165">
        <f>IF(AND(E67&lt;&gt;"",L67=1),COUNTIFS($E$2:E67,E67,$L$2:L67,1),0)</f>
        <v>0</v>
      </c>
      <c r="AI67" s="165">
        <f t="shared" si="13"/>
        <v>0</v>
      </c>
      <c r="AJ67" s="165">
        <f t="shared" si="14"/>
        <v>0</v>
      </c>
    </row>
    <row r="68" spans="1:36" x14ac:dyDescent="0.25">
      <c r="A68" s="177">
        <f t="shared" si="8"/>
        <v>46268</v>
      </c>
      <c r="B68" s="178" t="str">
        <f t="shared" si="9"/>
        <v>Thu</v>
      </c>
      <c r="C68" s="178" t="str">
        <f>'Pantry Inventory'!$A$2</f>
        <v>Sep Week 1</v>
      </c>
      <c r="D68" s="178" t="str">
        <f>IF('Pantry Inventory'!A17="","",'Pantry Inventory'!A17)</f>
        <v>Nestle</v>
      </c>
      <c r="E68" s="178" t="str">
        <f>IF('Pantry Inventory'!B17="","",'Pantry Inventory'!B17)</f>
        <v>Milo 200ml</v>
      </c>
      <c r="F68" s="178" t="str">
        <f>IF(E68="","",IFERROR(IF(INDEX('Item Purchases'!$S$4:$S$30,MATCH(E68,'Item Purchases'!$B$4:$B$30,0))="","Uncategorised",INDEX('Item Purchases'!$S$4:$S$30,MATCH(E68,'Item Purchases'!$B$4:$B$30,0))),"Uncategorised"))</f>
        <v>Other</v>
      </c>
      <c r="G68" s="178">
        <f>IF(E68="",0,'Pantry Inventory'!J17)</f>
        <v>0</v>
      </c>
      <c r="H68" s="178">
        <f>IF(E68="","",IF('Pantry Inventory'!K17="","",'Pantry Inventory'!K17))</f>
        <v>13</v>
      </c>
      <c r="I68" s="178">
        <f>IF(H68="","",'Pantry Inventory'!L17)</f>
        <v>22</v>
      </c>
      <c r="J68" s="179">
        <f>IF(E68="",0,IFERROR(INDEX('Item Purchases'!$Q$4:$Q$30,MATCH(E68,'Item Purchases'!$B$4:$B$30,0)),0))</f>
        <v>2.37</v>
      </c>
      <c r="K68" s="180">
        <f t="shared" si="10"/>
        <v>52.14</v>
      </c>
      <c r="L68" s="178">
        <f t="shared" si="11"/>
        <v>1</v>
      </c>
      <c r="M68" s="178">
        <f>IF(E68="",0,IF(AND(OR(OR(Dashboard!$E$5="All",Dashboard!$E$5=""),AG68=Dashboard!$E$5),OR(OR(Dashboard!$H$5="All",Dashboard!$H$5=""),F68=Dashboard!$H$5),OR(OR(Dashboard!$B$5="All",Dashboard!$B$5=""),C68=Dashboard!$B$5),OR(OR(Dashboard!$K$5="All",Dashboard!$K$5=""),A68=Dashboard!$K$5),OR(OR(Dashboard!$N$5="All",Dashboard!$N$5=""),B68=Dashboard!$N$5),OR(OR(Dashboard!$Q$5="All",Dashboard!$Q$5=""),D68=Dashboard!$Q$5),OR(OR(Dashboard!$U$5="All",Dashboard!$U$5=""),E68=Dashboard!$U$5)),1,0))</f>
        <v>1</v>
      </c>
      <c r="N68" s="178">
        <f>IF(E68="",0,IF(AND(OR(OR(Dashboard!$E$5="All",Dashboard!$E$5=""),AG68=Dashboard!$E$5),OR(OR(Dashboard!$B$5="All",Dashboard!$B$5=""),C68=Dashboard!$B$5),OR(OR(Dashboard!$K$5="All",Dashboard!$K$5=""),A68=Dashboard!$K$5),OR(OR(Dashboard!$N$5="All",Dashboard!$N$5=""),B68=Dashboard!$N$5),OR(OR(Dashboard!$Q$5="All",Dashboard!$Q$5=""),D68=Dashboard!$Q$5),OR(OR(Dashboard!$U$5="All",Dashboard!$U$5=""),E68=Dashboard!$U$5)),1,0))</f>
        <v>1</v>
      </c>
      <c r="O68" s="165">
        <f t="shared" si="12"/>
        <v>484</v>
      </c>
      <c r="AG68" s="178" t="str">
        <f>IF(E68="","",IFERROR(IF(INDEX('Item Purchases'!$AM$4:$AM$30,MATCH(E68,'Item Purchases'!$B$4:$B$30,0))="","Uncategorised",INDEX('Item Purchases'!$AM$4:$AM$30,MATCH(E68,'Item Purchases'!$B$4:$B$30,0))),"Uncategorised"))</f>
        <v>Beverages</v>
      </c>
      <c r="AH68" s="165">
        <f>IF(AND(E68&lt;&gt;"",L68=1),COUNTIFS($E$2:E68,E68,$L$2:L68,1),0)</f>
        <v>3</v>
      </c>
      <c r="AI68" s="165">
        <f t="shared" si="13"/>
        <v>22</v>
      </c>
      <c r="AJ68" s="165">
        <f t="shared" si="14"/>
        <v>1</v>
      </c>
    </row>
    <row r="69" spans="1:36" x14ac:dyDescent="0.25">
      <c r="A69" s="177">
        <f t="shared" si="8"/>
        <v>46268</v>
      </c>
      <c r="B69" s="178" t="str">
        <f t="shared" si="9"/>
        <v>Thu</v>
      </c>
      <c r="C69" s="178" t="str">
        <f>'Pantry Inventory'!$A$2</f>
        <v>Sep Week 1</v>
      </c>
      <c r="D69" s="178" t="str">
        <f>IF('Pantry Inventory'!A18="","",'Pantry Inventory'!A18)</f>
        <v>Nestle</v>
      </c>
      <c r="E69" s="178" t="str">
        <f>IF('Pantry Inventory'!B18="","",'Pantry Inventory'!B18)</f>
        <v>Nescafe Latte 240ml</v>
      </c>
      <c r="F69" s="178" t="str">
        <f>IF(E69="","",IFERROR(IF(INDEX('Item Purchases'!$S$4:$S$30,MATCH(E69,'Item Purchases'!$B$4:$B$30,0))="","Uncategorised",INDEX('Item Purchases'!$S$4:$S$30,MATCH(E69,'Item Purchases'!$B$4:$B$30,0))),"Uncategorised"))</f>
        <v>Coffee</v>
      </c>
      <c r="G69" s="178">
        <f>IF(E69="",0,'Pantry Inventory'!J18)</f>
        <v>0</v>
      </c>
      <c r="H69" s="178">
        <f>IF(E69="","",IF('Pantry Inventory'!K18="","",'Pantry Inventory'!K18))</f>
        <v>26</v>
      </c>
      <c r="I69" s="178">
        <f>IF(H69="","",'Pantry Inventory'!L18)</f>
        <v>1</v>
      </c>
      <c r="J69" s="179">
        <f>IF(E69="",0,IFERROR(INDEX('Item Purchases'!$Q$4:$Q$30,MATCH(E69,'Item Purchases'!$B$4:$B$30,0)),0))</f>
        <v>2.1875</v>
      </c>
      <c r="K69" s="180">
        <f t="shared" si="10"/>
        <v>2.1875</v>
      </c>
      <c r="L69" s="178">
        <f t="shared" si="11"/>
        <v>1</v>
      </c>
      <c r="M69" s="178">
        <f>IF(E69="",0,IF(AND(OR(OR(Dashboard!$E$5="All",Dashboard!$E$5=""),AG69=Dashboard!$E$5),OR(OR(Dashboard!$H$5="All",Dashboard!$H$5=""),F69=Dashboard!$H$5),OR(OR(Dashboard!$B$5="All",Dashboard!$B$5=""),C69=Dashboard!$B$5),OR(OR(Dashboard!$K$5="All",Dashboard!$K$5=""),A69=Dashboard!$K$5),OR(OR(Dashboard!$N$5="All",Dashboard!$N$5=""),B69=Dashboard!$N$5),OR(OR(Dashboard!$Q$5="All",Dashboard!$Q$5=""),D69=Dashboard!$Q$5),OR(OR(Dashboard!$U$5="All",Dashboard!$U$5=""),E69=Dashboard!$U$5)),1,0))</f>
        <v>1</v>
      </c>
      <c r="N69" s="178">
        <f>IF(E69="",0,IF(AND(OR(OR(Dashboard!$E$5="All",Dashboard!$E$5=""),AG69=Dashboard!$E$5),OR(OR(Dashboard!$B$5="All",Dashboard!$B$5=""),C69=Dashboard!$B$5),OR(OR(Dashboard!$K$5="All",Dashboard!$K$5=""),A69=Dashboard!$K$5),OR(OR(Dashboard!$N$5="All",Dashboard!$N$5=""),B69=Dashboard!$N$5),OR(OR(Dashboard!$Q$5="All",Dashboard!$Q$5=""),D69=Dashboard!$Q$5),OR(OR(Dashboard!$U$5="All",Dashboard!$U$5=""),E69=Dashboard!$U$5)),1,0))</f>
        <v>1</v>
      </c>
      <c r="O69" s="165">
        <f t="shared" si="12"/>
        <v>1</v>
      </c>
      <c r="AG69" s="178" t="str">
        <f>IF(E69="","",IFERROR(IF(INDEX('Item Purchases'!$AM$4:$AM$30,MATCH(E69,'Item Purchases'!$B$4:$B$30,0))="","Uncategorised",INDEX('Item Purchases'!$AM$4:$AM$30,MATCH(E69,'Item Purchases'!$B$4:$B$30,0))),"Uncategorised"))</f>
        <v>Beverages</v>
      </c>
      <c r="AH69" s="165">
        <f>IF(AND(E69&lt;&gt;"",L69=1),COUNTIFS($E$2:E69,E69,$L$2:L69,1),0)</f>
        <v>3</v>
      </c>
      <c r="AI69" s="165">
        <f t="shared" si="13"/>
        <v>1</v>
      </c>
      <c r="AJ69" s="165">
        <f t="shared" si="14"/>
        <v>1</v>
      </c>
    </row>
    <row r="70" spans="1:36" x14ac:dyDescent="0.25">
      <c r="A70" s="177">
        <f t="shared" si="8"/>
        <v>46268</v>
      </c>
      <c r="B70" s="178" t="str">
        <f t="shared" si="9"/>
        <v>Thu</v>
      </c>
      <c r="C70" s="178" t="str">
        <f>'Pantry Inventory'!$A$2</f>
        <v>Sep Week 1</v>
      </c>
      <c r="D70" s="178" t="str">
        <f>IF('Pantry Inventory'!A19="","",'Pantry Inventory'!A19)</f>
        <v>Nestle</v>
      </c>
      <c r="E70" s="178" t="str">
        <f>IF('Pantry Inventory'!B19="","",'Pantry Inventory'!B19)</f>
        <v>Nescafe original 240ml</v>
      </c>
      <c r="F70" s="178" t="str">
        <f>IF(E70="","",IFERROR(IF(INDEX('Item Purchases'!$S$4:$S$30,MATCH(E70,'Item Purchases'!$B$4:$B$30,0))="","Uncategorised",INDEX('Item Purchases'!$S$4:$S$30,MATCH(E70,'Item Purchases'!$B$4:$B$30,0))),"Uncategorised"))</f>
        <v>Coffee</v>
      </c>
      <c r="G70" s="178">
        <f>IF(E70="",0,'Pantry Inventory'!J19)</f>
        <v>0</v>
      </c>
      <c r="H70" s="178">
        <f>IF(E70="","",IF('Pantry Inventory'!K19="","",'Pantry Inventory'!K19))</f>
        <v>18</v>
      </c>
      <c r="I70" s="178">
        <f>IF(H70="","",'Pantry Inventory'!L19)</f>
        <v>5</v>
      </c>
      <c r="J70" s="179">
        <f>IF(E70="",0,IFERROR(INDEX('Item Purchases'!$Q$4:$Q$30,MATCH(E70,'Item Purchases'!$B$4:$B$30,0)),0))</f>
        <v>2.1875</v>
      </c>
      <c r="K70" s="180">
        <f t="shared" si="10"/>
        <v>10.9375</v>
      </c>
      <c r="L70" s="178">
        <f t="shared" si="11"/>
        <v>1</v>
      </c>
      <c r="M70" s="178">
        <f>IF(E70="",0,IF(AND(OR(OR(Dashboard!$E$5="All",Dashboard!$E$5=""),AG70=Dashboard!$E$5),OR(OR(Dashboard!$H$5="All",Dashboard!$H$5=""),F70=Dashboard!$H$5),OR(OR(Dashboard!$B$5="All",Dashboard!$B$5=""),C70=Dashboard!$B$5),OR(OR(Dashboard!$K$5="All",Dashboard!$K$5=""),A70=Dashboard!$K$5),OR(OR(Dashboard!$N$5="All",Dashboard!$N$5=""),B70=Dashboard!$N$5),OR(OR(Dashboard!$Q$5="All",Dashboard!$Q$5=""),D70=Dashboard!$Q$5),OR(OR(Dashboard!$U$5="All",Dashboard!$U$5=""),E70=Dashboard!$U$5)),1,0))</f>
        <v>1</v>
      </c>
      <c r="N70" s="178">
        <f>IF(E70="",0,IF(AND(OR(OR(Dashboard!$E$5="All",Dashboard!$E$5=""),AG70=Dashboard!$E$5),OR(OR(Dashboard!$B$5="All",Dashboard!$B$5=""),C70=Dashboard!$B$5),OR(OR(Dashboard!$K$5="All",Dashboard!$K$5=""),A70=Dashboard!$K$5),OR(OR(Dashboard!$N$5="All",Dashboard!$N$5=""),B70=Dashboard!$N$5),OR(OR(Dashboard!$Q$5="All",Dashboard!$Q$5=""),D70=Dashboard!$Q$5),OR(OR(Dashboard!$U$5="All",Dashboard!$U$5=""),E70=Dashboard!$U$5)),1,0))</f>
        <v>1</v>
      </c>
      <c r="O70" s="165">
        <f t="shared" si="12"/>
        <v>25</v>
      </c>
      <c r="AG70" s="178" t="str">
        <f>IF(E70="","",IFERROR(IF(INDEX('Item Purchases'!$AM$4:$AM$30,MATCH(E70,'Item Purchases'!$B$4:$B$30,0))="","Uncategorised",INDEX('Item Purchases'!$AM$4:$AM$30,MATCH(E70,'Item Purchases'!$B$4:$B$30,0))),"Uncategorised"))</f>
        <v>Beverages</v>
      </c>
      <c r="AH70" s="165">
        <f>IF(AND(E70&lt;&gt;"",L70=1),COUNTIFS($E$2:E70,E70,$L$2:L70,1),0)</f>
        <v>3</v>
      </c>
      <c r="AI70" s="165">
        <f t="shared" si="13"/>
        <v>5</v>
      </c>
      <c r="AJ70" s="165">
        <f t="shared" si="14"/>
        <v>1</v>
      </c>
    </row>
    <row r="71" spans="1:36" x14ac:dyDescent="0.25">
      <c r="A71" s="177">
        <f t="shared" si="8"/>
        <v>46268</v>
      </c>
      <c r="B71" s="178" t="str">
        <f t="shared" si="9"/>
        <v>Thu</v>
      </c>
      <c r="C71" s="178" t="str">
        <f>'Pantry Inventory'!$A$2</f>
        <v>Sep Week 1</v>
      </c>
      <c r="D71" s="178" t="str">
        <f>IF('Pantry Inventory'!A20="","",'Pantry Inventory'!A20)</f>
        <v>COWA</v>
      </c>
      <c r="E71" s="178" t="str">
        <f>IF('Pantry Inventory'!B20="","",'Pantry Inventory'!B20)</f>
        <v>COWA Coconut Water 330 ml</v>
      </c>
      <c r="F71" s="178" t="str">
        <f>IF(E71="","",IFERROR(IF(INDEX('Item Purchases'!$S$4:$S$30,MATCH(E71,'Item Purchases'!$B$4:$B$30,0))="","Uncategorised",INDEX('Item Purchases'!$S$4:$S$30,MATCH(E71,'Item Purchases'!$B$4:$B$30,0))),"Uncategorised"))</f>
        <v>Other</v>
      </c>
      <c r="G71" s="178">
        <f>IF(E71="",0,'Pantry Inventory'!J20)</f>
        <v>0</v>
      </c>
      <c r="H71" s="178">
        <f>IF(E71="","",IF('Pantry Inventory'!K20="","",'Pantry Inventory'!K20))</f>
        <v>0</v>
      </c>
      <c r="I71" s="178">
        <f>IF(H71="","",'Pantry Inventory'!L20)</f>
        <v>0</v>
      </c>
      <c r="J71" s="179">
        <f>IF(E71="",0,IFERROR(INDEX('Item Purchases'!$Q$4:$Q$30,MATCH(E71,'Item Purchases'!$B$4:$B$30,0)),0))</f>
        <v>3</v>
      </c>
      <c r="K71" s="180">
        <f t="shared" si="10"/>
        <v>0</v>
      </c>
      <c r="L71" s="178">
        <f t="shared" si="11"/>
        <v>1</v>
      </c>
      <c r="M71" s="178">
        <f>IF(E71="",0,IF(AND(OR(OR(Dashboard!$E$5="All",Dashboard!$E$5=""),AG71=Dashboard!$E$5),OR(OR(Dashboard!$H$5="All",Dashboard!$H$5=""),F71=Dashboard!$H$5),OR(OR(Dashboard!$B$5="All",Dashboard!$B$5=""),C71=Dashboard!$B$5),OR(OR(Dashboard!$K$5="All",Dashboard!$K$5=""),A71=Dashboard!$K$5),OR(OR(Dashboard!$N$5="All",Dashboard!$N$5=""),B71=Dashboard!$N$5),OR(OR(Dashboard!$Q$5="All",Dashboard!$Q$5=""),D71=Dashboard!$Q$5),OR(OR(Dashboard!$U$5="All",Dashboard!$U$5=""),E71=Dashboard!$U$5)),1,0))</f>
        <v>1</v>
      </c>
      <c r="N71" s="178">
        <f>IF(E71="",0,IF(AND(OR(OR(Dashboard!$E$5="All",Dashboard!$E$5=""),AG71=Dashboard!$E$5),OR(OR(Dashboard!$B$5="All",Dashboard!$B$5=""),C71=Dashboard!$B$5),OR(OR(Dashboard!$K$5="All",Dashboard!$K$5=""),A71=Dashboard!$K$5),OR(OR(Dashboard!$N$5="All",Dashboard!$N$5=""),B71=Dashboard!$N$5),OR(OR(Dashboard!$Q$5="All",Dashboard!$Q$5=""),D71=Dashboard!$Q$5),OR(OR(Dashboard!$U$5="All",Dashboard!$U$5=""),E71=Dashboard!$U$5)),1,0))</f>
        <v>1</v>
      </c>
      <c r="O71" s="165">
        <f t="shared" si="12"/>
        <v>0</v>
      </c>
      <c r="AG71" s="178" t="str">
        <f>IF(E71="","",IFERROR(IF(INDEX('Item Purchases'!$AM$4:$AM$30,MATCH(E71,'Item Purchases'!$B$4:$B$30,0))="","Uncategorised",INDEX('Item Purchases'!$AM$4:$AM$30,MATCH(E71,'Item Purchases'!$B$4:$B$30,0))),"Uncategorised"))</f>
        <v>Beverages</v>
      </c>
      <c r="AH71" s="165">
        <f>IF(AND(E71&lt;&gt;"",L71=1),COUNTIFS($E$2:E71,E71,$L$2:L71,1),0)</f>
        <v>3</v>
      </c>
      <c r="AI71" s="165">
        <f t="shared" si="13"/>
        <v>0</v>
      </c>
      <c r="AJ71" s="165">
        <f t="shared" si="14"/>
        <v>0</v>
      </c>
    </row>
    <row r="72" spans="1:36" x14ac:dyDescent="0.25">
      <c r="A72" s="177">
        <f t="shared" si="8"/>
        <v>46268</v>
      </c>
      <c r="B72" s="178" t="str">
        <f t="shared" si="9"/>
        <v>Thu</v>
      </c>
      <c r="C72" s="178" t="str">
        <f>'Pantry Inventory'!$A$2</f>
        <v>Sep Week 1</v>
      </c>
      <c r="D72" s="178" t="str">
        <f>IF('Pantry Inventory'!A21="","",'Pantry Inventory'!A21)</f>
        <v>Coca Cola</v>
      </c>
      <c r="E72" s="178" t="str">
        <f>IF('Pantry Inventory'!B21="","",'Pantry Inventory'!B21)</f>
        <v>COKE ZERO  325ML</v>
      </c>
      <c r="F72" s="178" t="str">
        <f>IF(E72="","",IFERROR(IF(INDEX('Item Purchases'!$S$4:$S$30,MATCH(E72,'Item Purchases'!$B$4:$B$30,0))="","Uncategorised",INDEX('Item Purchases'!$S$4:$S$30,MATCH(E72,'Item Purchases'!$B$4:$B$30,0))),"Uncategorised"))</f>
        <v>Other</v>
      </c>
      <c r="G72" s="178">
        <f>IF(E72="",0,'Pantry Inventory'!J21)</f>
        <v>0</v>
      </c>
      <c r="H72" s="178">
        <f>IF(E72="","",IF('Pantry Inventory'!K21="","",'Pantry Inventory'!K21))</f>
        <v>31</v>
      </c>
      <c r="I72" s="178">
        <f>IF(H72="","",'Pantry Inventory'!L21)</f>
        <v>10</v>
      </c>
      <c r="J72" s="179">
        <f>IF(E72="",0,IFERROR(INDEX('Item Purchases'!$Q$4:$Q$30,MATCH(E72,'Item Purchases'!$B$4:$B$30,0)),0))</f>
        <v>1.83</v>
      </c>
      <c r="K72" s="180">
        <f t="shared" si="10"/>
        <v>18.3</v>
      </c>
      <c r="L72" s="178">
        <f t="shared" si="11"/>
        <v>1</v>
      </c>
      <c r="M72" s="178">
        <f>IF(E72="",0,IF(AND(OR(OR(Dashboard!$E$5="All",Dashboard!$E$5=""),AG72=Dashboard!$E$5),OR(OR(Dashboard!$H$5="All",Dashboard!$H$5=""),F72=Dashboard!$H$5),OR(OR(Dashboard!$B$5="All",Dashboard!$B$5=""),C72=Dashboard!$B$5),OR(OR(Dashboard!$K$5="All",Dashboard!$K$5=""),A72=Dashboard!$K$5),OR(OR(Dashboard!$N$5="All",Dashboard!$N$5=""),B72=Dashboard!$N$5),OR(OR(Dashboard!$Q$5="All",Dashboard!$Q$5=""),D72=Dashboard!$Q$5),OR(OR(Dashboard!$U$5="All",Dashboard!$U$5=""),E72=Dashboard!$U$5)),1,0))</f>
        <v>1</v>
      </c>
      <c r="N72" s="178">
        <f>IF(E72="",0,IF(AND(OR(OR(Dashboard!$E$5="All",Dashboard!$E$5=""),AG72=Dashboard!$E$5),OR(OR(Dashboard!$B$5="All",Dashboard!$B$5=""),C72=Dashboard!$B$5),OR(OR(Dashboard!$K$5="All",Dashboard!$K$5=""),A72=Dashboard!$K$5),OR(OR(Dashboard!$N$5="All",Dashboard!$N$5=""),B72=Dashboard!$N$5),OR(OR(Dashboard!$Q$5="All",Dashboard!$Q$5=""),D72=Dashboard!$Q$5),OR(OR(Dashboard!$U$5="All",Dashboard!$U$5=""),E72=Dashboard!$U$5)),1,0))</f>
        <v>1</v>
      </c>
      <c r="O72" s="165">
        <f t="shared" si="12"/>
        <v>100</v>
      </c>
      <c r="AG72" s="178" t="str">
        <f>IF(E72="","",IFERROR(IF(INDEX('Item Purchases'!$AM$4:$AM$30,MATCH(E72,'Item Purchases'!$B$4:$B$30,0))="","Uncategorised",INDEX('Item Purchases'!$AM$4:$AM$30,MATCH(E72,'Item Purchases'!$B$4:$B$30,0))),"Uncategorised"))</f>
        <v>Beverages</v>
      </c>
      <c r="AH72" s="165">
        <f>IF(AND(E72&lt;&gt;"",L72=1),COUNTIFS($E$2:E72,E72,$L$2:L72,1),0)</f>
        <v>3</v>
      </c>
      <c r="AI72" s="165">
        <f t="shared" si="13"/>
        <v>10</v>
      </c>
      <c r="AJ72" s="165">
        <f t="shared" si="14"/>
        <v>1</v>
      </c>
    </row>
    <row r="73" spans="1:36" x14ac:dyDescent="0.25">
      <c r="A73" s="177">
        <f t="shared" si="8"/>
        <v>46268</v>
      </c>
      <c r="B73" s="178" t="str">
        <f t="shared" si="9"/>
        <v>Thu</v>
      </c>
      <c r="C73" s="178" t="str">
        <f>'Pantry Inventory'!$A$2</f>
        <v>Sep Week 1</v>
      </c>
      <c r="D73" s="178" t="str">
        <f>IF('Pantry Inventory'!A22="","",'Pantry Inventory'!A22)</f>
        <v>Coca Cola</v>
      </c>
      <c r="E73" s="178" t="str">
        <f>IF('Pantry Inventory'!B22="","",'Pantry Inventory'!B22)</f>
        <v>Ayataka Tea 300ml</v>
      </c>
      <c r="F73" s="178" t="str">
        <f>IF(E73="","",IFERROR(IF(INDEX('Item Purchases'!$S$4:$S$30,MATCH(E73,'Item Purchases'!$B$4:$B$30,0))="","Uncategorised",INDEX('Item Purchases'!$S$4:$S$30,MATCH(E73,'Item Purchases'!$B$4:$B$30,0))),"Uncategorised"))</f>
        <v>Tea</v>
      </c>
      <c r="G73" s="178">
        <f>IF(E73="",0,'Pantry Inventory'!J22)</f>
        <v>0</v>
      </c>
      <c r="H73" s="178">
        <f>IF(E73="","",IF('Pantry Inventory'!K22="","",'Pantry Inventory'!K22))</f>
        <v>0</v>
      </c>
      <c r="I73" s="178">
        <f>IF(H73="","",'Pantry Inventory'!L22)</f>
        <v>0</v>
      </c>
      <c r="J73" s="179">
        <f>IF(E73="",0,IFERROR(INDEX('Item Purchases'!$Q$4:$Q$30,MATCH(E73,'Item Purchases'!$B$4:$B$30,0)),0))</f>
        <v>1.75</v>
      </c>
      <c r="K73" s="180">
        <f t="shared" si="10"/>
        <v>0</v>
      </c>
      <c r="L73" s="178">
        <f t="shared" si="11"/>
        <v>1</v>
      </c>
      <c r="M73" s="178">
        <f>IF(E73="",0,IF(AND(OR(OR(Dashboard!$E$5="All",Dashboard!$E$5=""),AG73=Dashboard!$E$5),OR(OR(Dashboard!$H$5="All",Dashboard!$H$5=""),F73=Dashboard!$H$5),OR(OR(Dashboard!$B$5="All",Dashboard!$B$5=""),C73=Dashboard!$B$5),OR(OR(Dashboard!$K$5="All",Dashboard!$K$5=""),A73=Dashboard!$K$5),OR(OR(Dashboard!$N$5="All",Dashboard!$N$5=""),B73=Dashboard!$N$5),OR(OR(Dashboard!$Q$5="All",Dashboard!$Q$5=""),D73=Dashboard!$Q$5),OR(OR(Dashboard!$U$5="All",Dashboard!$U$5=""),E73=Dashboard!$U$5)),1,0))</f>
        <v>1</v>
      </c>
      <c r="N73" s="178">
        <f>IF(E73="",0,IF(AND(OR(OR(Dashboard!$E$5="All",Dashboard!$E$5=""),AG73=Dashboard!$E$5),OR(OR(Dashboard!$B$5="All",Dashboard!$B$5=""),C73=Dashboard!$B$5),OR(OR(Dashboard!$K$5="All",Dashboard!$K$5=""),A73=Dashboard!$K$5),OR(OR(Dashboard!$N$5="All",Dashboard!$N$5=""),B73=Dashboard!$N$5),OR(OR(Dashboard!$Q$5="All",Dashboard!$Q$5=""),D73=Dashboard!$Q$5),OR(OR(Dashboard!$U$5="All",Dashboard!$U$5=""),E73=Dashboard!$U$5)),1,0))</f>
        <v>1</v>
      </c>
      <c r="O73" s="165">
        <f t="shared" si="12"/>
        <v>0</v>
      </c>
      <c r="AG73" s="178" t="str">
        <f>IF(E73="","",IFERROR(IF(INDEX('Item Purchases'!$AM$4:$AM$30,MATCH(E73,'Item Purchases'!$B$4:$B$30,0))="","Uncategorised",INDEX('Item Purchases'!$AM$4:$AM$30,MATCH(E73,'Item Purchases'!$B$4:$B$30,0))),"Uncategorised"))</f>
        <v>Beverages</v>
      </c>
      <c r="AH73" s="165">
        <f>IF(AND(E73&lt;&gt;"",L73=1),COUNTIFS($E$2:E73,E73,$L$2:L73,1),0)</f>
        <v>3</v>
      </c>
      <c r="AI73" s="165">
        <f t="shared" si="13"/>
        <v>0</v>
      </c>
      <c r="AJ73" s="165">
        <f t="shared" si="14"/>
        <v>0</v>
      </c>
    </row>
    <row r="74" spans="1:36" x14ac:dyDescent="0.25">
      <c r="A74" s="177">
        <f t="shared" si="8"/>
        <v>46268</v>
      </c>
      <c r="B74" s="178" t="str">
        <f t="shared" si="9"/>
        <v>Thu</v>
      </c>
      <c r="C74" s="178" t="str">
        <f>'Pantry Inventory'!$A$2</f>
        <v>Sep Week 1</v>
      </c>
      <c r="D74" s="178" t="str">
        <f>IF('Pantry Inventory'!A23="","",'Pantry Inventory'!A23)</f>
        <v>Coca Cola</v>
      </c>
      <c r="E74" s="178" t="str">
        <f>IF('Pantry Inventory'!B23="","",'Pantry Inventory'!B23)</f>
        <v>Oolong Tea 300ml</v>
      </c>
      <c r="F74" s="178" t="str">
        <f>IF(E74="","",IFERROR(IF(INDEX('Item Purchases'!$S$4:$S$30,MATCH(E74,'Item Purchases'!$B$4:$B$30,0))="","Uncategorised",INDEX('Item Purchases'!$S$4:$S$30,MATCH(E74,'Item Purchases'!$B$4:$B$30,0))),"Uncategorised"))</f>
        <v>Tea</v>
      </c>
      <c r="G74" s="178">
        <f>IF(E74="",0,'Pantry Inventory'!J23)</f>
        <v>0</v>
      </c>
      <c r="H74" s="178">
        <f>IF(E74="","",IF('Pantry Inventory'!K23="","",'Pantry Inventory'!K23))</f>
        <v>0</v>
      </c>
      <c r="I74" s="178">
        <f>IF(H74="","",'Pantry Inventory'!L23)</f>
        <v>0</v>
      </c>
      <c r="J74" s="179">
        <f>IF(E74="",0,IFERROR(INDEX('Item Purchases'!$Q$4:$Q$30,MATCH(E74,'Item Purchases'!$B$4:$B$30,0)),0))</f>
        <v>1.75</v>
      </c>
      <c r="K74" s="180">
        <f t="shared" si="10"/>
        <v>0</v>
      </c>
      <c r="L74" s="178">
        <f t="shared" si="11"/>
        <v>1</v>
      </c>
      <c r="M74" s="178">
        <f>IF(E74="",0,IF(AND(OR(OR(Dashboard!$E$5="All",Dashboard!$E$5=""),AG74=Dashboard!$E$5),OR(OR(Dashboard!$H$5="All",Dashboard!$H$5=""),F74=Dashboard!$H$5),OR(OR(Dashboard!$B$5="All",Dashboard!$B$5=""),C74=Dashboard!$B$5),OR(OR(Dashboard!$K$5="All",Dashboard!$K$5=""),A74=Dashboard!$K$5),OR(OR(Dashboard!$N$5="All",Dashboard!$N$5=""),B74=Dashboard!$N$5),OR(OR(Dashboard!$Q$5="All",Dashboard!$Q$5=""),D74=Dashboard!$Q$5),OR(OR(Dashboard!$U$5="All",Dashboard!$U$5=""),E74=Dashboard!$U$5)),1,0))</f>
        <v>1</v>
      </c>
      <c r="N74" s="178">
        <f>IF(E74="",0,IF(AND(OR(OR(Dashboard!$E$5="All",Dashboard!$E$5=""),AG74=Dashboard!$E$5),OR(OR(Dashboard!$B$5="All",Dashboard!$B$5=""),C74=Dashboard!$B$5),OR(OR(Dashboard!$K$5="All",Dashboard!$K$5=""),A74=Dashboard!$K$5),OR(OR(Dashboard!$N$5="All",Dashboard!$N$5=""),B74=Dashboard!$N$5),OR(OR(Dashboard!$Q$5="All",Dashboard!$Q$5=""),D74=Dashboard!$Q$5),OR(OR(Dashboard!$U$5="All",Dashboard!$U$5=""),E74=Dashboard!$U$5)),1,0))</f>
        <v>1</v>
      </c>
      <c r="O74" s="165">
        <f t="shared" si="12"/>
        <v>0</v>
      </c>
      <c r="AG74" s="178" t="str">
        <f>IF(E74="","",IFERROR(IF(INDEX('Item Purchases'!$AM$4:$AM$30,MATCH(E74,'Item Purchases'!$B$4:$B$30,0))="","Uncategorised",INDEX('Item Purchases'!$AM$4:$AM$30,MATCH(E74,'Item Purchases'!$B$4:$B$30,0))),"Uncategorised"))</f>
        <v>Beverages</v>
      </c>
      <c r="AH74" s="165">
        <f>IF(AND(E74&lt;&gt;"",L74=1),COUNTIFS($E$2:E74,E74,$L$2:L74,1),0)</f>
        <v>3</v>
      </c>
      <c r="AI74" s="165">
        <f t="shared" si="13"/>
        <v>0</v>
      </c>
      <c r="AJ74" s="165">
        <f t="shared" si="14"/>
        <v>0</v>
      </c>
    </row>
    <row r="75" spans="1:36" x14ac:dyDescent="0.25">
      <c r="A75" s="177">
        <f t="shared" si="8"/>
        <v>46268</v>
      </c>
      <c r="B75" s="178" t="str">
        <f t="shared" si="9"/>
        <v>Thu</v>
      </c>
      <c r="C75" s="178" t="str">
        <f>'Pantry Inventory'!$A$2</f>
        <v>Sep Week 1</v>
      </c>
      <c r="D75" s="178" t="str">
        <f>IF('Pantry Inventory'!A24="","",'Pantry Inventory'!A24)</f>
        <v>Vsoy</v>
      </c>
      <c r="E75" s="178" t="str">
        <f>IF('Pantry Inventory'!B24="","",'Pantry Inventory'!B24)</f>
        <v>Vsoy Soya Bean  250ml</v>
      </c>
      <c r="F75" s="178" t="str">
        <f>IF(E75="","",IFERROR(IF(INDEX('Item Purchases'!$S$4:$S$30,MATCH(E75,'Item Purchases'!$B$4:$B$30,0))="","Uncategorised",INDEX('Item Purchases'!$S$4:$S$30,MATCH(E75,'Item Purchases'!$B$4:$B$30,0))),"Uncategorised"))</f>
        <v>Other</v>
      </c>
      <c r="G75" s="178">
        <f>IF(E75="",0,'Pantry Inventory'!J24)</f>
        <v>0</v>
      </c>
      <c r="H75" s="178">
        <f>IF(E75="","",IF('Pantry Inventory'!K24="","",'Pantry Inventory'!K24))</f>
        <v>52</v>
      </c>
      <c r="I75" s="178">
        <f>IF(H75="","",'Pantry Inventory'!L24)</f>
        <v>26</v>
      </c>
      <c r="J75" s="179">
        <f>IF(E75="",0,IFERROR(INDEX('Item Purchases'!$Q$4:$Q$30,MATCH(E75,'Item Purchases'!$B$4:$B$30,0)),0))</f>
        <v>1.25</v>
      </c>
      <c r="K75" s="180">
        <f t="shared" si="10"/>
        <v>32.5</v>
      </c>
      <c r="L75" s="178">
        <f t="shared" si="11"/>
        <v>1</v>
      </c>
      <c r="M75" s="178">
        <f>IF(E75="",0,IF(AND(OR(OR(Dashboard!$E$5="All",Dashboard!$E$5=""),AG75=Dashboard!$E$5),OR(OR(Dashboard!$H$5="All",Dashboard!$H$5=""),F75=Dashboard!$H$5),OR(OR(Dashboard!$B$5="All",Dashboard!$B$5=""),C75=Dashboard!$B$5),OR(OR(Dashboard!$K$5="All",Dashboard!$K$5=""),A75=Dashboard!$K$5),OR(OR(Dashboard!$N$5="All",Dashboard!$N$5=""),B75=Dashboard!$N$5),OR(OR(Dashboard!$Q$5="All",Dashboard!$Q$5=""),D75=Dashboard!$Q$5),OR(OR(Dashboard!$U$5="All",Dashboard!$U$5=""),E75=Dashboard!$U$5)),1,0))</f>
        <v>1</v>
      </c>
      <c r="N75" s="178">
        <f>IF(E75="",0,IF(AND(OR(OR(Dashboard!$E$5="All",Dashboard!$E$5=""),AG75=Dashboard!$E$5),OR(OR(Dashboard!$B$5="All",Dashboard!$B$5=""),C75=Dashboard!$B$5),OR(OR(Dashboard!$K$5="All",Dashboard!$K$5=""),A75=Dashboard!$K$5),OR(OR(Dashboard!$N$5="All",Dashboard!$N$5=""),B75=Dashboard!$N$5),OR(OR(Dashboard!$Q$5="All",Dashboard!$Q$5=""),D75=Dashboard!$Q$5),OR(OR(Dashboard!$U$5="All",Dashboard!$U$5=""),E75=Dashboard!$U$5)),1,0))</f>
        <v>1</v>
      </c>
      <c r="O75" s="165">
        <f t="shared" si="12"/>
        <v>676</v>
      </c>
      <c r="AG75" s="178" t="str">
        <f>IF(E75="","",IFERROR(IF(INDEX('Item Purchases'!$AM$4:$AM$30,MATCH(E75,'Item Purchases'!$B$4:$B$30,0))="","Uncategorised",INDEX('Item Purchases'!$AM$4:$AM$30,MATCH(E75,'Item Purchases'!$B$4:$B$30,0))),"Uncategorised"))</f>
        <v>Beverages</v>
      </c>
      <c r="AH75" s="165">
        <f>IF(AND(E75&lt;&gt;"",L75=1),COUNTIFS($E$2:E75,E75,$L$2:L75,1),0)</f>
        <v>3</v>
      </c>
      <c r="AI75" s="165">
        <f t="shared" si="13"/>
        <v>26</v>
      </c>
      <c r="AJ75" s="165">
        <f t="shared" si="14"/>
        <v>1</v>
      </c>
    </row>
    <row r="76" spans="1:36" x14ac:dyDescent="0.25">
      <c r="A76" s="177">
        <f t="shared" si="8"/>
        <v>46268</v>
      </c>
      <c r="B76" s="178" t="str">
        <f t="shared" si="9"/>
        <v>Thu</v>
      </c>
      <c r="C76" s="178" t="str">
        <f>'Pantry Inventory'!$A$2</f>
        <v>Sep Week 1</v>
      </c>
      <c r="D76" s="178" t="str">
        <f>IF('Pantry Inventory'!A25="","",'Pantry Inventory'!A25)</f>
        <v>BingRae</v>
      </c>
      <c r="E76" s="178" t="str">
        <f>IF('Pantry Inventory'!B25="","",'Pantry Inventory'!B25)</f>
        <v>BingRae Banana Milk 200ml</v>
      </c>
      <c r="F76" s="178" t="str">
        <f>IF(E76="","",IFERROR(IF(INDEX('Item Purchases'!$S$4:$S$30,MATCH(E76,'Item Purchases'!$B$4:$B$30,0))="","Uncategorised",INDEX('Item Purchases'!$S$4:$S$30,MATCH(E76,'Item Purchases'!$B$4:$B$30,0))),"Uncategorised"))</f>
        <v>Other</v>
      </c>
      <c r="G76" s="178">
        <f>IF(E76="",0,'Pantry Inventory'!J25)</f>
        <v>0</v>
      </c>
      <c r="H76" s="178">
        <f>IF(E76="","",IF('Pantry Inventory'!K25="","",'Pantry Inventory'!K25))</f>
        <v>0</v>
      </c>
      <c r="I76" s="178">
        <f>IF(H76="","",'Pantry Inventory'!L25)</f>
        <v>6</v>
      </c>
      <c r="J76" s="179">
        <f>IF(E76="",0,IFERROR(INDEX('Item Purchases'!$Q$4:$Q$30,MATCH(E76,'Item Purchases'!$B$4:$B$30,0)),0))</f>
        <v>3.3159999999999998</v>
      </c>
      <c r="K76" s="180">
        <f t="shared" si="10"/>
        <v>19.896000000000001</v>
      </c>
      <c r="L76" s="178">
        <f t="shared" si="11"/>
        <v>1</v>
      </c>
      <c r="M76" s="178">
        <f>IF(E76="",0,IF(AND(OR(OR(Dashboard!$E$5="All",Dashboard!$E$5=""),AG76=Dashboard!$E$5),OR(OR(Dashboard!$H$5="All",Dashboard!$H$5=""),F76=Dashboard!$H$5),OR(OR(Dashboard!$B$5="All",Dashboard!$B$5=""),C76=Dashboard!$B$5),OR(OR(Dashboard!$K$5="All",Dashboard!$K$5=""),A76=Dashboard!$K$5),OR(OR(Dashboard!$N$5="All",Dashboard!$N$5=""),B76=Dashboard!$N$5),OR(OR(Dashboard!$Q$5="All",Dashboard!$Q$5=""),D76=Dashboard!$Q$5),OR(OR(Dashboard!$U$5="All",Dashboard!$U$5=""),E76=Dashboard!$U$5)),1,0))</f>
        <v>1</v>
      </c>
      <c r="N76" s="178">
        <f>IF(E76="",0,IF(AND(OR(OR(Dashboard!$E$5="All",Dashboard!$E$5=""),AG76=Dashboard!$E$5),OR(OR(Dashboard!$B$5="All",Dashboard!$B$5=""),C76=Dashboard!$B$5),OR(OR(Dashboard!$K$5="All",Dashboard!$K$5=""),A76=Dashboard!$K$5),OR(OR(Dashboard!$N$5="All",Dashboard!$N$5=""),B76=Dashboard!$N$5),OR(OR(Dashboard!$Q$5="All",Dashboard!$Q$5=""),D76=Dashboard!$Q$5),OR(OR(Dashboard!$U$5="All",Dashboard!$U$5=""),E76=Dashboard!$U$5)),1,0))</f>
        <v>1</v>
      </c>
      <c r="O76" s="165">
        <f t="shared" si="12"/>
        <v>0</v>
      </c>
      <c r="AG76" s="178" t="str">
        <f>IF(E76="","",IFERROR(IF(INDEX('Item Purchases'!$AM$4:$AM$30,MATCH(E76,'Item Purchases'!$B$4:$B$30,0))="","Uncategorised",INDEX('Item Purchases'!$AM$4:$AM$30,MATCH(E76,'Item Purchases'!$B$4:$B$30,0))),"Uncategorised"))</f>
        <v>Beverages</v>
      </c>
      <c r="AH76" s="165">
        <f>IF(AND(E76&lt;&gt;"",L76=1),COUNTIFS($E$2:E76,E76,$L$2:L76,1),0)</f>
        <v>3</v>
      </c>
      <c r="AI76" s="165">
        <f t="shared" si="13"/>
        <v>6</v>
      </c>
      <c r="AJ76" s="165">
        <f t="shared" si="14"/>
        <v>0</v>
      </c>
    </row>
    <row r="77" spans="1:36" x14ac:dyDescent="0.25">
      <c r="A77" s="177">
        <f t="shared" si="8"/>
        <v>46268</v>
      </c>
      <c r="B77" s="178" t="str">
        <f t="shared" si="9"/>
        <v>Thu</v>
      </c>
      <c r="C77" s="178" t="str">
        <f>'Pantry Inventory'!$A$2</f>
        <v>Sep Week 1</v>
      </c>
      <c r="D77" s="178" t="str">
        <f>IF('Pantry Inventory'!A26="","",'Pantry Inventory'!A26)</f>
        <v>Fuze Tea</v>
      </c>
      <c r="E77" s="178" t="str">
        <f>IF('Pantry Inventory'!B26="","",'Pantry Inventory'!B26)</f>
        <v>Fuze Tea by Heaven and Earth Jasmine Tea</v>
      </c>
      <c r="F77" s="178" t="str">
        <f>IF(E77="","",IFERROR(IF(INDEX('Item Purchases'!$S$4:$S$30,MATCH(E77,'Item Purchases'!$B$4:$B$30,0))="","Uncategorised",INDEX('Item Purchases'!$S$4:$S$30,MATCH(E77,'Item Purchases'!$B$4:$B$30,0))),"Uncategorised"))</f>
        <v>Tea</v>
      </c>
      <c r="G77" s="178">
        <f>IF(E77="",0,'Pantry Inventory'!J26)</f>
        <v>0</v>
      </c>
      <c r="H77" s="178">
        <f>IF(E77="","",IF('Pantry Inventory'!K26="","",'Pantry Inventory'!K26))</f>
        <v>0</v>
      </c>
      <c r="I77" s="178">
        <f>IF(H77="","",'Pantry Inventory'!L26)</f>
        <v>0</v>
      </c>
      <c r="J77" s="179">
        <f>IF(E77="",0,IFERROR(INDEX('Item Purchases'!$Q$4:$Q$30,MATCH(E77,'Item Purchases'!$B$4:$B$30,0)),0))</f>
        <v>1.167</v>
      </c>
      <c r="K77" s="180">
        <f t="shared" si="10"/>
        <v>0</v>
      </c>
      <c r="L77" s="178">
        <f t="shared" si="11"/>
        <v>1</v>
      </c>
      <c r="M77" s="178">
        <f>IF(E77="",0,IF(AND(OR(OR(Dashboard!$E$5="All",Dashboard!$E$5=""),AG77=Dashboard!$E$5),OR(OR(Dashboard!$H$5="All",Dashboard!$H$5=""),F77=Dashboard!$H$5),OR(OR(Dashboard!$B$5="All",Dashboard!$B$5=""),C77=Dashboard!$B$5),OR(OR(Dashboard!$K$5="All",Dashboard!$K$5=""),A77=Dashboard!$K$5),OR(OR(Dashboard!$N$5="All",Dashboard!$N$5=""),B77=Dashboard!$N$5),OR(OR(Dashboard!$Q$5="All",Dashboard!$Q$5=""),D77=Dashboard!$Q$5),OR(OR(Dashboard!$U$5="All",Dashboard!$U$5=""),E77=Dashboard!$U$5)),1,0))</f>
        <v>1</v>
      </c>
      <c r="N77" s="178">
        <f>IF(E77="",0,IF(AND(OR(OR(Dashboard!$E$5="All",Dashboard!$E$5=""),AG77=Dashboard!$E$5),OR(OR(Dashboard!$B$5="All",Dashboard!$B$5=""),C77=Dashboard!$B$5),OR(OR(Dashboard!$K$5="All",Dashboard!$K$5=""),A77=Dashboard!$K$5),OR(OR(Dashboard!$N$5="All",Dashboard!$N$5=""),B77=Dashboard!$N$5),OR(OR(Dashboard!$Q$5="All",Dashboard!$Q$5=""),D77=Dashboard!$Q$5),OR(OR(Dashboard!$U$5="All",Dashboard!$U$5=""),E77=Dashboard!$U$5)),1,0))</f>
        <v>1</v>
      </c>
      <c r="O77" s="165">
        <f t="shared" si="12"/>
        <v>0</v>
      </c>
      <c r="AG77" s="178" t="str">
        <f>IF(E77="","",IFERROR(IF(INDEX('Item Purchases'!$AM$4:$AM$30,MATCH(E77,'Item Purchases'!$B$4:$B$30,0))="","Uncategorised",INDEX('Item Purchases'!$AM$4:$AM$30,MATCH(E77,'Item Purchases'!$B$4:$B$30,0))),"Uncategorised"))</f>
        <v>Beverages</v>
      </c>
      <c r="AH77" s="165">
        <f>IF(AND(E77&lt;&gt;"",L77=1),COUNTIFS($E$2:E77,E77,$L$2:L77,1),0)</f>
        <v>3</v>
      </c>
      <c r="AI77" s="165">
        <f t="shared" si="13"/>
        <v>0</v>
      </c>
      <c r="AJ77" s="165">
        <f t="shared" si="14"/>
        <v>0</v>
      </c>
    </row>
    <row r="78" spans="1:36" x14ac:dyDescent="0.25">
      <c r="A78" s="177">
        <f t="shared" si="8"/>
        <v>46268</v>
      </c>
      <c r="B78" s="178" t="str">
        <f t="shared" si="9"/>
        <v>Thu</v>
      </c>
      <c r="C78" s="178" t="str">
        <f>'Pantry Inventory'!$A$2</f>
        <v>Sep Week 1</v>
      </c>
      <c r="D78" s="178" t="str">
        <f>IF('Pantry Inventory'!A27="","",'Pantry Inventory'!A27)</f>
        <v>F&amp;N</v>
      </c>
      <c r="E78" s="178" t="str">
        <f>IF('Pantry Inventory'!B27="","",'Pantry Inventory'!B27)</f>
        <v>FN 100 plus (original) 325ml</v>
      </c>
      <c r="F78" s="178" t="str">
        <f>IF(E78="","",IFERROR(IF(INDEX('Item Purchases'!$S$4:$S$30,MATCH(E78,'Item Purchases'!$B$4:$B$30,0))="","Uncategorised",INDEX('Item Purchases'!$S$4:$S$30,MATCH(E78,'Item Purchases'!$B$4:$B$30,0))),"Uncategorised"))</f>
        <v>Other</v>
      </c>
      <c r="G78" s="178">
        <f>IF(E78="",0,'Pantry Inventory'!J27)</f>
        <v>24</v>
      </c>
      <c r="H78" s="178">
        <f>IF(E78="","",IF('Pantry Inventory'!K27="","",'Pantry Inventory'!K27))</f>
        <v>38</v>
      </c>
      <c r="I78" s="178">
        <f>IF(H78="","",'Pantry Inventory'!L27)</f>
        <v>15</v>
      </c>
      <c r="J78" s="179">
        <f>IF(E78="",0,IFERROR(INDEX('Item Purchases'!$Q$4:$Q$30,MATCH(E78,'Item Purchases'!$B$4:$B$30,0)),0))</f>
        <v>1.58</v>
      </c>
      <c r="K78" s="180">
        <f t="shared" si="10"/>
        <v>23.700000000000003</v>
      </c>
      <c r="L78" s="178">
        <f t="shared" si="11"/>
        <v>1</v>
      </c>
      <c r="M78" s="178">
        <f>IF(E78="",0,IF(AND(OR(OR(Dashboard!$E$5="All",Dashboard!$E$5=""),AG78=Dashboard!$E$5),OR(OR(Dashboard!$H$5="All",Dashboard!$H$5=""),F78=Dashboard!$H$5),OR(OR(Dashboard!$B$5="All",Dashboard!$B$5=""),C78=Dashboard!$B$5),OR(OR(Dashboard!$K$5="All",Dashboard!$K$5=""),A78=Dashboard!$K$5),OR(OR(Dashboard!$N$5="All",Dashboard!$N$5=""),B78=Dashboard!$N$5),OR(OR(Dashboard!$Q$5="All",Dashboard!$Q$5=""),D78=Dashboard!$Q$5),OR(OR(Dashboard!$U$5="All",Dashboard!$U$5=""),E78=Dashboard!$U$5)),1,0))</f>
        <v>1</v>
      </c>
      <c r="N78" s="178">
        <f>IF(E78="",0,IF(AND(OR(OR(Dashboard!$E$5="All",Dashboard!$E$5=""),AG78=Dashboard!$E$5),OR(OR(Dashboard!$B$5="All",Dashboard!$B$5=""),C78=Dashboard!$B$5),OR(OR(Dashboard!$K$5="All",Dashboard!$K$5=""),A78=Dashboard!$K$5),OR(OR(Dashboard!$N$5="All",Dashboard!$N$5=""),B78=Dashboard!$N$5),OR(OR(Dashboard!$Q$5="All",Dashboard!$Q$5=""),D78=Dashboard!$Q$5),OR(OR(Dashboard!$U$5="All",Dashboard!$U$5=""),E78=Dashboard!$U$5)),1,0))</f>
        <v>1</v>
      </c>
      <c r="O78" s="165">
        <f t="shared" si="12"/>
        <v>225</v>
      </c>
      <c r="AG78" s="178" t="str">
        <f>IF(E78="","",IFERROR(IF(INDEX('Item Purchases'!$AM$4:$AM$30,MATCH(E78,'Item Purchases'!$B$4:$B$30,0))="","Uncategorised",INDEX('Item Purchases'!$AM$4:$AM$30,MATCH(E78,'Item Purchases'!$B$4:$B$30,0))),"Uncategorised"))</f>
        <v>Beverages</v>
      </c>
      <c r="AH78" s="165">
        <f>IF(AND(E78&lt;&gt;"",L78=1),COUNTIFS($E$2:E78,E78,$L$2:L78,1),0)</f>
        <v>3</v>
      </c>
      <c r="AI78" s="165">
        <f t="shared" si="13"/>
        <v>15</v>
      </c>
      <c r="AJ78" s="165">
        <f t="shared" si="14"/>
        <v>1</v>
      </c>
    </row>
    <row r="79" spans="1:36" x14ac:dyDescent="0.25">
      <c r="A79" s="177">
        <f t="shared" si="8"/>
        <v>46268</v>
      </c>
      <c r="B79" s="178" t="str">
        <f t="shared" si="9"/>
        <v>Thu</v>
      </c>
      <c r="C79" s="178" t="str">
        <f>'Pantry Inventory'!$A$2</f>
        <v>Sep Week 1</v>
      </c>
      <c r="D79" s="178" t="str">
        <f>IF('Pantry Inventory'!A28="","",'Pantry Inventory'!A28)</f>
        <v>Spritzer</v>
      </c>
      <c r="E79" s="178" t="str">
        <f>IF('Pantry Inventory'!B28="","",'Pantry Inventory'!B28)</f>
        <v>Spritzer sparkling water (original) 400ml</v>
      </c>
      <c r="F79" s="178" t="str">
        <f>IF(E79="","",IFERROR(IF(INDEX('Item Purchases'!$S$4:$S$30,MATCH(E79,'Item Purchases'!$B$4:$B$30,0))="","Uncategorised",INDEX('Item Purchases'!$S$4:$S$30,MATCH(E79,'Item Purchases'!$B$4:$B$30,0))),"Uncategorised"))</f>
        <v>Other</v>
      </c>
      <c r="G79" s="178">
        <f>IF(E79="",0,'Pantry Inventory'!J28)</f>
        <v>24</v>
      </c>
      <c r="H79" s="178">
        <f>IF(E79="","",IF('Pantry Inventory'!K28="","",'Pantry Inventory'!K28))</f>
        <v>38</v>
      </c>
      <c r="I79" s="178">
        <f>IF(H79="","",'Pantry Inventory'!L28)</f>
        <v>30</v>
      </c>
      <c r="J79" s="179">
        <f>IF(E79="",0,IFERROR(INDEX('Item Purchases'!$Q$4:$Q$30,MATCH(E79,'Item Purchases'!$B$4:$B$30,0)),0))</f>
        <v>1.616666666666666</v>
      </c>
      <c r="K79" s="180">
        <f t="shared" si="10"/>
        <v>48.499999999999979</v>
      </c>
      <c r="L79" s="178">
        <f t="shared" si="11"/>
        <v>1</v>
      </c>
      <c r="M79" s="178">
        <f>IF(E79="",0,IF(AND(OR(OR(Dashboard!$E$5="All",Dashboard!$E$5=""),AG79=Dashboard!$E$5),OR(OR(Dashboard!$H$5="All",Dashboard!$H$5=""),F79=Dashboard!$H$5),OR(OR(Dashboard!$B$5="All",Dashboard!$B$5=""),C79=Dashboard!$B$5),OR(OR(Dashboard!$K$5="All",Dashboard!$K$5=""),A79=Dashboard!$K$5),OR(OR(Dashboard!$N$5="All",Dashboard!$N$5=""),B79=Dashboard!$N$5),OR(OR(Dashboard!$Q$5="All",Dashboard!$Q$5=""),D79=Dashboard!$Q$5),OR(OR(Dashboard!$U$5="All",Dashboard!$U$5=""),E79=Dashboard!$U$5)),1,0))</f>
        <v>1</v>
      </c>
      <c r="N79" s="178">
        <f>IF(E79="",0,IF(AND(OR(OR(Dashboard!$E$5="All",Dashboard!$E$5=""),AG79=Dashboard!$E$5),OR(OR(Dashboard!$B$5="All",Dashboard!$B$5=""),C79=Dashboard!$B$5),OR(OR(Dashboard!$K$5="All",Dashboard!$K$5=""),A79=Dashboard!$K$5),OR(OR(Dashboard!$N$5="All",Dashboard!$N$5=""),B79=Dashboard!$N$5),OR(OR(Dashboard!$Q$5="All",Dashboard!$Q$5=""),D79=Dashboard!$Q$5),OR(OR(Dashboard!$U$5="All",Dashboard!$U$5=""),E79=Dashboard!$U$5)),1,0))</f>
        <v>1</v>
      </c>
      <c r="O79" s="165">
        <f t="shared" si="12"/>
        <v>900</v>
      </c>
      <c r="AG79" s="178" t="str">
        <f>IF(E79="","",IFERROR(IF(INDEX('Item Purchases'!$AM$4:$AM$30,MATCH(E79,'Item Purchases'!$B$4:$B$30,0))="","Uncategorised",INDEX('Item Purchases'!$AM$4:$AM$30,MATCH(E79,'Item Purchases'!$B$4:$B$30,0))),"Uncategorised"))</f>
        <v>Beverages</v>
      </c>
      <c r="AH79" s="165">
        <f>IF(AND(E79&lt;&gt;"",L79=1),COUNTIFS($E$2:E79,E79,$L$2:L79,1),0)</f>
        <v>3</v>
      </c>
      <c r="AI79" s="165">
        <f t="shared" si="13"/>
        <v>30</v>
      </c>
      <c r="AJ79" s="165">
        <f t="shared" si="14"/>
        <v>1</v>
      </c>
    </row>
    <row r="80" spans="1:36" x14ac:dyDescent="0.25">
      <c r="A80" s="177">
        <f t="shared" si="8"/>
        <v>46268</v>
      </c>
      <c r="B80" s="178" t="str">
        <f t="shared" si="9"/>
        <v>Thu</v>
      </c>
      <c r="C80" s="178" t="str">
        <f>'Pantry Inventory'!$A$2</f>
        <v>Sep Week 1</v>
      </c>
      <c r="D80" s="178" t="str">
        <f>IF('Pantry Inventory'!A29="","",'Pantry Inventory'!A29)</f>
        <v>Oat Side</v>
      </c>
      <c r="E80" s="178" t="str">
        <f>IF('Pantry Inventory'!B29="","",'Pantry Inventory'!B29)</f>
        <v>Oat Side Original 200ml</v>
      </c>
      <c r="F80" s="178" t="str">
        <f>IF(E80="","",IFERROR(IF(INDEX('Item Purchases'!$S$4:$S$30,MATCH(E80,'Item Purchases'!$B$4:$B$30,0))="","Uncategorised",INDEX('Item Purchases'!$S$4:$S$30,MATCH(E80,'Item Purchases'!$B$4:$B$30,0))),"Uncategorised"))</f>
        <v>Other</v>
      </c>
      <c r="G80" s="178">
        <f>IF(E80="",0,'Pantry Inventory'!J29)</f>
        <v>24</v>
      </c>
      <c r="H80" s="178">
        <f>IF(E80="","",IF('Pantry Inventory'!K29="","",'Pantry Inventory'!K29))</f>
        <v>24</v>
      </c>
      <c r="I80" s="178">
        <f>IF(H80="","",'Pantry Inventory'!L29)</f>
        <v>12</v>
      </c>
      <c r="J80" s="179">
        <f>IF(E80="",0,IFERROR(INDEX('Item Purchases'!$Q$4:$Q$30,MATCH(E80,'Item Purchases'!$B$4:$B$30,0)),0))</f>
        <v>3</v>
      </c>
      <c r="K80" s="180">
        <f t="shared" si="10"/>
        <v>36</v>
      </c>
      <c r="L80" s="178">
        <f t="shared" si="11"/>
        <v>1</v>
      </c>
      <c r="M80" s="178">
        <f>IF(E80="",0,IF(AND(OR(OR(Dashboard!$E$5="All",Dashboard!$E$5=""),AG80=Dashboard!$E$5),OR(OR(Dashboard!$H$5="All",Dashboard!$H$5=""),F80=Dashboard!$H$5),OR(OR(Dashboard!$B$5="All",Dashboard!$B$5=""),C80=Dashboard!$B$5),OR(OR(Dashboard!$K$5="All",Dashboard!$K$5=""),A80=Dashboard!$K$5),OR(OR(Dashboard!$N$5="All",Dashboard!$N$5=""),B80=Dashboard!$N$5),OR(OR(Dashboard!$Q$5="All",Dashboard!$Q$5=""),D80=Dashboard!$Q$5),OR(OR(Dashboard!$U$5="All",Dashboard!$U$5=""),E80=Dashboard!$U$5)),1,0))</f>
        <v>1</v>
      </c>
      <c r="N80" s="178">
        <f>IF(E80="",0,IF(AND(OR(OR(Dashboard!$E$5="All",Dashboard!$E$5=""),AG80=Dashboard!$E$5),OR(OR(Dashboard!$B$5="All",Dashboard!$B$5=""),C80=Dashboard!$B$5),OR(OR(Dashboard!$K$5="All",Dashboard!$K$5=""),A80=Dashboard!$K$5),OR(OR(Dashboard!$N$5="All",Dashboard!$N$5=""),B80=Dashboard!$N$5),OR(OR(Dashboard!$Q$5="All",Dashboard!$Q$5=""),D80=Dashboard!$Q$5),OR(OR(Dashboard!$U$5="All",Dashboard!$U$5=""),E80=Dashboard!$U$5)),1,0))</f>
        <v>1</v>
      </c>
      <c r="O80" s="165">
        <f t="shared" si="12"/>
        <v>144</v>
      </c>
      <c r="AG80" s="178" t="str">
        <f>IF(E80="","",IFERROR(IF(INDEX('Item Purchases'!$AM$4:$AM$30,MATCH(E80,'Item Purchases'!$B$4:$B$30,0))="","Uncategorised",INDEX('Item Purchases'!$AM$4:$AM$30,MATCH(E80,'Item Purchases'!$B$4:$B$30,0))),"Uncategorised"))</f>
        <v>Beverages</v>
      </c>
      <c r="AH80" s="165">
        <f>IF(AND(E80&lt;&gt;"",L80=1),COUNTIFS($E$2:E80,E80,$L$2:L80,1),0)</f>
        <v>3</v>
      </c>
      <c r="AI80" s="165">
        <f t="shared" si="13"/>
        <v>12</v>
      </c>
      <c r="AJ80" s="165">
        <f t="shared" si="14"/>
        <v>1</v>
      </c>
    </row>
    <row r="81" spans="1:36" x14ac:dyDescent="0.25">
      <c r="A81" s="177">
        <f t="shared" si="8"/>
        <v>46268</v>
      </c>
      <c r="B81" s="178" t="str">
        <f t="shared" si="9"/>
        <v>Thu</v>
      </c>
      <c r="C81" s="178" t="str">
        <f>'Pantry Inventory'!$A$2</f>
        <v>Sep Week 1</v>
      </c>
      <c r="D81" s="178" t="str">
        <f>IF('Pantry Inventory'!A30="","",'Pantry Inventory'!A30)</f>
        <v>Oat Side</v>
      </c>
      <c r="E81" s="178" t="str">
        <f>IF('Pantry Inventory'!B30="","",'Pantry Inventory'!B30)</f>
        <v>Oat Side Chocolate 200ml</v>
      </c>
      <c r="F81" s="178" t="str">
        <f>IF(E81="","",IFERROR(IF(INDEX('Item Purchases'!$S$4:$S$30,MATCH(E81,'Item Purchases'!$B$4:$B$30,0))="","Uncategorised",INDEX('Item Purchases'!$S$4:$S$30,MATCH(E81,'Item Purchases'!$B$4:$B$30,0))),"Uncategorised"))</f>
        <v>Other</v>
      </c>
      <c r="G81" s="178">
        <f>IF(E81="",0,'Pantry Inventory'!J30)</f>
        <v>45</v>
      </c>
      <c r="H81" s="178">
        <f>IF(E81="","",IF('Pantry Inventory'!K30="","",'Pantry Inventory'!K30))</f>
        <v>45</v>
      </c>
      <c r="I81" s="178">
        <f>IF(H81="","",'Pantry Inventory'!L30)</f>
        <v>0</v>
      </c>
      <c r="J81" s="179">
        <f>IF(E81="",0,IFERROR(INDEX('Item Purchases'!$Q$4:$Q$30,MATCH(E81,'Item Purchases'!$B$4:$B$30,0)),0))</f>
        <v>3</v>
      </c>
      <c r="K81" s="180">
        <f t="shared" si="10"/>
        <v>0</v>
      </c>
      <c r="L81" s="178">
        <f t="shared" si="11"/>
        <v>1</v>
      </c>
      <c r="M81" s="178">
        <f>IF(E81="",0,IF(AND(OR(OR(Dashboard!$E$5="All",Dashboard!$E$5=""),AG81=Dashboard!$E$5),OR(OR(Dashboard!$H$5="All",Dashboard!$H$5=""),F81=Dashboard!$H$5),OR(OR(Dashboard!$B$5="All",Dashboard!$B$5=""),C81=Dashboard!$B$5),OR(OR(Dashboard!$K$5="All",Dashboard!$K$5=""),A81=Dashboard!$K$5),OR(OR(Dashboard!$N$5="All",Dashboard!$N$5=""),B81=Dashboard!$N$5),OR(OR(Dashboard!$Q$5="All",Dashboard!$Q$5=""),D81=Dashboard!$Q$5),OR(OR(Dashboard!$U$5="All",Dashboard!$U$5=""),E81=Dashboard!$U$5)),1,0))</f>
        <v>1</v>
      </c>
      <c r="N81" s="178">
        <f>IF(E81="",0,IF(AND(OR(OR(Dashboard!$E$5="All",Dashboard!$E$5=""),AG81=Dashboard!$E$5),OR(OR(Dashboard!$B$5="All",Dashboard!$B$5=""),C81=Dashboard!$B$5),OR(OR(Dashboard!$K$5="All",Dashboard!$K$5=""),A81=Dashboard!$K$5),OR(OR(Dashboard!$N$5="All",Dashboard!$N$5=""),B81=Dashboard!$N$5),OR(OR(Dashboard!$Q$5="All",Dashboard!$Q$5=""),D81=Dashboard!$Q$5),OR(OR(Dashboard!$U$5="All",Dashboard!$U$5=""),E81=Dashboard!$U$5)),1,0))</f>
        <v>1</v>
      </c>
      <c r="O81" s="165">
        <f t="shared" si="12"/>
        <v>0</v>
      </c>
      <c r="AG81" s="178" t="str">
        <f>IF(E81="","",IFERROR(IF(INDEX('Item Purchases'!$AM$4:$AM$30,MATCH(E81,'Item Purchases'!$B$4:$B$30,0))="","Uncategorised",INDEX('Item Purchases'!$AM$4:$AM$30,MATCH(E81,'Item Purchases'!$B$4:$B$30,0))),"Uncategorised"))</f>
        <v>Beverages</v>
      </c>
      <c r="AH81" s="165">
        <f>IF(AND(E81&lt;&gt;"",L81=1),COUNTIFS($E$2:E81,E81,$L$2:L81,1),0)</f>
        <v>3</v>
      </c>
      <c r="AI81" s="165">
        <f t="shared" si="13"/>
        <v>0</v>
      </c>
      <c r="AJ81" s="165">
        <f t="shared" si="14"/>
        <v>1</v>
      </c>
    </row>
    <row r="82" spans="1:36" x14ac:dyDescent="0.25">
      <c r="A82" s="177">
        <f t="shared" si="8"/>
        <v>46268</v>
      </c>
      <c r="B82" s="178" t="str">
        <f t="shared" si="9"/>
        <v>Thu</v>
      </c>
      <c r="C82" s="178" t="str">
        <f>'Pantry Inventory'!$A$2</f>
        <v>Sep Week 1</v>
      </c>
      <c r="D82" s="178" t="str">
        <f>IF('Pantry Inventory'!A31="","",'Pantry Inventory'!A31)</f>
        <v/>
      </c>
      <c r="E82" s="178" t="str">
        <f>IF('Pantry Inventory'!B31="","",'Pantry Inventory'!B31)</f>
        <v/>
      </c>
      <c r="F82" s="178" t="str">
        <f>IF(E82="","",IFERROR(IF(INDEX('Item Purchases'!$S$4:$S$30,MATCH(E82,'Item Purchases'!$B$4:$B$30,0))="","Uncategorised",INDEX('Item Purchases'!$S$4:$S$30,MATCH(E82,'Item Purchases'!$B$4:$B$30,0))),"Uncategorised"))</f>
        <v/>
      </c>
      <c r="G82" s="178">
        <f>IF(E82="",0,'Pantry Inventory'!J31)</f>
        <v>0</v>
      </c>
      <c r="H82" s="178" t="str">
        <f>IF(E82="","",IF('Pantry Inventory'!K31="","",'Pantry Inventory'!K31))</f>
        <v/>
      </c>
      <c r="I82" s="178" t="str">
        <f>IF(H82="","",'Pantry Inventory'!L31)</f>
        <v/>
      </c>
      <c r="J82" s="179">
        <f>IF(E82="",0,IFERROR(INDEX('Item Purchases'!$Q$4:$Q$30,MATCH(E82,'Item Purchases'!$B$4:$B$30,0)),0))</f>
        <v>0</v>
      </c>
      <c r="K82" s="180" t="str">
        <f t="shared" si="10"/>
        <v/>
      </c>
      <c r="L82" s="178">
        <f t="shared" si="11"/>
        <v>0</v>
      </c>
      <c r="M82" s="178">
        <f>IF(E82="",0,IF(AND(OR(OR(Dashboard!$E$5="All",Dashboard!$E$5=""),AG82=Dashboard!$E$5),OR(OR(Dashboard!$H$5="All",Dashboard!$H$5=""),F82=Dashboard!$H$5),OR(OR(Dashboard!$B$5="All",Dashboard!$B$5=""),C82=Dashboard!$B$5),OR(OR(Dashboard!$K$5="All",Dashboard!$K$5=""),A82=Dashboard!$K$5),OR(OR(Dashboard!$N$5="All",Dashboard!$N$5=""),B82=Dashboard!$N$5),OR(OR(Dashboard!$Q$5="All",Dashboard!$Q$5=""),D82=Dashboard!$Q$5),OR(OR(Dashboard!$U$5="All",Dashboard!$U$5=""),E82=Dashboard!$U$5)),1,0))</f>
        <v>0</v>
      </c>
      <c r="N82" s="178">
        <f>IF(E82="",0,IF(AND(OR(OR(Dashboard!$E$5="All",Dashboard!$E$5=""),AG82=Dashboard!$E$5),OR(OR(Dashboard!$B$5="All",Dashboard!$B$5=""),C82=Dashboard!$B$5),OR(OR(Dashboard!$K$5="All",Dashboard!$K$5=""),A82=Dashboard!$K$5),OR(OR(Dashboard!$N$5="All",Dashboard!$N$5=""),B82=Dashboard!$N$5),OR(OR(Dashboard!$Q$5="All",Dashboard!$Q$5=""),D82=Dashboard!$Q$5),OR(OR(Dashboard!$U$5="All",Dashboard!$U$5=""),E82=Dashboard!$U$5)),1,0))</f>
        <v>0</v>
      </c>
      <c r="O82" s="165">
        <f t="shared" si="12"/>
        <v>0</v>
      </c>
      <c r="AG82" s="178" t="str">
        <f>IF(E82="","",IFERROR(IF(INDEX('Item Purchases'!$AM$4:$AM$30,MATCH(E82,'Item Purchases'!$B$4:$B$30,0))="","Uncategorised",INDEX('Item Purchases'!$AM$4:$AM$30,MATCH(E82,'Item Purchases'!$B$4:$B$30,0))),"Uncategorised"))</f>
        <v/>
      </c>
      <c r="AH82" s="165">
        <f>IF(AND(E82&lt;&gt;"",L82=1),COUNTIFS($E$2:E82,E82,$L$2:L82,1),0)</f>
        <v>0</v>
      </c>
      <c r="AI82" s="165">
        <f t="shared" si="13"/>
        <v>0</v>
      </c>
      <c r="AJ82" s="165">
        <f t="shared" si="14"/>
        <v>0</v>
      </c>
    </row>
    <row r="83" spans="1:36" x14ac:dyDescent="0.25">
      <c r="A83" s="177">
        <f t="shared" ref="A83:A109" si="15">IF($Z$5="",0,$Z$5)</f>
        <v>46269</v>
      </c>
      <c r="B83" s="178" t="str">
        <f t="shared" si="9"/>
        <v>Fri</v>
      </c>
      <c r="C83" s="178" t="str">
        <f>'Pantry Inventory'!$A$2</f>
        <v>Sep Week 1</v>
      </c>
      <c r="D83" s="178" t="str">
        <f>IF('Pantry Inventory'!A5="","",'Pantry Inventory'!A5)</f>
        <v>Julie's</v>
      </c>
      <c r="E83" s="178" t="str">
        <f>IF('Pantry Inventory'!B5="","",'Pantry Inventory'!B5)</f>
        <v>Julie's Peanut Butter Sandwich 360g (12pkts x 30g)</v>
      </c>
      <c r="F83" s="178" t="str">
        <f>IF(E83="","",IFERROR(IF(INDEX('Item Purchases'!$S$4:$S$30,MATCH(E83,'Item Purchases'!$B$4:$B$30,0))="","Uncategorised",INDEX('Item Purchases'!$S$4:$S$30,MATCH(E83,'Item Purchases'!$B$4:$B$30,0))),"Uncategorised"))</f>
        <v>Sweet</v>
      </c>
      <c r="G83" s="178">
        <f>IF(E83="",0,'Pantry Inventory'!M5)</f>
        <v>0</v>
      </c>
      <c r="H83" s="178">
        <f>IF(E83="","",IF('Pantry Inventory'!N5="","",'Pantry Inventory'!N5))</f>
        <v>33</v>
      </c>
      <c r="I83" s="178">
        <f>IF(H83="","",'Pantry Inventory'!O5)</f>
        <v>19</v>
      </c>
      <c r="J83" s="179">
        <f>IF(E83="",0,IFERROR(INDEX('Item Purchases'!$Q$4:$Q$30,MATCH(E83,'Item Purchases'!$B$4:$B$30,0)),0))</f>
        <v>1.083</v>
      </c>
      <c r="K83" s="180">
        <f t="shared" si="10"/>
        <v>20.576999999999998</v>
      </c>
      <c r="L83" s="178">
        <f t="shared" si="11"/>
        <v>1</v>
      </c>
      <c r="M83" s="178">
        <f>IF(E83="",0,IF(AND(OR(OR(Dashboard!$E$5="All",Dashboard!$E$5=""),AG83=Dashboard!$E$5),OR(OR(Dashboard!$H$5="All",Dashboard!$H$5=""),F83=Dashboard!$H$5),OR(OR(Dashboard!$B$5="All",Dashboard!$B$5=""),C83=Dashboard!$B$5),OR(OR(Dashboard!$K$5="All",Dashboard!$K$5=""),A83=Dashboard!$K$5),OR(OR(Dashboard!$N$5="All",Dashboard!$N$5=""),B83=Dashboard!$N$5),OR(OR(Dashboard!$Q$5="All",Dashboard!$Q$5=""),D83=Dashboard!$Q$5),OR(OR(Dashboard!$U$5="All",Dashboard!$U$5=""),E83=Dashboard!$U$5)),1,0))</f>
        <v>1</v>
      </c>
      <c r="N83" s="178">
        <f>IF(E83="",0,IF(AND(OR(OR(Dashboard!$E$5="All",Dashboard!$E$5=""),AG83=Dashboard!$E$5),OR(OR(Dashboard!$B$5="All",Dashboard!$B$5=""),C83=Dashboard!$B$5),OR(OR(Dashboard!$K$5="All",Dashboard!$K$5=""),A83=Dashboard!$K$5),OR(OR(Dashboard!$N$5="All",Dashboard!$N$5=""),B83=Dashboard!$N$5),OR(OR(Dashboard!$Q$5="All",Dashboard!$Q$5=""),D83=Dashboard!$Q$5),OR(OR(Dashboard!$U$5="All",Dashboard!$U$5=""),E83=Dashboard!$U$5)),1,0))</f>
        <v>1</v>
      </c>
      <c r="O83" s="165">
        <f t="shared" si="12"/>
        <v>361</v>
      </c>
      <c r="AG83" s="178" t="str">
        <f>IF(E83="","",IFERROR(IF(INDEX('Item Purchases'!$AM$4:$AM$30,MATCH(E83,'Item Purchases'!$B$4:$B$30,0))="","Uncategorised",INDEX('Item Purchases'!$AM$4:$AM$30,MATCH(E83,'Item Purchases'!$B$4:$B$30,0))),"Uncategorised"))</f>
        <v>Snacks</v>
      </c>
      <c r="AH83" s="165">
        <f>IF(AND(E83&lt;&gt;"",L83=1),COUNTIFS($E$2:E83,E83,$L$2:L83,1),0)</f>
        <v>4</v>
      </c>
      <c r="AI83" s="165">
        <f t="shared" si="13"/>
        <v>19</v>
      </c>
      <c r="AJ83" s="165">
        <f t="shared" si="14"/>
        <v>1</v>
      </c>
    </row>
    <row r="84" spans="1:36" x14ac:dyDescent="0.25">
      <c r="A84" s="177">
        <f t="shared" si="15"/>
        <v>46269</v>
      </c>
      <c r="B84" s="178" t="str">
        <f t="shared" si="9"/>
        <v>Fri</v>
      </c>
      <c r="C84" s="178" t="str">
        <f>'Pantry Inventory'!$A$2</f>
        <v>Sep Week 1</v>
      </c>
      <c r="D84" s="178" t="str">
        <f>IF('Pantry Inventory'!A6="","",'Pantry Inventory'!A6)</f>
        <v>Julie's</v>
      </c>
      <c r="E84" s="178" t="str">
        <f>IF('Pantry Inventory'!B6="","",'Pantry Inventory'!B6)</f>
        <v>Julies Butter Waffles</v>
      </c>
      <c r="F84" s="178" t="str">
        <f>IF(E84="","",IFERROR(IF(INDEX('Item Purchases'!$S$4:$S$30,MATCH(E84,'Item Purchases'!$B$4:$B$30,0))="","Uncategorised",INDEX('Item Purchases'!$S$4:$S$30,MATCH(E84,'Item Purchases'!$B$4:$B$30,0))),"Uncategorised"))</f>
        <v>Sweet</v>
      </c>
      <c r="G84" s="178">
        <f>IF(E84="",0,'Pantry Inventory'!M6)</f>
        <v>0</v>
      </c>
      <c r="H84" s="178">
        <f>IF(E84="","",IF('Pantry Inventory'!N6="","",'Pantry Inventory'!N6))</f>
        <v>11</v>
      </c>
      <c r="I84" s="178">
        <f>IF(H84="","",'Pantry Inventory'!O6)</f>
        <v>0</v>
      </c>
      <c r="J84" s="179">
        <f>IF(E84="",0,IFERROR(INDEX('Item Purchases'!$Q$4:$Q$30,MATCH(E84,'Item Purchases'!$B$4:$B$30,0)),0))</f>
        <v>5.15</v>
      </c>
      <c r="K84" s="180">
        <f t="shared" si="10"/>
        <v>0</v>
      </c>
      <c r="L84" s="178">
        <f t="shared" si="11"/>
        <v>1</v>
      </c>
      <c r="M84" s="178">
        <f>IF(E84="",0,IF(AND(OR(OR(Dashboard!$E$5="All",Dashboard!$E$5=""),AG84=Dashboard!$E$5),OR(OR(Dashboard!$H$5="All",Dashboard!$H$5=""),F84=Dashboard!$H$5),OR(OR(Dashboard!$B$5="All",Dashboard!$B$5=""),C84=Dashboard!$B$5),OR(OR(Dashboard!$K$5="All",Dashboard!$K$5=""),A84=Dashboard!$K$5),OR(OR(Dashboard!$N$5="All",Dashboard!$N$5=""),B84=Dashboard!$N$5),OR(OR(Dashboard!$Q$5="All",Dashboard!$Q$5=""),D84=Dashboard!$Q$5),OR(OR(Dashboard!$U$5="All",Dashboard!$U$5=""),E84=Dashboard!$U$5)),1,0))</f>
        <v>1</v>
      </c>
      <c r="N84" s="178">
        <f>IF(E84="",0,IF(AND(OR(OR(Dashboard!$E$5="All",Dashboard!$E$5=""),AG84=Dashboard!$E$5),OR(OR(Dashboard!$B$5="All",Dashboard!$B$5=""),C84=Dashboard!$B$5),OR(OR(Dashboard!$K$5="All",Dashboard!$K$5=""),A84=Dashboard!$K$5),OR(OR(Dashboard!$N$5="All",Dashboard!$N$5=""),B84=Dashboard!$N$5),OR(OR(Dashboard!$Q$5="All",Dashboard!$Q$5=""),D84=Dashboard!$Q$5),OR(OR(Dashboard!$U$5="All",Dashboard!$U$5=""),E84=Dashboard!$U$5)),1,0))</f>
        <v>1</v>
      </c>
      <c r="O84" s="165">
        <f t="shared" si="12"/>
        <v>0</v>
      </c>
      <c r="AG84" s="178" t="str">
        <f>IF(E84="","",IFERROR(IF(INDEX('Item Purchases'!$AM$4:$AM$30,MATCH(E84,'Item Purchases'!$B$4:$B$30,0))="","Uncategorised",INDEX('Item Purchases'!$AM$4:$AM$30,MATCH(E84,'Item Purchases'!$B$4:$B$30,0))),"Uncategorised"))</f>
        <v>Snacks</v>
      </c>
      <c r="AH84" s="165">
        <f>IF(AND(E84&lt;&gt;"",L84=1),COUNTIFS($E$2:E84,E84,$L$2:L84,1),0)</f>
        <v>4</v>
      </c>
      <c r="AI84" s="165">
        <f t="shared" si="13"/>
        <v>0</v>
      </c>
      <c r="AJ84" s="165">
        <f t="shared" si="14"/>
        <v>1</v>
      </c>
    </row>
    <row r="85" spans="1:36" x14ac:dyDescent="0.25">
      <c r="A85" s="177">
        <f t="shared" si="15"/>
        <v>46269</v>
      </c>
      <c r="B85" s="178" t="str">
        <f t="shared" si="9"/>
        <v>Fri</v>
      </c>
      <c r="C85" s="178" t="str">
        <f>'Pantry Inventory'!$A$2</f>
        <v>Sep Week 1</v>
      </c>
      <c r="D85" s="178" t="str">
        <f>IF('Pantry Inventory'!A7="","",'Pantry Inventory'!A7)</f>
        <v>Julie's</v>
      </c>
      <c r="E85" s="178" t="str">
        <f>IF('Pantry Inventory'!B7="","",'Pantry Inventory'!B7)</f>
        <v>Julies Choco More Sandwich (44G)</v>
      </c>
      <c r="F85" s="178" t="str">
        <f>IF(E85="","",IFERROR(IF(INDEX('Item Purchases'!$S$4:$S$30,MATCH(E85,'Item Purchases'!$B$4:$B$30,0))="","Uncategorised",INDEX('Item Purchases'!$S$4:$S$30,MATCH(E85,'Item Purchases'!$B$4:$B$30,0))),"Uncategorised"))</f>
        <v>Sweet</v>
      </c>
      <c r="G85" s="178">
        <f>IF(E85="",0,'Pantry Inventory'!M7)</f>
        <v>0</v>
      </c>
      <c r="H85" s="178">
        <f>IF(E85="","",IF('Pantry Inventory'!N7="","",'Pantry Inventory'!N7))</f>
        <v>0</v>
      </c>
      <c r="I85" s="178">
        <f>IF(H85="","",'Pantry Inventory'!O7)</f>
        <v>0</v>
      </c>
      <c r="J85" s="179">
        <f>IF(E85="",0,IFERROR(INDEX('Item Purchases'!$Q$4:$Q$30,MATCH(E85,'Item Purchases'!$B$4:$B$30,0)),0))</f>
        <v>1.2</v>
      </c>
      <c r="K85" s="180">
        <f t="shared" si="10"/>
        <v>0</v>
      </c>
      <c r="L85" s="178">
        <f t="shared" si="11"/>
        <v>1</v>
      </c>
      <c r="M85" s="178">
        <f>IF(E85="",0,IF(AND(OR(OR(Dashboard!$E$5="All",Dashboard!$E$5=""),AG85=Dashboard!$E$5),OR(OR(Dashboard!$H$5="All",Dashboard!$H$5=""),F85=Dashboard!$H$5),OR(OR(Dashboard!$B$5="All",Dashboard!$B$5=""),C85=Dashboard!$B$5),OR(OR(Dashboard!$K$5="All",Dashboard!$K$5=""),A85=Dashboard!$K$5),OR(OR(Dashboard!$N$5="All",Dashboard!$N$5=""),B85=Dashboard!$N$5),OR(OR(Dashboard!$Q$5="All",Dashboard!$Q$5=""),D85=Dashboard!$Q$5),OR(OR(Dashboard!$U$5="All",Dashboard!$U$5=""),E85=Dashboard!$U$5)),1,0))</f>
        <v>1</v>
      </c>
      <c r="N85" s="178">
        <f>IF(E85="",0,IF(AND(OR(OR(Dashboard!$E$5="All",Dashboard!$E$5=""),AG85=Dashboard!$E$5),OR(OR(Dashboard!$B$5="All",Dashboard!$B$5=""),C85=Dashboard!$B$5),OR(OR(Dashboard!$K$5="All",Dashboard!$K$5=""),A85=Dashboard!$K$5),OR(OR(Dashboard!$N$5="All",Dashboard!$N$5=""),B85=Dashboard!$N$5),OR(OR(Dashboard!$Q$5="All",Dashboard!$Q$5=""),D85=Dashboard!$Q$5),OR(OR(Dashboard!$U$5="All",Dashboard!$U$5=""),E85=Dashboard!$U$5)),1,0))</f>
        <v>1</v>
      </c>
      <c r="O85" s="165">
        <f t="shared" si="12"/>
        <v>0</v>
      </c>
      <c r="AG85" s="178" t="str">
        <f>IF(E85="","",IFERROR(IF(INDEX('Item Purchases'!$AM$4:$AM$30,MATCH(E85,'Item Purchases'!$B$4:$B$30,0))="","Uncategorised",INDEX('Item Purchases'!$AM$4:$AM$30,MATCH(E85,'Item Purchases'!$B$4:$B$30,0))),"Uncategorised"))</f>
        <v>Snacks</v>
      </c>
      <c r="AH85" s="165">
        <f>IF(AND(E85&lt;&gt;"",L85=1),COUNTIFS($E$2:E85,E85,$L$2:L85,1),0)</f>
        <v>4</v>
      </c>
      <c r="AI85" s="165">
        <f t="shared" si="13"/>
        <v>0</v>
      </c>
      <c r="AJ85" s="165">
        <f t="shared" si="14"/>
        <v>0</v>
      </c>
    </row>
    <row r="86" spans="1:36" x14ac:dyDescent="0.25">
      <c r="A86" s="177">
        <f t="shared" si="15"/>
        <v>46269</v>
      </c>
      <c r="B86" s="178" t="str">
        <f t="shared" si="9"/>
        <v>Fri</v>
      </c>
      <c r="C86" s="178" t="str">
        <f>'Pantry Inventory'!$A$2</f>
        <v>Sep Week 1</v>
      </c>
      <c r="D86" s="178" t="str">
        <f>IF('Pantry Inventory'!A8="","",'Pantry Inventory'!A8)</f>
        <v>Julie's</v>
      </c>
      <c r="E86" s="178" t="str">
        <f>IF('Pantry Inventory'!B8="","",'Pantry Inventory'!B8)</f>
        <v>Julies Cheese Sandwich (28G)</v>
      </c>
      <c r="F86" s="178" t="str">
        <f>IF(E86="","",IFERROR(IF(INDEX('Item Purchases'!$S$4:$S$30,MATCH(E86,'Item Purchases'!$B$4:$B$30,0))="","Uncategorised",INDEX('Item Purchases'!$S$4:$S$30,MATCH(E86,'Item Purchases'!$B$4:$B$30,0))),"Uncategorised"))</f>
        <v>Savoury</v>
      </c>
      <c r="G86" s="178">
        <f>IF(E86="",0,'Pantry Inventory'!M8)</f>
        <v>0</v>
      </c>
      <c r="H86" s="178">
        <f>IF(E86="","",IF('Pantry Inventory'!N8="","",'Pantry Inventory'!N8))</f>
        <v>18</v>
      </c>
      <c r="I86" s="178">
        <f>IF(H86="","",'Pantry Inventory'!O8)</f>
        <v>6</v>
      </c>
      <c r="J86" s="179">
        <f>IF(E86="",0,IFERROR(INDEX('Item Purchases'!$Q$4:$Q$30,MATCH(E86,'Item Purchases'!$B$4:$B$30,0)),0))</f>
        <v>1.1000000000000001</v>
      </c>
      <c r="K86" s="180">
        <f t="shared" si="10"/>
        <v>6.6000000000000005</v>
      </c>
      <c r="L86" s="178">
        <f t="shared" si="11"/>
        <v>1</v>
      </c>
      <c r="M86" s="178">
        <f>IF(E86="",0,IF(AND(OR(OR(Dashboard!$E$5="All",Dashboard!$E$5=""),AG86=Dashboard!$E$5),OR(OR(Dashboard!$H$5="All",Dashboard!$H$5=""),F86=Dashboard!$H$5),OR(OR(Dashboard!$B$5="All",Dashboard!$B$5=""),C86=Dashboard!$B$5),OR(OR(Dashboard!$K$5="All",Dashboard!$K$5=""),A86=Dashboard!$K$5),OR(OR(Dashboard!$N$5="All",Dashboard!$N$5=""),B86=Dashboard!$N$5),OR(OR(Dashboard!$Q$5="All",Dashboard!$Q$5=""),D86=Dashboard!$Q$5),OR(OR(Dashboard!$U$5="All",Dashboard!$U$5=""),E86=Dashboard!$U$5)),1,0))</f>
        <v>1</v>
      </c>
      <c r="N86" s="178">
        <f>IF(E86="",0,IF(AND(OR(OR(Dashboard!$E$5="All",Dashboard!$E$5=""),AG86=Dashboard!$E$5),OR(OR(Dashboard!$B$5="All",Dashboard!$B$5=""),C86=Dashboard!$B$5),OR(OR(Dashboard!$K$5="All",Dashboard!$K$5=""),A86=Dashboard!$K$5),OR(OR(Dashboard!$N$5="All",Dashboard!$N$5=""),B86=Dashboard!$N$5),OR(OR(Dashboard!$Q$5="All",Dashboard!$Q$5=""),D86=Dashboard!$Q$5),OR(OR(Dashboard!$U$5="All",Dashboard!$U$5=""),E86=Dashboard!$U$5)),1,0))</f>
        <v>1</v>
      </c>
      <c r="O86" s="165">
        <f t="shared" si="12"/>
        <v>36</v>
      </c>
      <c r="AG86" s="178" t="str">
        <f>IF(E86="","",IFERROR(IF(INDEX('Item Purchases'!$AM$4:$AM$30,MATCH(E86,'Item Purchases'!$B$4:$B$30,0))="","Uncategorised",INDEX('Item Purchases'!$AM$4:$AM$30,MATCH(E86,'Item Purchases'!$B$4:$B$30,0))),"Uncategorised"))</f>
        <v>Snacks</v>
      </c>
      <c r="AH86" s="165">
        <f>IF(AND(E86&lt;&gt;"",L86=1),COUNTIFS($E$2:E86,E86,$L$2:L86,1),0)</f>
        <v>4</v>
      </c>
      <c r="AI86" s="165">
        <f t="shared" si="13"/>
        <v>6</v>
      </c>
      <c r="AJ86" s="165">
        <f t="shared" si="14"/>
        <v>1</v>
      </c>
    </row>
    <row r="87" spans="1:36" x14ac:dyDescent="0.25">
      <c r="A87" s="177">
        <f t="shared" si="15"/>
        <v>46269</v>
      </c>
      <c r="B87" s="178" t="str">
        <f t="shared" si="9"/>
        <v>Fri</v>
      </c>
      <c r="C87" s="178" t="str">
        <f>'Pantry Inventory'!$A$2</f>
        <v>Sep Week 1</v>
      </c>
      <c r="D87" s="178" t="str">
        <f>IF('Pantry Inventory'!A9="","",'Pantry Inventory'!A9)</f>
        <v>Nature Valley</v>
      </c>
      <c r="E87" s="178" t="str">
        <f>IF('Pantry Inventory'!B9="","",'Pantry Inventory'!B9)</f>
        <v>NV OATS &amp; DARK CHOC 42GX5</v>
      </c>
      <c r="F87" s="178" t="str">
        <f>IF(E87="","",IFERROR(IF(INDEX('Item Purchases'!$S$4:$S$30,MATCH(E87,'Item Purchases'!$B$4:$B$30,0))="","Uncategorised",INDEX('Item Purchases'!$S$4:$S$30,MATCH(E87,'Item Purchases'!$B$4:$B$30,0))),"Uncategorised"))</f>
        <v>Sweet</v>
      </c>
      <c r="G87" s="178">
        <f>IF(E87="",0,'Pantry Inventory'!M9)</f>
        <v>0</v>
      </c>
      <c r="H87" s="178">
        <f>IF(E87="","",IF('Pantry Inventory'!N9="","",'Pantry Inventory'!N9))</f>
        <v>0</v>
      </c>
      <c r="I87" s="178">
        <f>IF(H87="","",'Pantry Inventory'!O9)</f>
        <v>0</v>
      </c>
      <c r="J87" s="179">
        <f>IF(E87="",0,IFERROR(INDEX('Item Purchases'!$Q$4:$Q$30,MATCH(E87,'Item Purchases'!$B$4:$B$30,0)),0))</f>
        <v>2.78</v>
      </c>
      <c r="K87" s="180">
        <f t="shared" si="10"/>
        <v>0</v>
      </c>
      <c r="L87" s="178">
        <f t="shared" si="11"/>
        <v>1</v>
      </c>
      <c r="M87" s="178">
        <f>IF(E87="",0,IF(AND(OR(OR(Dashboard!$E$5="All",Dashboard!$E$5=""),AG87=Dashboard!$E$5),OR(OR(Dashboard!$H$5="All",Dashboard!$H$5=""),F87=Dashboard!$H$5),OR(OR(Dashboard!$B$5="All",Dashboard!$B$5=""),C87=Dashboard!$B$5),OR(OR(Dashboard!$K$5="All",Dashboard!$K$5=""),A87=Dashboard!$K$5),OR(OR(Dashboard!$N$5="All",Dashboard!$N$5=""),B87=Dashboard!$N$5),OR(OR(Dashboard!$Q$5="All",Dashboard!$Q$5=""),D87=Dashboard!$Q$5),OR(OR(Dashboard!$U$5="All",Dashboard!$U$5=""),E87=Dashboard!$U$5)),1,0))</f>
        <v>1</v>
      </c>
      <c r="N87" s="178">
        <f>IF(E87="",0,IF(AND(OR(OR(Dashboard!$E$5="All",Dashboard!$E$5=""),AG87=Dashboard!$E$5),OR(OR(Dashboard!$B$5="All",Dashboard!$B$5=""),C87=Dashboard!$B$5),OR(OR(Dashboard!$K$5="All",Dashboard!$K$5=""),A87=Dashboard!$K$5),OR(OR(Dashboard!$N$5="All",Dashboard!$N$5=""),B87=Dashboard!$N$5),OR(OR(Dashboard!$Q$5="All",Dashboard!$Q$5=""),D87=Dashboard!$Q$5),OR(OR(Dashboard!$U$5="All",Dashboard!$U$5=""),E87=Dashboard!$U$5)),1,0))</f>
        <v>1</v>
      </c>
      <c r="O87" s="165">
        <f t="shared" si="12"/>
        <v>0</v>
      </c>
      <c r="AG87" s="178" t="str">
        <f>IF(E87="","",IFERROR(IF(INDEX('Item Purchases'!$AM$4:$AM$30,MATCH(E87,'Item Purchases'!$B$4:$B$30,0))="","Uncategorised",INDEX('Item Purchases'!$AM$4:$AM$30,MATCH(E87,'Item Purchases'!$B$4:$B$30,0))),"Uncategorised"))</f>
        <v>Snacks</v>
      </c>
      <c r="AH87" s="165">
        <f>IF(AND(E87&lt;&gt;"",L87=1),COUNTIFS($E$2:E87,E87,$L$2:L87,1),0)</f>
        <v>4</v>
      </c>
      <c r="AI87" s="165">
        <f t="shared" si="13"/>
        <v>0</v>
      </c>
      <c r="AJ87" s="165">
        <f t="shared" si="14"/>
        <v>0</v>
      </c>
    </row>
    <row r="88" spans="1:36" x14ac:dyDescent="0.25">
      <c r="A88" s="177">
        <f t="shared" si="15"/>
        <v>46269</v>
      </c>
      <c r="B88" s="178" t="str">
        <f t="shared" si="9"/>
        <v>Fri</v>
      </c>
      <c r="C88" s="178" t="str">
        <f>'Pantry Inventory'!$A$2</f>
        <v>Sep Week 1</v>
      </c>
      <c r="D88" s="178" t="str">
        <f>IF('Pantry Inventory'!A10="","",'Pantry Inventory'!A10)</f>
        <v>Nature Valley</v>
      </c>
      <c r="E88" s="178" t="str">
        <f>IF('Pantry Inventory'!B10="","",'Pantry Inventory'!B10)</f>
        <v xml:space="preserve">NV PROTEIN - SALTED CARAMEL 40G </v>
      </c>
      <c r="F88" s="178" t="str">
        <f>IF(E88="","",IFERROR(IF(INDEX('Item Purchases'!$S$4:$S$30,MATCH(E88,'Item Purchases'!$B$4:$B$30,0))="","Uncategorised",INDEX('Item Purchases'!$S$4:$S$30,MATCH(E88,'Item Purchases'!$B$4:$B$30,0))),"Uncategorised"))</f>
        <v>Sweet</v>
      </c>
      <c r="G88" s="178">
        <f>IF(E88="",0,'Pantry Inventory'!M10)</f>
        <v>0</v>
      </c>
      <c r="H88" s="178">
        <f>IF(E88="","",IF('Pantry Inventory'!N10="","",'Pantry Inventory'!N10))</f>
        <v>0</v>
      </c>
      <c r="I88" s="178">
        <f>IF(H88="","",'Pantry Inventory'!O10)</f>
        <v>0</v>
      </c>
      <c r="J88" s="179">
        <f>IF(E88="",0,IFERROR(INDEX('Item Purchases'!$Q$4:$Q$30,MATCH(E88,'Item Purchases'!$B$4:$B$30,0)),0))</f>
        <v>4.9000000000000004</v>
      </c>
      <c r="K88" s="180">
        <f t="shared" si="10"/>
        <v>0</v>
      </c>
      <c r="L88" s="178">
        <f t="shared" si="11"/>
        <v>1</v>
      </c>
      <c r="M88" s="178">
        <f>IF(E88="",0,IF(AND(OR(OR(Dashboard!$E$5="All",Dashboard!$E$5=""),AG88=Dashboard!$E$5),OR(OR(Dashboard!$H$5="All",Dashboard!$H$5=""),F88=Dashboard!$H$5),OR(OR(Dashboard!$B$5="All",Dashboard!$B$5=""),C88=Dashboard!$B$5),OR(OR(Dashboard!$K$5="All",Dashboard!$K$5=""),A88=Dashboard!$K$5),OR(OR(Dashboard!$N$5="All",Dashboard!$N$5=""),B88=Dashboard!$N$5),OR(OR(Dashboard!$Q$5="All",Dashboard!$Q$5=""),D88=Dashboard!$Q$5),OR(OR(Dashboard!$U$5="All",Dashboard!$U$5=""),E88=Dashboard!$U$5)),1,0))</f>
        <v>1</v>
      </c>
      <c r="N88" s="178">
        <f>IF(E88="",0,IF(AND(OR(OR(Dashboard!$E$5="All",Dashboard!$E$5=""),AG88=Dashboard!$E$5),OR(OR(Dashboard!$B$5="All",Dashboard!$B$5=""),C88=Dashboard!$B$5),OR(OR(Dashboard!$K$5="All",Dashboard!$K$5=""),A88=Dashboard!$K$5),OR(OR(Dashboard!$N$5="All",Dashboard!$N$5=""),B88=Dashboard!$N$5),OR(OR(Dashboard!$Q$5="All",Dashboard!$Q$5=""),D88=Dashboard!$Q$5),OR(OR(Dashboard!$U$5="All",Dashboard!$U$5=""),E88=Dashboard!$U$5)),1,0))</f>
        <v>1</v>
      </c>
      <c r="O88" s="165">
        <f t="shared" si="12"/>
        <v>0</v>
      </c>
      <c r="AG88" s="178" t="str">
        <f>IF(E88="","",IFERROR(IF(INDEX('Item Purchases'!$AM$4:$AM$30,MATCH(E88,'Item Purchases'!$B$4:$B$30,0))="","Uncategorised",INDEX('Item Purchases'!$AM$4:$AM$30,MATCH(E88,'Item Purchases'!$B$4:$B$30,0))),"Uncategorised"))</f>
        <v>Snacks</v>
      </c>
      <c r="AH88" s="165">
        <f>IF(AND(E88&lt;&gt;"",L88=1),COUNTIFS($E$2:E88,E88,$L$2:L88,1),0)</f>
        <v>4</v>
      </c>
      <c r="AI88" s="165">
        <f t="shared" si="13"/>
        <v>0</v>
      </c>
      <c r="AJ88" s="165">
        <f t="shared" si="14"/>
        <v>0</v>
      </c>
    </row>
    <row r="89" spans="1:36" x14ac:dyDescent="0.25">
      <c r="A89" s="177">
        <f t="shared" si="15"/>
        <v>46269</v>
      </c>
      <c r="B89" s="178" t="str">
        <f t="shared" si="9"/>
        <v>Fri</v>
      </c>
      <c r="C89" s="178" t="str">
        <f>'Pantry Inventory'!$A$2</f>
        <v>Sep Week 1</v>
      </c>
      <c r="D89" s="178" t="str">
        <f>IF('Pantry Inventory'!A11="","",'Pantry Inventory'!A11)</f>
        <v>BBMG</v>
      </c>
      <c r="E89" s="178" t="str">
        <f>IF('Pantry Inventory'!B11="","",'Pantry Inventory'!B11)</f>
        <v>BBMG 90G</v>
      </c>
      <c r="F89" s="178" t="str">
        <f>IF(E89="","",IFERROR(IF(INDEX('Item Purchases'!$S$4:$S$30,MATCH(E89,'Item Purchases'!$B$4:$B$30,0))="","Uncategorised",INDEX('Item Purchases'!$S$4:$S$30,MATCH(E89,'Item Purchases'!$B$4:$B$30,0))),"Uncategorised"))</f>
        <v>Savoury</v>
      </c>
      <c r="G89" s="178">
        <f>IF(E89="",0,'Pantry Inventory'!M11)</f>
        <v>0</v>
      </c>
      <c r="H89" s="178">
        <f>IF(E89="","",IF('Pantry Inventory'!N11="","",'Pantry Inventory'!N11))</f>
        <v>0</v>
      </c>
      <c r="I89" s="178">
        <f>IF(H89="","",'Pantry Inventory'!O11)</f>
        <v>0</v>
      </c>
      <c r="J89" s="179">
        <f>IF(E89="",0,IFERROR(INDEX('Item Purchases'!$Q$4:$Q$30,MATCH(E89,'Item Purchases'!$B$4:$B$30,0)),0))</f>
        <v>0.34300000000000003</v>
      </c>
      <c r="K89" s="180">
        <f t="shared" si="10"/>
        <v>0</v>
      </c>
      <c r="L89" s="178">
        <f t="shared" si="11"/>
        <v>1</v>
      </c>
      <c r="M89" s="178">
        <f>IF(E89="",0,IF(AND(OR(OR(Dashboard!$E$5="All",Dashboard!$E$5=""),AG89=Dashboard!$E$5),OR(OR(Dashboard!$H$5="All",Dashboard!$H$5=""),F89=Dashboard!$H$5),OR(OR(Dashboard!$B$5="All",Dashboard!$B$5=""),C89=Dashboard!$B$5),OR(OR(Dashboard!$K$5="All",Dashboard!$K$5=""),A89=Dashboard!$K$5),OR(OR(Dashboard!$N$5="All",Dashboard!$N$5=""),B89=Dashboard!$N$5),OR(OR(Dashboard!$Q$5="All",Dashboard!$Q$5=""),D89=Dashboard!$Q$5),OR(OR(Dashboard!$U$5="All",Dashboard!$U$5=""),E89=Dashboard!$U$5)),1,0))</f>
        <v>1</v>
      </c>
      <c r="N89" s="178">
        <f>IF(E89="",0,IF(AND(OR(OR(Dashboard!$E$5="All",Dashboard!$E$5=""),AG89=Dashboard!$E$5),OR(OR(Dashboard!$B$5="All",Dashboard!$B$5=""),C89=Dashboard!$B$5),OR(OR(Dashboard!$K$5="All",Dashboard!$K$5=""),A89=Dashboard!$K$5),OR(OR(Dashboard!$N$5="All",Dashboard!$N$5=""),B89=Dashboard!$N$5),OR(OR(Dashboard!$Q$5="All",Dashboard!$Q$5=""),D89=Dashboard!$Q$5),OR(OR(Dashboard!$U$5="All",Dashboard!$U$5=""),E89=Dashboard!$U$5)),1,0))</f>
        <v>1</v>
      </c>
      <c r="O89" s="165">
        <f t="shared" si="12"/>
        <v>0</v>
      </c>
      <c r="AG89" s="178" t="str">
        <f>IF(E89="","",IFERROR(IF(INDEX('Item Purchases'!$AM$4:$AM$30,MATCH(E89,'Item Purchases'!$B$4:$B$30,0))="","Uncategorised",INDEX('Item Purchases'!$AM$4:$AM$30,MATCH(E89,'Item Purchases'!$B$4:$B$30,0))),"Uncategorised"))</f>
        <v>Snacks</v>
      </c>
      <c r="AH89" s="165">
        <f>IF(AND(E89&lt;&gt;"",L89=1),COUNTIFS($E$2:E89,E89,$L$2:L89,1),0)</f>
        <v>4</v>
      </c>
      <c r="AI89" s="165">
        <f t="shared" si="13"/>
        <v>0</v>
      </c>
      <c r="AJ89" s="165">
        <f t="shared" si="14"/>
        <v>0</v>
      </c>
    </row>
    <row r="90" spans="1:36" x14ac:dyDescent="0.25">
      <c r="A90" s="177">
        <f t="shared" si="15"/>
        <v>46269</v>
      </c>
      <c r="B90" s="178" t="str">
        <f t="shared" si="9"/>
        <v>Fri</v>
      </c>
      <c r="C90" s="178" t="str">
        <f>'Pantry Inventory'!$A$2</f>
        <v>Sep Week 1</v>
      </c>
      <c r="D90" s="178" t="str">
        <f>IF('Pantry Inventory'!A12="","",'Pantry Inventory'!A12)</f>
        <v>Lays</v>
      </c>
      <c r="E90" s="178" t="str">
        <f>IF('Pantry Inventory'!B12="","",'Pantry Inventory'!B12)</f>
        <v>Lays Potato Chips (Original) 50g</v>
      </c>
      <c r="F90" s="178" t="str">
        <f>IF(E90="","",IFERROR(IF(INDEX('Item Purchases'!$S$4:$S$30,MATCH(E90,'Item Purchases'!$B$4:$B$30,0))="","Uncategorised",INDEX('Item Purchases'!$S$4:$S$30,MATCH(E90,'Item Purchases'!$B$4:$B$30,0))),"Uncategorised"))</f>
        <v>Savoury</v>
      </c>
      <c r="G90" s="178">
        <f>IF(E90="",0,'Pantry Inventory'!M12)</f>
        <v>0</v>
      </c>
      <c r="H90" s="178">
        <f>IF(E90="","",IF('Pantry Inventory'!N12="","",'Pantry Inventory'!N12))</f>
        <v>36</v>
      </c>
      <c r="I90" s="178">
        <f>IF(H90="","",'Pantry Inventory'!O12)</f>
        <v>4</v>
      </c>
      <c r="J90" s="179">
        <f>IF(E90="",0,IFERROR(INDEX('Item Purchases'!$Q$4:$Q$30,MATCH(E90,'Item Purchases'!$B$4:$B$30,0)),0))</f>
        <v>3.4580000000000002</v>
      </c>
      <c r="K90" s="180">
        <f t="shared" si="10"/>
        <v>13.832000000000001</v>
      </c>
      <c r="L90" s="178">
        <f t="shared" si="11"/>
        <v>1</v>
      </c>
      <c r="M90" s="178">
        <f>IF(E90="",0,IF(AND(OR(OR(Dashboard!$E$5="All",Dashboard!$E$5=""),AG90=Dashboard!$E$5),OR(OR(Dashboard!$H$5="All",Dashboard!$H$5=""),F90=Dashboard!$H$5),OR(OR(Dashboard!$B$5="All",Dashboard!$B$5=""),C90=Dashboard!$B$5),OR(OR(Dashboard!$K$5="All",Dashboard!$K$5=""),A90=Dashboard!$K$5),OR(OR(Dashboard!$N$5="All",Dashboard!$N$5=""),B90=Dashboard!$N$5),OR(OR(Dashboard!$Q$5="All",Dashboard!$Q$5=""),D90=Dashboard!$Q$5),OR(OR(Dashboard!$U$5="All",Dashboard!$U$5=""),E90=Dashboard!$U$5)),1,0))</f>
        <v>1</v>
      </c>
      <c r="N90" s="178">
        <f>IF(E90="",0,IF(AND(OR(OR(Dashboard!$E$5="All",Dashboard!$E$5=""),AG90=Dashboard!$E$5),OR(OR(Dashboard!$B$5="All",Dashboard!$B$5=""),C90=Dashboard!$B$5),OR(OR(Dashboard!$K$5="All",Dashboard!$K$5=""),A90=Dashboard!$K$5),OR(OR(Dashboard!$N$5="All",Dashboard!$N$5=""),B90=Dashboard!$N$5),OR(OR(Dashboard!$Q$5="All",Dashboard!$Q$5=""),D90=Dashboard!$Q$5),OR(OR(Dashboard!$U$5="All",Dashboard!$U$5=""),E90=Dashboard!$U$5)),1,0))</f>
        <v>1</v>
      </c>
      <c r="O90" s="165">
        <f t="shared" si="12"/>
        <v>16</v>
      </c>
      <c r="AG90" s="178" t="str">
        <f>IF(E90="","",IFERROR(IF(INDEX('Item Purchases'!$AM$4:$AM$30,MATCH(E90,'Item Purchases'!$B$4:$B$30,0))="","Uncategorised",INDEX('Item Purchases'!$AM$4:$AM$30,MATCH(E90,'Item Purchases'!$B$4:$B$30,0))),"Uncategorised"))</f>
        <v>Snacks</v>
      </c>
      <c r="AH90" s="165">
        <f>IF(AND(E90&lt;&gt;"",L90=1),COUNTIFS($E$2:E90,E90,$L$2:L90,1),0)</f>
        <v>4</v>
      </c>
      <c r="AI90" s="165">
        <f t="shared" si="13"/>
        <v>4</v>
      </c>
      <c r="AJ90" s="165">
        <f t="shared" si="14"/>
        <v>1</v>
      </c>
    </row>
    <row r="91" spans="1:36" x14ac:dyDescent="0.25">
      <c r="A91" s="177">
        <f t="shared" si="15"/>
        <v>46269</v>
      </c>
      <c r="B91" s="178" t="str">
        <f t="shared" si="9"/>
        <v>Fri</v>
      </c>
      <c r="C91" s="178" t="str">
        <f>'Pantry Inventory'!$A$2</f>
        <v>Sep Week 1</v>
      </c>
      <c r="D91" s="178" t="str">
        <f>IF('Pantry Inventory'!A13="","",'Pantry Inventory'!A13)</f>
        <v>Lays</v>
      </c>
      <c r="E91" s="178" t="str">
        <f>IF('Pantry Inventory'!B13="","",'Pantry Inventory'!B13)</f>
        <v xml:space="preserve">Lays Double Crunch - Seaweed Flav (50g) </v>
      </c>
      <c r="F91" s="178" t="str">
        <f>IF(E91="","",IFERROR(IF(INDEX('Item Purchases'!$S$4:$S$30,MATCH(E91,'Item Purchases'!$B$4:$B$30,0))="","Uncategorised",INDEX('Item Purchases'!$S$4:$S$30,MATCH(E91,'Item Purchases'!$B$4:$B$30,0))),"Uncategorised"))</f>
        <v>Savoury</v>
      </c>
      <c r="G91" s="178">
        <f>IF(E91="",0,'Pantry Inventory'!M13)</f>
        <v>0</v>
      </c>
      <c r="H91" s="178">
        <f>IF(E91="","",IF('Pantry Inventory'!N13="","",'Pantry Inventory'!N13))</f>
        <v>0</v>
      </c>
      <c r="I91" s="178">
        <f>IF(H91="","",'Pantry Inventory'!O13)</f>
        <v>24</v>
      </c>
      <c r="J91" s="179">
        <f>IF(E91="",0,IFERROR(INDEX('Item Purchases'!$Q$4:$Q$30,MATCH(E91,'Item Purchases'!$B$4:$B$30,0)),0))</f>
        <v>4</v>
      </c>
      <c r="K91" s="180">
        <f t="shared" si="10"/>
        <v>96</v>
      </c>
      <c r="L91" s="178">
        <f t="shared" si="11"/>
        <v>1</v>
      </c>
      <c r="M91" s="178">
        <f>IF(E91="",0,IF(AND(OR(OR(Dashboard!$E$5="All",Dashboard!$E$5=""),AG91=Dashboard!$E$5),OR(OR(Dashboard!$H$5="All",Dashboard!$H$5=""),F91=Dashboard!$H$5),OR(OR(Dashboard!$B$5="All",Dashboard!$B$5=""),C91=Dashboard!$B$5),OR(OR(Dashboard!$K$5="All",Dashboard!$K$5=""),A91=Dashboard!$K$5),OR(OR(Dashboard!$N$5="All",Dashboard!$N$5=""),B91=Dashboard!$N$5),OR(OR(Dashboard!$Q$5="All",Dashboard!$Q$5=""),D91=Dashboard!$Q$5),OR(OR(Dashboard!$U$5="All",Dashboard!$U$5=""),E91=Dashboard!$U$5)),1,0))</f>
        <v>1</v>
      </c>
      <c r="N91" s="178">
        <f>IF(E91="",0,IF(AND(OR(OR(Dashboard!$E$5="All",Dashboard!$E$5=""),AG91=Dashboard!$E$5),OR(OR(Dashboard!$B$5="All",Dashboard!$B$5=""),C91=Dashboard!$B$5),OR(OR(Dashboard!$K$5="All",Dashboard!$K$5=""),A91=Dashboard!$K$5),OR(OR(Dashboard!$N$5="All",Dashboard!$N$5=""),B91=Dashboard!$N$5),OR(OR(Dashboard!$Q$5="All",Dashboard!$Q$5=""),D91=Dashboard!$Q$5),OR(OR(Dashboard!$U$5="All",Dashboard!$U$5=""),E91=Dashboard!$U$5)),1,0))</f>
        <v>1</v>
      </c>
      <c r="O91" s="165">
        <f t="shared" si="12"/>
        <v>0</v>
      </c>
      <c r="AG91" s="178" t="str">
        <f>IF(E91="","",IFERROR(IF(INDEX('Item Purchases'!$AM$4:$AM$30,MATCH(E91,'Item Purchases'!$B$4:$B$30,0))="","Uncategorised",INDEX('Item Purchases'!$AM$4:$AM$30,MATCH(E91,'Item Purchases'!$B$4:$B$30,0))),"Uncategorised"))</f>
        <v>Snacks</v>
      </c>
      <c r="AH91" s="165">
        <f>IF(AND(E91&lt;&gt;"",L91=1),COUNTIFS($E$2:E91,E91,$L$2:L91,1),0)</f>
        <v>4</v>
      </c>
      <c r="AI91" s="165">
        <f t="shared" si="13"/>
        <v>24</v>
      </c>
      <c r="AJ91" s="165">
        <f t="shared" si="14"/>
        <v>0</v>
      </c>
    </row>
    <row r="92" spans="1:36" x14ac:dyDescent="0.25">
      <c r="A92" s="177">
        <f t="shared" si="15"/>
        <v>46269</v>
      </c>
      <c r="B92" s="178" t="str">
        <f t="shared" si="9"/>
        <v>Fri</v>
      </c>
      <c r="C92" s="178" t="str">
        <f>'Pantry Inventory'!$A$2</f>
        <v>Sep Week 1</v>
      </c>
      <c r="D92" s="178" t="str">
        <f>IF('Pantry Inventory'!A14="","",'Pantry Inventory'!A14)</f>
        <v>Munchy</v>
      </c>
      <c r="E92" s="178" t="str">
        <f>IF('Pantry Inventory'!B14="","",'Pantry Inventory'!B14)</f>
        <v>Munchy Oat Krunch - Dark Choco</v>
      </c>
      <c r="F92" s="178" t="str">
        <f>IF(E92="","",IFERROR(IF(INDEX('Item Purchases'!$S$4:$S$30,MATCH(E92,'Item Purchases'!$B$4:$B$30,0))="","Uncategorised",INDEX('Item Purchases'!$S$4:$S$30,MATCH(E92,'Item Purchases'!$B$4:$B$30,0))),"Uncategorised"))</f>
        <v>Sweet</v>
      </c>
      <c r="G92" s="178">
        <f>IF(E92="",0,'Pantry Inventory'!M14)</f>
        <v>0</v>
      </c>
      <c r="H92" s="178">
        <f>IF(E92="","",IF('Pantry Inventory'!N14="","",'Pantry Inventory'!N14))</f>
        <v>13</v>
      </c>
      <c r="I92" s="178">
        <f>IF(H92="","",'Pantry Inventory'!O14)</f>
        <v>17</v>
      </c>
      <c r="J92" s="179">
        <f>IF(E92="",0,IFERROR(INDEX('Item Purchases'!$Q$4:$Q$30,MATCH(E92,'Item Purchases'!$B$4:$B$30,0)),0))</f>
        <v>0.73</v>
      </c>
      <c r="K92" s="180">
        <f t="shared" si="10"/>
        <v>12.41</v>
      </c>
      <c r="L92" s="178">
        <f t="shared" si="11"/>
        <v>1</v>
      </c>
      <c r="M92" s="178">
        <f>IF(E92="",0,IF(AND(OR(OR(Dashboard!$E$5="All",Dashboard!$E$5=""),AG92=Dashboard!$E$5),OR(OR(Dashboard!$H$5="All",Dashboard!$H$5=""),F92=Dashboard!$H$5),OR(OR(Dashboard!$B$5="All",Dashboard!$B$5=""),C92=Dashboard!$B$5),OR(OR(Dashboard!$K$5="All",Dashboard!$K$5=""),A92=Dashboard!$K$5),OR(OR(Dashboard!$N$5="All",Dashboard!$N$5=""),B92=Dashboard!$N$5),OR(OR(Dashboard!$Q$5="All",Dashboard!$Q$5=""),D92=Dashboard!$Q$5),OR(OR(Dashboard!$U$5="All",Dashboard!$U$5=""),E92=Dashboard!$U$5)),1,0))</f>
        <v>1</v>
      </c>
      <c r="N92" s="178">
        <f>IF(E92="",0,IF(AND(OR(OR(Dashboard!$E$5="All",Dashboard!$E$5=""),AG92=Dashboard!$E$5),OR(OR(Dashboard!$B$5="All",Dashboard!$B$5=""),C92=Dashboard!$B$5),OR(OR(Dashboard!$K$5="All",Dashboard!$K$5=""),A92=Dashboard!$K$5),OR(OR(Dashboard!$N$5="All",Dashboard!$N$5=""),B92=Dashboard!$N$5),OR(OR(Dashboard!$Q$5="All",Dashboard!$Q$5=""),D92=Dashboard!$Q$5),OR(OR(Dashboard!$U$5="All",Dashboard!$U$5=""),E92=Dashboard!$U$5)),1,0))</f>
        <v>1</v>
      </c>
      <c r="O92" s="165">
        <f t="shared" si="12"/>
        <v>289</v>
      </c>
      <c r="AG92" s="178" t="str">
        <f>IF(E92="","",IFERROR(IF(INDEX('Item Purchases'!$AM$4:$AM$30,MATCH(E92,'Item Purchases'!$B$4:$B$30,0))="","Uncategorised",INDEX('Item Purchases'!$AM$4:$AM$30,MATCH(E92,'Item Purchases'!$B$4:$B$30,0))),"Uncategorised"))</f>
        <v>Snacks</v>
      </c>
      <c r="AH92" s="165">
        <f>IF(AND(E92&lt;&gt;"",L92=1),COUNTIFS($E$2:E92,E92,$L$2:L92,1),0)</f>
        <v>4</v>
      </c>
      <c r="AI92" s="165">
        <f t="shared" si="13"/>
        <v>17</v>
      </c>
      <c r="AJ92" s="165">
        <f t="shared" si="14"/>
        <v>1</v>
      </c>
    </row>
    <row r="93" spans="1:36" x14ac:dyDescent="0.25">
      <c r="A93" s="177">
        <f t="shared" si="15"/>
        <v>46269</v>
      </c>
      <c r="B93" s="178" t="str">
        <f t="shared" si="9"/>
        <v>Fri</v>
      </c>
      <c r="C93" s="178" t="str">
        <f>'Pantry Inventory'!$A$2</f>
        <v>Sep Week 1</v>
      </c>
      <c r="D93" s="178" t="str">
        <f>IF('Pantry Inventory'!A15="","",'Pantry Inventory'!A15)</f>
        <v>Munchy</v>
      </c>
      <c r="E93" s="178" t="str">
        <f>IF('Pantry Inventory'!B15="","",'Pantry Inventory'!B15)</f>
        <v>Munchy Oat Krunch - Strawberry &amp; Blackcurrant</v>
      </c>
      <c r="F93" s="178" t="str">
        <f>IF(E93="","",IFERROR(IF(INDEX('Item Purchases'!$S$4:$S$30,MATCH(E93,'Item Purchases'!$B$4:$B$30,0))="","Uncategorised",INDEX('Item Purchases'!$S$4:$S$30,MATCH(E93,'Item Purchases'!$B$4:$B$30,0))),"Uncategorised"))</f>
        <v>Sweet</v>
      </c>
      <c r="G93" s="178">
        <f>IF(E93="",0,'Pantry Inventory'!M15)</f>
        <v>0</v>
      </c>
      <c r="H93" s="178">
        <f>IF(E93="","",IF('Pantry Inventory'!N15="","",'Pantry Inventory'!N15))</f>
        <v>48</v>
      </c>
      <c r="I93" s="178">
        <f>IF(H93="","",'Pantry Inventory'!O15)</f>
        <v>5</v>
      </c>
      <c r="J93" s="179">
        <f>IF(E93="",0,IFERROR(INDEX('Item Purchases'!$Q$4:$Q$30,MATCH(E93,'Item Purchases'!$B$4:$B$30,0)),0))</f>
        <v>0.73</v>
      </c>
      <c r="K93" s="180">
        <f t="shared" si="10"/>
        <v>3.65</v>
      </c>
      <c r="L93" s="178">
        <f t="shared" si="11"/>
        <v>1</v>
      </c>
      <c r="M93" s="178">
        <f>IF(E93="",0,IF(AND(OR(OR(Dashboard!$E$5="All",Dashboard!$E$5=""),AG93=Dashboard!$E$5),OR(OR(Dashboard!$H$5="All",Dashboard!$H$5=""),F93=Dashboard!$H$5),OR(OR(Dashboard!$B$5="All",Dashboard!$B$5=""),C93=Dashboard!$B$5),OR(OR(Dashboard!$K$5="All",Dashboard!$K$5=""),A93=Dashboard!$K$5),OR(OR(Dashboard!$N$5="All",Dashboard!$N$5=""),B93=Dashboard!$N$5),OR(OR(Dashboard!$Q$5="All",Dashboard!$Q$5=""),D93=Dashboard!$Q$5),OR(OR(Dashboard!$U$5="All",Dashboard!$U$5=""),E93=Dashboard!$U$5)),1,0))</f>
        <v>1</v>
      </c>
      <c r="N93" s="178">
        <f>IF(E93="",0,IF(AND(OR(OR(Dashboard!$E$5="All",Dashboard!$E$5=""),AG93=Dashboard!$E$5),OR(OR(Dashboard!$B$5="All",Dashboard!$B$5=""),C93=Dashboard!$B$5),OR(OR(Dashboard!$K$5="All",Dashboard!$K$5=""),A93=Dashboard!$K$5),OR(OR(Dashboard!$N$5="All",Dashboard!$N$5=""),B93=Dashboard!$N$5),OR(OR(Dashboard!$Q$5="All",Dashboard!$Q$5=""),D93=Dashboard!$Q$5),OR(OR(Dashboard!$U$5="All",Dashboard!$U$5=""),E93=Dashboard!$U$5)),1,0))</f>
        <v>1</v>
      </c>
      <c r="O93" s="165">
        <f t="shared" si="12"/>
        <v>25</v>
      </c>
      <c r="AG93" s="178" t="str">
        <f>IF(E93="","",IFERROR(IF(INDEX('Item Purchases'!$AM$4:$AM$30,MATCH(E93,'Item Purchases'!$B$4:$B$30,0))="","Uncategorised",INDEX('Item Purchases'!$AM$4:$AM$30,MATCH(E93,'Item Purchases'!$B$4:$B$30,0))),"Uncategorised"))</f>
        <v>Snacks</v>
      </c>
      <c r="AH93" s="165">
        <f>IF(AND(E93&lt;&gt;"",L93=1),COUNTIFS($E$2:E93,E93,$L$2:L93,1),0)</f>
        <v>4</v>
      </c>
      <c r="AI93" s="165">
        <f t="shared" si="13"/>
        <v>5</v>
      </c>
      <c r="AJ93" s="165">
        <f t="shared" si="14"/>
        <v>1</v>
      </c>
    </row>
    <row r="94" spans="1:36" x14ac:dyDescent="0.25">
      <c r="A94" s="177">
        <f t="shared" si="15"/>
        <v>46269</v>
      </c>
      <c r="B94" s="178" t="str">
        <f t="shared" si="9"/>
        <v>Fri</v>
      </c>
      <c r="C94" s="178" t="str">
        <f>'Pantry Inventory'!$A$2</f>
        <v>Sep Week 1</v>
      </c>
      <c r="D94" s="178" t="str">
        <f>IF('Pantry Inventory'!A16="","",'Pantry Inventory'!A16)</f>
        <v/>
      </c>
      <c r="E94" s="178" t="str">
        <f>IF('Pantry Inventory'!B16="","",'Pantry Inventory'!B16)</f>
        <v/>
      </c>
      <c r="F94" s="178" t="str">
        <f>IF(E94="","",IFERROR(IF(INDEX('Item Purchases'!$S$4:$S$30,MATCH(E94,'Item Purchases'!$B$4:$B$30,0))="","Uncategorised",INDEX('Item Purchases'!$S$4:$S$30,MATCH(E94,'Item Purchases'!$B$4:$B$30,0))),"Uncategorised"))</f>
        <v/>
      </c>
      <c r="G94" s="178">
        <f>IF(E94="",0,'Pantry Inventory'!M16)</f>
        <v>0</v>
      </c>
      <c r="H94" s="178" t="str">
        <f>IF(E94="","",IF('Pantry Inventory'!N16="","",'Pantry Inventory'!N16))</f>
        <v/>
      </c>
      <c r="I94" s="178" t="str">
        <f>IF(H94="","",'Pantry Inventory'!O16)</f>
        <v/>
      </c>
      <c r="J94" s="179">
        <f>IF(E94="",0,IFERROR(INDEX('Item Purchases'!$Q$4:$Q$30,MATCH(E94,'Item Purchases'!$B$4:$B$30,0)),0))</f>
        <v>0</v>
      </c>
      <c r="K94" s="180" t="str">
        <f t="shared" si="10"/>
        <v/>
      </c>
      <c r="L94" s="178">
        <f t="shared" si="11"/>
        <v>0</v>
      </c>
      <c r="M94" s="178">
        <f>IF(E94="",0,IF(AND(OR(OR(Dashboard!$E$5="All",Dashboard!$E$5=""),AG94=Dashboard!$E$5),OR(OR(Dashboard!$H$5="All",Dashboard!$H$5=""),F94=Dashboard!$H$5),OR(OR(Dashboard!$B$5="All",Dashboard!$B$5=""),C94=Dashboard!$B$5),OR(OR(Dashboard!$K$5="All",Dashboard!$K$5=""),A94=Dashboard!$K$5),OR(OR(Dashboard!$N$5="All",Dashboard!$N$5=""),B94=Dashboard!$N$5),OR(OR(Dashboard!$Q$5="All",Dashboard!$Q$5=""),D94=Dashboard!$Q$5),OR(OR(Dashboard!$U$5="All",Dashboard!$U$5=""),E94=Dashboard!$U$5)),1,0))</f>
        <v>0</v>
      </c>
      <c r="N94" s="178">
        <f>IF(E94="",0,IF(AND(OR(OR(Dashboard!$E$5="All",Dashboard!$E$5=""),AG94=Dashboard!$E$5),OR(OR(Dashboard!$B$5="All",Dashboard!$B$5=""),C94=Dashboard!$B$5),OR(OR(Dashboard!$K$5="All",Dashboard!$K$5=""),A94=Dashboard!$K$5),OR(OR(Dashboard!$N$5="All",Dashboard!$N$5=""),B94=Dashboard!$N$5),OR(OR(Dashboard!$Q$5="All",Dashboard!$Q$5=""),D94=Dashboard!$Q$5),OR(OR(Dashboard!$U$5="All",Dashboard!$U$5=""),E94=Dashboard!$U$5)),1,0))</f>
        <v>0</v>
      </c>
      <c r="O94" s="165">
        <f t="shared" si="12"/>
        <v>0</v>
      </c>
      <c r="AG94" s="178" t="str">
        <f>IF(E94="","",IFERROR(IF(INDEX('Item Purchases'!$AM$4:$AM$30,MATCH(E94,'Item Purchases'!$B$4:$B$30,0))="","Uncategorised",INDEX('Item Purchases'!$AM$4:$AM$30,MATCH(E94,'Item Purchases'!$B$4:$B$30,0))),"Uncategorised"))</f>
        <v/>
      </c>
      <c r="AH94" s="165">
        <f>IF(AND(E94&lt;&gt;"",L94=1),COUNTIFS($E$2:E94,E94,$L$2:L94,1),0)</f>
        <v>0</v>
      </c>
      <c r="AI94" s="165">
        <f t="shared" si="13"/>
        <v>0</v>
      </c>
      <c r="AJ94" s="165">
        <f t="shared" si="14"/>
        <v>0</v>
      </c>
    </row>
    <row r="95" spans="1:36" x14ac:dyDescent="0.25">
      <c r="A95" s="177">
        <f t="shared" si="15"/>
        <v>46269</v>
      </c>
      <c r="B95" s="178" t="str">
        <f t="shared" si="9"/>
        <v>Fri</v>
      </c>
      <c r="C95" s="178" t="str">
        <f>'Pantry Inventory'!$A$2</f>
        <v>Sep Week 1</v>
      </c>
      <c r="D95" s="178" t="str">
        <f>IF('Pantry Inventory'!A17="","",'Pantry Inventory'!A17)</f>
        <v>Nestle</v>
      </c>
      <c r="E95" s="178" t="str">
        <f>IF('Pantry Inventory'!B17="","",'Pantry Inventory'!B17)</f>
        <v>Milo 200ml</v>
      </c>
      <c r="F95" s="178" t="str">
        <f>IF(E95="","",IFERROR(IF(INDEX('Item Purchases'!$S$4:$S$30,MATCH(E95,'Item Purchases'!$B$4:$B$30,0))="","Uncategorised",INDEX('Item Purchases'!$S$4:$S$30,MATCH(E95,'Item Purchases'!$B$4:$B$30,0))),"Uncategorised"))</f>
        <v>Other</v>
      </c>
      <c r="G95" s="178">
        <f>IF(E95="",0,'Pantry Inventory'!M17)</f>
        <v>0</v>
      </c>
      <c r="H95" s="178">
        <f>IF(E95="","",IF('Pantry Inventory'!N17="","",'Pantry Inventory'!N17))</f>
        <v>2</v>
      </c>
      <c r="I95" s="178">
        <f>IF(H95="","",'Pantry Inventory'!O17)</f>
        <v>11</v>
      </c>
      <c r="J95" s="179">
        <f>IF(E95="",0,IFERROR(INDEX('Item Purchases'!$Q$4:$Q$30,MATCH(E95,'Item Purchases'!$B$4:$B$30,0)),0))</f>
        <v>2.37</v>
      </c>
      <c r="K95" s="180">
        <f t="shared" si="10"/>
        <v>26.07</v>
      </c>
      <c r="L95" s="178">
        <f t="shared" si="11"/>
        <v>1</v>
      </c>
      <c r="M95" s="178">
        <f>IF(E95="",0,IF(AND(OR(OR(Dashboard!$E$5="All",Dashboard!$E$5=""),AG95=Dashboard!$E$5),OR(OR(Dashboard!$H$5="All",Dashboard!$H$5=""),F95=Dashboard!$H$5),OR(OR(Dashboard!$B$5="All",Dashboard!$B$5=""),C95=Dashboard!$B$5),OR(OR(Dashboard!$K$5="All",Dashboard!$K$5=""),A95=Dashboard!$K$5),OR(OR(Dashboard!$N$5="All",Dashboard!$N$5=""),B95=Dashboard!$N$5),OR(OR(Dashboard!$Q$5="All",Dashboard!$Q$5=""),D95=Dashboard!$Q$5),OR(OR(Dashboard!$U$5="All",Dashboard!$U$5=""),E95=Dashboard!$U$5)),1,0))</f>
        <v>1</v>
      </c>
      <c r="N95" s="178">
        <f>IF(E95="",0,IF(AND(OR(OR(Dashboard!$E$5="All",Dashboard!$E$5=""),AG95=Dashboard!$E$5),OR(OR(Dashboard!$B$5="All",Dashboard!$B$5=""),C95=Dashboard!$B$5),OR(OR(Dashboard!$K$5="All",Dashboard!$K$5=""),A95=Dashboard!$K$5),OR(OR(Dashboard!$N$5="All",Dashboard!$N$5=""),B95=Dashboard!$N$5),OR(OR(Dashboard!$Q$5="All",Dashboard!$Q$5=""),D95=Dashboard!$Q$5),OR(OR(Dashboard!$U$5="All",Dashboard!$U$5=""),E95=Dashboard!$U$5)),1,0))</f>
        <v>1</v>
      </c>
      <c r="O95" s="165">
        <f t="shared" si="12"/>
        <v>121</v>
      </c>
      <c r="AG95" s="178" t="str">
        <f>IF(E95="","",IFERROR(IF(INDEX('Item Purchases'!$AM$4:$AM$30,MATCH(E95,'Item Purchases'!$B$4:$B$30,0))="","Uncategorised",INDEX('Item Purchases'!$AM$4:$AM$30,MATCH(E95,'Item Purchases'!$B$4:$B$30,0))),"Uncategorised"))</f>
        <v>Beverages</v>
      </c>
      <c r="AH95" s="165">
        <f>IF(AND(E95&lt;&gt;"",L95=1),COUNTIFS($E$2:E95,E95,$L$2:L95,1),0)</f>
        <v>4</v>
      </c>
      <c r="AI95" s="165">
        <f t="shared" si="13"/>
        <v>11</v>
      </c>
      <c r="AJ95" s="165">
        <f t="shared" si="14"/>
        <v>1</v>
      </c>
    </row>
    <row r="96" spans="1:36" x14ac:dyDescent="0.25">
      <c r="A96" s="177">
        <f t="shared" si="15"/>
        <v>46269</v>
      </c>
      <c r="B96" s="178" t="str">
        <f t="shared" si="9"/>
        <v>Fri</v>
      </c>
      <c r="C96" s="178" t="str">
        <f>'Pantry Inventory'!$A$2</f>
        <v>Sep Week 1</v>
      </c>
      <c r="D96" s="178" t="str">
        <f>IF('Pantry Inventory'!A18="","",'Pantry Inventory'!A18)</f>
        <v>Nestle</v>
      </c>
      <c r="E96" s="178" t="str">
        <f>IF('Pantry Inventory'!B18="","",'Pantry Inventory'!B18)</f>
        <v>Nescafe Latte 240ml</v>
      </c>
      <c r="F96" s="178" t="str">
        <f>IF(E96="","",IFERROR(IF(INDEX('Item Purchases'!$S$4:$S$30,MATCH(E96,'Item Purchases'!$B$4:$B$30,0))="","Uncategorised",INDEX('Item Purchases'!$S$4:$S$30,MATCH(E96,'Item Purchases'!$B$4:$B$30,0))),"Uncategorised"))</f>
        <v>Coffee</v>
      </c>
      <c r="G96" s="178">
        <f>IF(E96="",0,'Pantry Inventory'!M18)</f>
        <v>0</v>
      </c>
      <c r="H96" s="178">
        <f>IF(E96="","",IF('Pantry Inventory'!N18="","",'Pantry Inventory'!N18))</f>
        <v>23</v>
      </c>
      <c r="I96" s="178">
        <f>IF(H96="","",'Pantry Inventory'!O18)</f>
        <v>3</v>
      </c>
      <c r="J96" s="179">
        <f>IF(E96="",0,IFERROR(INDEX('Item Purchases'!$Q$4:$Q$30,MATCH(E96,'Item Purchases'!$B$4:$B$30,0)),0))</f>
        <v>2.1875</v>
      </c>
      <c r="K96" s="180">
        <f t="shared" si="10"/>
        <v>6.5625</v>
      </c>
      <c r="L96" s="178">
        <f t="shared" si="11"/>
        <v>1</v>
      </c>
      <c r="M96" s="178">
        <f>IF(E96="",0,IF(AND(OR(OR(Dashboard!$E$5="All",Dashboard!$E$5=""),AG96=Dashboard!$E$5),OR(OR(Dashboard!$H$5="All",Dashboard!$H$5=""),F96=Dashboard!$H$5),OR(OR(Dashboard!$B$5="All",Dashboard!$B$5=""),C96=Dashboard!$B$5),OR(OR(Dashboard!$K$5="All",Dashboard!$K$5=""),A96=Dashboard!$K$5),OR(OR(Dashboard!$N$5="All",Dashboard!$N$5=""),B96=Dashboard!$N$5),OR(OR(Dashboard!$Q$5="All",Dashboard!$Q$5=""),D96=Dashboard!$Q$5),OR(OR(Dashboard!$U$5="All",Dashboard!$U$5=""),E96=Dashboard!$U$5)),1,0))</f>
        <v>1</v>
      </c>
      <c r="N96" s="178">
        <f>IF(E96="",0,IF(AND(OR(OR(Dashboard!$E$5="All",Dashboard!$E$5=""),AG96=Dashboard!$E$5),OR(OR(Dashboard!$B$5="All",Dashboard!$B$5=""),C96=Dashboard!$B$5),OR(OR(Dashboard!$K$5="All",Dashboard!$K$5=""),A96=Dashboard!$K$5),OR(OR(Dashboard!$N$5="All",Dashboard!$N$5=""),B96=Dashboard!$N$5),OR(OR(Dashboard!$Q$5="All",Dashboard!$Q$5=""),D96=Dashboard!$Q$5),OR(OR(Dashboard!$U$5="All",Dashboard!$U$5=""),E96=Dashboard!$U$5)),1,0))</f>
        <v>1</v>
      </c>
      <c r="O96" s="165">
        <f t="shared" si="12"/>
        <v>9</v>
      </c>
      <c r="AG96" s="178" t="str">
        <f>IF(E96="","",IFERROR(IF(INDEX('Item Purchases'!$AM$4:$AM$30,MATCH(E96,'Item Purchases'!$B$4:$B$30,0))="","Uncategorised",INDEX('Item Purchases'!$AM$4:$AM$30,MATCH(E96,'Item Purchases'!$B$4:$B$30,0))),"Uncategorised"))</f>
        <v>Beverages</v>
      </c>
      <c r="AH96" s="165">
        <f>IF(AND(E96&lt;&gt;"",L96=1),COUNTIFS($E$2:E96,E96,$L$2:L96,1),0)</f>
        <v>4</v>
      </c>
      <c r="AI96" s="165">
        <f t="shared" si="13"/>
        <v>3</v>
      </c>
      <c r="AJ96" s="165">
        <f t="shared" si="14"/>
        <v>1</v>
      </c>
    </row>
    <row r="97" spans="1:36" x14ac:dyDescent="0.25">
      <c r="A97" s="177">
        <f t="shared" si="15"/>
        <v>46269</v>
      </c>
      <c r="B97" s="178" t="str">
        <f t="shared" si="9"/>
        <v>Fri</v>
      </c>
      <c r="C97" s="178" t="str">
        <f>'Pantry Inventory'!$A$2</f>
        <v>Sep Week 1</v>
      </c>
      <c r="D97" s="178" t="str">
        <f>IF('Pantry Inventory'!A19="","",'Pantry Inventory'!A19)</f>
        <v>Nestle</v>
      </c>
      <c r="E97" s="178" t="str">
        <f>IF('Pantry Inventory'!B19="","",'Pantry Inventory'!B19)</f>
        <v>Nescafe original 240ml</v>
      </c>
      <c r="F97" s="178" t="str">
        <f>IF(E97="","",IFERROR(IF(INDEX('Item Purchases'!$S$4:$S$30,MATCH(E97,'Item Purchases'!$B$4:$B$30,0))="","Uncategorised",INDEX('Item Purchases'!$S$4:$S$30,MATCH(E97,'Item Purchases'!$B$4:$B$30,0))),"Uncategorised"))</f>
        <v>Coffee</v>
      </c>
      <c r="G97" s="178">
        <f>IF(E97="",0,'Pantry Inventory'!M19)</f>
        <v>0</v>
      </c>
      <c r="H97" s="178">
        <f>IF(E97="","",IF('Pantry Inventory'!N19="","",'Pantry Inventory'!N19))</f>
        <v>16</v>
      </c>
      <c r="I97" s="178">
        <f>IF(H97="","",'Pantry Inventory'!O19)</f>
        <v>2</v>
      </c>
      <c r="J97" s="179">
        <f>IF(E97="",0,IFERROR(INDEX('Item Purchases'!$Q$4:$Q$30,MATCH(E97,'Item Purchases'!$B$4:$B$30,0)),0))</f>
        <v>2.1875</v>
      </c>
      <c r="K97" s="180">
        <f t="shared" si="10"/>
        <v>4.375</v>
      </c>
      <c r="L97" s="178">
        <f t="shared" si="11"/>
        <v>1</v>
      </c>
      <c r="M97" s="178">
        <f>IF(E97="",0,IF(AND(OR(OR(Dashboard!$E$5="All",Dashboard!$E$5=""),AG97=Dashboard!$E$5),OR(OR(Dashboard!$H$5="All",Dashboard!$H$5=""),F97=Dashboard!$H$5),OR(OR(Dashboard!$B$5="All",Dashboard!$B$5=""),C97=Dashboard!$B$5),OR(OR(Dashboard!$K$5="All",Dashboard!$K$5=""),A97=Dashboard!$K$5),OR(OR(Dashboard!$N$5="All",Dashboard!$N$5=""),B97=Dashboard!$N$5),OR(OR(Dashboard!$Q$5="All",Dashboard!$Q$5=""),D97=Dashboard!$Q$5),OR(OR(Dashboard!$U$5="All",Dashboard!$U$5=""),E97=Dashboard!$U$5)),1,0))</f>
        <v>1</v>
      </c>
      <c r="N97" s="178">
        <f>IF(E97="",0,IF(AND(OR(OR(Dashboard!$E$5="All",Dashboard!$E$5=""),AG97=Dashboard!$E$5),OR(OR(Dashboard!$B$5="All",Dashboard!$B$5=""),C97=Dashboard!$B$5),OR(OR(Dashboard!$K$5="All",Dashboard!$K$5=""),A97=Dashboard!$K$5),OR(OR(Dashboard!$N$5="All",Dashboard!$N$5=""),B97=Dashboard!$N$5),OR(OR(Dashboard!$Q$5="All",Dashboard!$Q$5=""),D97=Dashboard!$Q$5),OR(OR(Dashboard!$U$5="All",Dashboard!$U$5=""),E97=Dashboard!$U$5)),1,0))</f>
        <v>1</v>
      </c>
      <c r="O97" s="165">
        <f t="shared" si="12"/>
        <v>4</v>
      </c>
      <c r="AG97" s="178" t="str">
        <f>IF(E97="","",IFERROR(IF(INDEX('Item Purchases'!$AM$4:$AM$30,MATCH(E97,'Item Purchases'!$B$4:$B$30,0))="","Uncategorised",INDEX('Item Purchases'!$AM$4:$AM$30,MATCH(E97,'Item Purchases'!$B$4:$B$30,0))),"Uncategorised"))</f>
        <v>Beverages</v>
      </c>
      <c r="AH97" s="165">
        <f>IF(AND(E97&lt;&gt;"",L97=1),COUNTIFS($E$2:E97,E97,$L$2:L97,1),0)</f>
        <v>4</v>
      </c>
      <c r="AI97" s="165">
        <f t="shared" si="13"/>
        <v>2</v>
      </c>
      <c r="AJ97" s="165">
        <f t="shared" si="14"/>
        <v>1</v>
      </c>
    </row>
    <row r="98" spans="1:36" x14ac:dyDescent="0.25">
      <c r="A98" s="177">
        <f t="shared" si="15"/>
        <v>46269</v>
      </c>
      <c r="B98" s="178" t="str">
        <f t="shared" si="9"/>
        <v>Fri</v>
      </c>
      <c r="C98" s="178" t="str">
        <f>'Pantry Inventory'!$A$2</f>
        <v>Sep Week 1</v>
      </c>
      <c r="D98" s="178" t="str">
        <f>IF('Pantry Inventory'!A20="","",'Pantry Inventory'!A20)</f>
        <v>COWA</v>
      </c>
      <c r="E98" s="178" t="str">
        <f>IF('Pantry Inventory'!B20="","",'Pantry Inventory'!B20)</f>
        <v>COWA Coconut Water 330 ml</v>
      </c>
      <c r="F98" s="178" t="str">
        <f>IF(E98="","",IFERROR(IF(INDEX('Item Purchases'!$S$4:$S$30,MATCH(E98,'Item Purchases'!$B$4:$B$30,0))="","Uncategorised",INDEX('Item Purchases'!$S$4:$S$30,MATCH(E98,'Item Purchases'!$B$4:$B$30,0))),"Uncategorised"))</f>
        <v>Other</v>
      </c>
      <c r="G98" s="178">
        <f>IF(E98="",0,'Pantry Inventory'!M20)</f>
        <v>0</v>
      </c>
      <c r="H98" s="178">
        <f>IF(E98="","",IF('Pantry Inventory'!N20="","",'Pantry Inventory'!N20))</f>
        <v>0</v>
      </c>
      <c r="I98" s="178">
        <f>IF(H98="","",'Pantry Inventory'!O20)</f>
        <v>0</v>
      </c>
      <c r="J98" s="179">
        <f>IF(E98="",0,IFERROR(INDEX('Item Purchases'!$Q$4:$Q$30,MATCH(E98,'Item Purchases'!$B$4:$B$30,0)),0))</f>
        <v>3</v>
      </c>
      <c r="K98" s="180">
        <f t="shared" si="10"/>
        <v>0</v>
      </c>
      <c r="L98" s="178">
        <f t="shared" si="11"/>
        <v>1</v>
      </c>
      <c r="M98" s="178">
        <f>IF(E98="",0,IF(AND(OR(OR(Dashboard!$E$5="All",Dashboard!$E$5=""),AG98=Dashboard!$E$5),OR(OR(Dashboard!$H$5="All",Dashboard!$H$5=""),F98=Dashboard!$H$5),OR(OR(Dashboard!$B$5="All",Dashboard!$B$5=""),C98=Dashboard!$B$5),OR(OR(Dashboard!$K$5="All",Dashboard!$K$5=""),A98=Dashboard!$K$5),OR(OR(Dashboard!$N$5="All",Dashboard!$N$5=""),B98=Dashboard!$N$5),OR(OR(Dashboard!$Q$5="All",Dashboard!$Q$5=""),D98=Dashboard!$Q$5),OR(OR(Dashboard!$U$5="All",Dashboard!$U$5=""),E98=Dashboard!$U$5)),1,0))</f>
        <v>1</v>
      </c>
      <c r="N98" s="178">
        <f>IF(E98="",0,IF(AND(OR(OR(Dashboard!$E$5="All",Dashboard!$E$5=""),AG98=Dashboard!$E$5),OR(OR(Dashboard!$B$5="All",Dashboard!$B$5=""),C98=Dashboard!$B$5),OR(OR(Dashboard!$K$5="All",Dashboard!$K$5=""),A98=Dashboard!$K$5),OR(OR(Dashboard!$N$5="All",Dashboard!$N$5=""),B98=Dashboard!$N$5),OR(OR(Dashboard!$Q$5="All",Dashboard!$Q$5=""),D98=Dashboard!$Q$5),OR(OR(Dashboard!$U$5="All",Dashboard!$U$5=""),E98=Dashboard!$U$5)),1,0))</f>
        <v>1</v>
      </c>
      <c r="O98" s="165">
        <f t="shared" si="12"/>
        <v>0</v>
      </c>
      <c r="AG98" s="178" t="str">
        <f>IF(E98="","",IFERROR(IF(INDEX('Item Purchases'!$AM$4:$AM$30,MATCH(E98,'Item Purchases'!$B$4:$B$30,0))="","Uncategorised",INDEX('Item Purchases'!$AM$4:$AM$30,MATCH(E98,'Item Purchases'!$B$4:$B$30,0))),"Uncategorised"))</f>
        <v>Beverages</v>
      </c>
      <c r="AH98" s="165">
        <f>IF(AND(E98&lt;&gt;"",L98=1),COUNTIFS($E$2:E98,E98,$L$2:L98,1),0)</f>
        <v>4</v>
      </c>
      <c r="AI98" s="165">
        <f t="shared" si="13"/>
        <v>0</v>
      </c>
      <c r="AJ98" s="165">
        <f t="shared" si="14"/>
        <v>0</v>
      </c>
    </row>
    <row r="99" spans="1:36" x14ac:dyDescent="0.25">
      <c r="A99" s="177">
        <f t="shared" si="15"/>
        <v>46269</v>
      </c>
      <c r="B99" s="178" t="str">
        <f t="shared" si="9"/>
        <v>Fri</v>
      </c>
      <c r="C99" s="178" t="str">
        <f>'Pantry Inventory'!$A$2</f>
        <v>Sep Week 1</v>
      </c>
      <c r="D99" s="178" t="str">
        <f>IF('Pantry Inventory'!A21="","",'Pantry Inventory'!A21)</f>
        <v>Coca Cola</v>
      </c>
      <c r="E99" s="178" t="str">
        <f>IF('Pantry Inventory'!B21="","",'Pantry Inventory'!B21)</f>
        <v>COKE ZERO  325ML</v>
      </c>
      <c r="F99" s="178" t="str">
        <f>IF(E99="","",IFERROR(IF(INDEX('Item Purchases'!$S$4:$S$30,MATCH(E99,'Item Purchases'!$B$4:$B$30,0))="","Uncategorised",INDEX('Item Purchases'!$S$4:$S$30,MATCH(E99,'Item Purchases'!$B$4:$B$30,0))),"Uncategorised"))</f>
        <v>Other</v>
      </c>
      <c r="G99" s="178">
        <f>IF(E99="",0,'Pantry Inventory'!M21)</f>
        <v>0</v>
      </c>
      <c r="H99" s="178">
        <f>IF(E99="","",IF('Pantry Inventory'!N21="","",'Pantry Inventory'!N21))</f>
        <v>18</v>
      </c>
      <c r="I99" s="178">
        <f>IF(H99="","",'Pantry Inventory'!O21)</f>
        <v>13</v>
      </c>
      <c r="J99" s="179">
        <f>IF(E99="",0,IFERROR(INDEX('Item Purchases'!$Q$4:$Q$30,MATCH(E99,'Item Purchases'!$B$4:$B$30,0)),0))</f>
        <v>1.83</v>
      </c>
      <c r="K99" s="180">
        <f t="shared" si="10"/>
        <v>23.79</v>
      </c>
      <c r="L99" s="178">
        <f t="shared" si="11"/>
        <v>1</v>
      </c>
      <c r="M99" s="178">
        <f>IF(E99="",0,IF(AND(OR(OR(Dashboard!$E$5="All",Dashboard!$E$5=""),AG99=Dashboard!$E$5),OR(OR(Dashboard!$H$5="All",Dashboard!$H$5=""),F99=Dashboard!$H$5),OR(OR(Dashboard!$B$5="All",Dashboard!$B$5=""),C99=Dashboard!$B$5),OR(OR(Dashboard!$K$5="All",Dashboard!$K$5=""),A99=Dashboard!$K$5),OR(OR(Dashboard!$N$5="All",Dashboard!$N$5=""),B99=Dashboard!$N$5),OR(OR(Dashboard!$Q$5="All",Dashboard!$Q$5=""),D99=Dashboard!$Q$5),OR(OR(Dashboard!$U$5="All",Dashboard!$U$5=""),E99=Dashboard!$U$5)),1,0))</f>
        <v>1</v>
      </c>
      <c r="N99" s="178">
        <f>IF(E99="",0,IF(AND(OR(OR(Dashboard!$E$5="All",Dashboard!$E$5=""),AG99=Dashboard!$E$5),OR(OR(Dashboard!$B$5="All",Dashboard!$B$5=""),C99=Dashboard!$B$5),OR(OR(Dashboard!$K$5="All",Dashboard!$K$5=""),A99=Dashboard!$K$5),OR(OR(Dashboard!$N$5="All",Dashboard!$N$5=""),B99=Dashboard!$N$5),OR(OR(Dashboard!$Q$5="All",Dashboard!$Q$5=""),D99=Dashboard!$Q$5),OR(OR(Dashboard!$U$5="All",Dashboard!$U$5=""),E99=Dashboard!$U$5)),1,0))</f>
        <v>1</v>
      </c>
      <c r="O99" s="165">
        <f t="shared" si="12"/>
        <v>169</v>
      </c>
      <c r="AG99" s="178" t="str">
        <f>IF(E99="","",IFERROR(IF(INDEX('Item Purchases'!$AM$4:$AM$30,MATCH(E99,'Item Purchases'!$B$4:$B$30,0))="","Uncategorised",INDEX('Item Purchases'!$AM$4:$AM$30,MATCH(E99,'Item Purchases'!$B$4:$B$30,0))),"Uncategorised"))</f>
        <v>Beverages</v>
      </c>
      <c r="AH99" s="165">
        <f>IF(AND(E99&lt;&gt;"",L99=1),COUNTIFS($E$2:E99,E99,$L$2:L99,1),0)</f>
        <v>4</v>
      </c>
      <c r="AI99" s="165">
        <f t="shared" si="13"/>
        <v>13</v>
      </c>
      <c r="AJ99" s="165">
        <f t="shared" si="14"/>
        <v>1</v>
      </c>
    </row>
    <row r="100" spans="1:36" x14ac:dyDescent="0.25">
      <c r="A100" s="177">
        <f t="shared" si="15"/>
        <v>46269</v>
      </c>
      <c r="B100" s="178" t="str">
        <f t="shared" si="9"/>
        <v>Fri</v>
      </c>
      <c r="C100" s="178" t="str">
        <f>'Pantry Inventory'!$A$2</f>
        <v>Sep Week 1</v>
      </c>
      <c r="D100" s="178" t="str">
        <f>IF('Pantry Inventory'!A22="","",'Pantry Inventory'!A22)</f>
        <v>Coca Cola</v>
      </c>
      <c r="E100" s="178" t="str">
        <f>IF('Pantry Inventory'!B22="","",'Pantry Inventory'!B22)</f>
        <v>Ayataka Tea 300ml</v>
      </c>
      <c r="F100" s="178" t="str">
        <f>IF(E100="","",IFERROR(IF(INDEX('Item Purchases'!$S$4:$S$30,MATCH(E100,'Item Purchases'!$B$4:$B$30,0))="","Uncategorised",INDEX('Item Purchases'!$S$4:$S$30,MATCH(E100,'Item Purchases'!$B$4:$B$30,0))),"Uncategorised"))</f>
        <v>Tea</v>
      </c>
      <c r="G100" s="178">
        <f>IF(E100="",0,'Pantry Inventory'!M22)</f>
        <v>0</v>
      </c>
      <c r="H100" s="178">
        <f>IF(E100="","",IF('Pantry Inventory'!N22="","",'Pantry Inventory'!N22))</f>
        <v>0</v>
      </c>
      <c r="I100" s="178">
        <f>IF(H100="","",'Pantry Inventory'!O22)</f>
        <v>0</v>
      </c>
      <c r="J100" s="179">
        <f>IF(E100="",0,IFERROR(INDEX('Item Purchases'!$Q$4:$Q$30,MATCH(E100,'Item Purchases'!$B$4:$B$30,0)),0))</f>
        <v>1.75</v>
      </c>
      <c r="K100" s="180">
        <f t="shared" si="10"/>
        <v>0</v>
      </c>
      <c r="L100" s="178">
        <f t="shared" si="11"/>
        <v>1</v>
      </c>
      <c r="M100" s="178">
        <f>IF(E100="",0,IF(AND(OR(OR(Dashboard!$E$5="All",Dashboard!$E$5=""),AG100=Dashboard!$E$5),OR(OR(Dashboard!$H$5="All",Dashboard!$H$5=""),F100=Dashboard!$H$5),OR(OR(Dashboard!$B$5="All",Dashboard!$B$5=""),C100=Dashboard!$B$5),OR(OR(Dashboard!$K$5="All",Dashboard!$K$5=""),A100=Dashboard!$K$5),OR(OR(Dashboard!$N$5="All",Dashboard!$N$5=""),B100=Dashboard!$N$5),OR(OR(Dashboard!$Q$5="All",Dashboard!$Q$5=""),D100=Dashboard!$Q$5),OR(OR(Dashboard!$U$5="All",Dashboard!$U$5=""),E100=Dashboard!$U$5)),1,0))</f>
        <v>1</v>
      </c>
      <c r="N100" s="178">
        <f>IF(E100="",0,IF(AND(OR(OR(Dashboard!$E$5="All",Dashboard!$E$5=""),AG100=Dashboard!$E$5),OR(OR(Dashboard!$B$5="All",Dashboard!$B$5=""),C100=Dashboard!$B$5),OR(OR(Dashboard!$K$5="All",Dashboard!$K$5=""),A100=Dashboard!$K$5),OR(OR(Dashboard!$N$5="All",Dashboard!$N$5=""),B100=Dashboard!$N$5),OR(OR(Dashboard!$Q$5="All",Dashboard!$Q$5=""),D100=Dashboard!$Q$5),OR(OR(Dashboard!$U$5="All",Dashboard!$U$5=""),E100=Dashboard!$U$5)),1,0))</f>
        <v>1</v>
      </c>
      <c r="O100" s="165">
        <f t="shared" si="12"/>
        <v>0</v>
      </c>
      <c r="AG100" s="178" t="str">
        <f>IF(E100="","",IFERROR(IF(INDEX('Item Purchases'!$AM$4:$AM$30,MATCH(E100,'Item Purchases'!$B$4:$B$30,0))="","Uncategorised",INDEX('Item Purchases'!$AM$4:$AM$30,MATCH(E100,'Item Purchases'!$B$4:$B$30,0))),"Uncategorised"))</f>
        <v>Beverages</v>
      </c>
      <c r="AH100" s="165">
        <f>IF(AND(E100&lt;&gt;"",L100=1),COUNTIFS($E$2:E100,E100,$L$2:L100,1),0)</f>
        <v>4</v>
      </c>
      <c r="AI100" s="165">
        <f t="shared" si="13"/>
        <v>0</v>
      </c>
      <c r="AJ100" s="165">
        <f t="shared" si="14"/>
        <v>0</v>
      </c>
    </row>
    <row r="101" spans="1:36" x14ac:dyDescent="0.25">
      <c r="A101" s="177">
        <f t="shared" si="15"/>
        <v>46269</v>
      </c>
      <c r="B101" s="178" t="str">
        <f t="shared" si="9"/>
        <v>Fri</v>
      </c>
      <c r="C101" s="178" t="str">
        <f>'Pantry Inventory'!$A$2</f>
        <v>Sep Week 1</v>
      </c>
      <c r="D101" s="178" t="str">
        <f>IF('Pantry Inventory'!A23="","",'Pantry Inventory'!A23)</f>
        <v>Coca Cola</v>
      </c>
      <c r="E101" s="178" t="str">
        <f>IF('Pantry Inventory'!B23="","",'Pantry Inventory'!B23)</f>
        <v>Oolong Tea 300ml</v>
      </c>
      <c r="F101" s="178" t="str">
        <f>IF(E101="","",IFERROR(IF(INDEX('Item Purchases'!$S$4:$S$30,MATCH(E101,'Item Purchases'!$B$4:$B$30,0))="","Uncategorised",INDEX('Item Purchases'!$S$4:$S$30,MATCH(E101,'Item Purchases'!$B$4:$B$30,0))),"Uncategorised"))</f>
        <v>Tea</v>
      </c>
      <c r="G101" s="178">
        <f>IF(E101="",0,'Pantry Inventory'!M23)</f>
        <v>0</v>
      </c>
      <c r="H101" s="178">
        <f>IF(E101="","",IF('Pantry Inventory'!N23="","",'Pantry Inventory'!N23))</f>
        <v>0</v>
      </c>
      <c r="I101" s="178">
        <f>IF(H101="","",'Pantry Inventory'!O23)</f>
        <v>0</v>
      </c>
      <c r="J101" s="179">
        <f>IF(E101="",0,IFERROR(INDEX('Item Purchases'!$Q$4:$Q$30,MATCH(E101,'Item Purchases'!$B$4:$B$30,0)),0))</f>
        <v>1.75</v>
      </c>
      <c r="K101" s="180">
        <f t="shared" si="10"/>
        <v>0</v>
      </c>
      <c r="L101" s="178">
        <f t="shared" si="11"/>
        <v>1</v>
      </c>
      <c r="M101" s="178">
        <f>IF(E101="",0,IF(AND(OR(OR(Dashboard!$E$5="All",Dashboard!$E$5=""),AG101=Dashboard!$E$5),OR(OR(Dashboard!$H$5="All",Dashboard!$H$5=""),F101=Dashboard!$H$5),OR(OR(Dashboard!$B$5="All",Dashboard!$B$5=""),C101=Dashboard!$B$5),OR(OR(Dashboard!$K$5="All",Dashboard!$K$5=""),A101=Dashboard!$K$5),OR(OR(Dashboard!$N$5="All",Dashboard!$N$5=""),B101=Dashboard!$N$5),OR(OR(Dashboard!$Q$5="All",Dashboard!$Q$5=""),D101=Dashboard!$Q$5),OR(OR(Dashboard!$U$5="All",Dashboard!$U$5=""),E101=Dashboard!$U$5)),1,0))</f>
        <v>1</v>
      </c>
      <c r="N101" s="178">
        <f>IF(E101="",0,IF(AND(OR(OR(Dashboard!$E$5="All",Dashboard!$E$5=""),AG101=Dashboard!$E$5),OR(OR(Dashboard!$B$5="All",Dashboard!$B$5=""),C101=Dashboard!$B$5),OR(OR(Dashboard!$K$5="All",Dashboard!$K$5=""),A101=Dashboard!$K$5),OR(OR(Dashboard!$N$5="All",Dashboard!$N$5=""),B101=Dashboard!$N$5),OR(OR(Dashboard!$Q$5="All",Dashboard!$Q$5=""),D101=Dashboard!$Q$5),OR(OR(Dashboard!$U$5="All",Dashboard!$U$5=""),E101=Dashboard!$U$5)),1,0))</f>
        <v>1</v>
      </c>
      <c r="O101" s="165">
        <f t="shared" si="12"/>
        <v>0</v>
      </c>
      <c r="AG101" s="178" t="str">
        <f>IF(E101="","",IFERROR(IF(INDEX('Item Purchases'!$AM$4:$AM$30,MATCH(E101,'Item Purchases'!$B$4:$B$30,0))="","Uncategorised",INDEX('Item Purchases'!$AM$4:$AM$30,MATCH(E101,'Item Purchases'!$B$4:$B$30,0))),"Uncategorised"))</f>
        <v>Beverages</v>
      </c>
      <c r="AH101" s="165">
        <f>IF(AND(E101&lt;&gt;"",L101=1),COUNTIFS($E$2:E101,E101,$L$2:L101,1),0)</f>
        <v>4</v>
      </c>
      <c r="AI101" s="165">
        <f t="shared" si="13"/>
        <v>0</v>
      </c>
      <c r="AJ101" s="165">
        <f t="shared" si="14"/>
        <v>0</v>
      </c>
    </row>
    <row r="102" spans="1:36" x14ac:dyDescent="0.25">
      <c r="A102" s="177">
        <f t="shared" si="15"/>
        <v>46269</v>
      </c>
      <c r="B102" s="178" t="str">
        <f t="shared" si="9"/>
        <v>Fri</v>
      </c>
      <c r="C102" s="178" t="str">
        <f>'Pantry Inventory'!$A$2</f>
        <v>Sep Week 1</v>
      </c>
      <c r="D102" s="178" t="str">
        <f>IF('Pantry Inventory'!A24="","",'Pantry Inventory'!A24)</f>
        <v>Vsoy</v>
      </c>
      <c r="E102" s="178" t="str">
        <f>IF('Pantry Inventory'!B24="","",'Pantry Inventory'!B24)</f>
        <v>Vsoy Soya Bean  250ml</v>
      </c>
      <c r="F102" s="178" t="str">
        <f>IF(E102="","",IFERROR(IF(INDEX('Item Purchases'!$S$4:$S$30,MATCH(E102,'Item Purchases'!$B$4:$B$30,0))="","Uncategorised",INDEX('Item Purchases'!$S$4:$S$30,MATCH(E102,'Item Purchases'!$B$4:$B$30,0))),"Uncategorised"))</f>
        <v>Other</v>
      </c>
      <c r="G102" s="178">
        <f>IF(E102="",0,'Pantry Inventory'!M24)</f>
        <v>0</v>
      </c>
      <c r="H102" s="178">
        <f>IF(E102="","",IF('Pantry Inventory'!N24="","",'Pantry Inventory'!N24))</f>
        <v>34</v>
      </c>
      <c r="I102" s="178">
        <f>IF(H102="","",'Pantry Inventory'!O24)</f>
        <v>18</v>
      </c>
      <c r="J102" s="179">
        <f>IF(E102="",0,IFERROR(INDEX('Item Purchases'!$Q$4:$Q$30,MATCH(E102,'Item Purchases'!$B$4:$B$30,0)),0))</f>
        <v>1.25</v>
      </c>
      <c r="K102" s="180">
        <f t="shared" si="10"/>
        <v>22.5</v>
      </c>
      <c r="L102" s="178">
        <f t="shared" si="11"/>
        <v>1</v>
      </c>
      <c r="M102" s="178">
        <f>IF(E102="",0,IF(AND(OR(OR(Dashboard!$E$5="All",Dashboard!$E$5=""),AG102=Dashboard!$E$5),OR(OR(Dashboard!$H$5="All",Dashboard!$H$5=""),F102=Dashboard!$H$5),OR(OR(Dashboard!$B$5="All",Dashboard!$B$5=""),C102=Dashboard!$B$5),OR(OR(Dashboard!$K$5="All",Dashboard!$K$5=""),A102=Dashboard!$K$5),OR(OR(Dashboard!$N$5="All",Dashboard!$N$5=""),B102=Dashboard!$N$5),OR(OR(Dashboard!$Q$5="All",Dashboard!$Q$5=""),D102=Dashboard!$Q$5),OR(OR(Dashboard!$U$5="All",Dashboard!$U$5=""),E102=Dashboard!$U$5)),1,0))</f>
        <v>1</v>
      </c>
      <c r="N102" s="178">
        <f>IF(E102="",0,IF(AND(OR(OR(Dashboard!$E$5="All",Dashboard!$E$5=""),AG102=Dashboard!$E$5),OR(OR(Dashboard!$B$5="All",Dashboard!$B$5=""),C102=Dashboard!$B$5),OR(OR(Dashboard!$K$5="All",Dashboard!$K$5=""),A102=Dashboard!$K$5),OR(OR(Dashboard!$N$5="All",Dashboard!$N$5=""),B102=Dashboard!$N$5),OR(OR(Dashboard!$Q$5="All",Dashboard!$Q$5=""),D102=Dashboard!$Q$5),OR(OR(Dashboard!$U$5="All",Dashboard!$U$5=""),E102=Dashboard!$U$5)),1,0))</f>
        <v>1</v>
      </c>
      <c r="O102" s="165">
        <f t="shared" si="12"/>
        <v>324</v>
      </c>
      <c r="AG102" s="178" t="str">
        <f>IF(E102="","",IFERROR(IF(INDEX('Item Purchases'!$AM$4:$AM$30,MATCH(E102,'Item Purchases'!$B$4:$B$30,0))="","Uncategorised",INDEX('Item Purchases'!$AM$4:$AM$30,MATCH(E102,'Item Purchases'!$B$4:$B$30,0))),"Uncategorised"))</f>
        <v>Beverages</v>
      </c>
      <c r="AH102" s="165">
        <f>IF(AND(E102&lt;&gt;"",L102=1),COUNTIFS($E$2:E102,E102,$L$2:L102,1),0)</f>
        <v>4</v>
      </c>
      <c r="AI102" s="165">
        <f t="shared" si="13"/>
        <v>18</v>
      </c>
      <c r="AJ102" s="165">
        <f t="shared" si="14"/>
        <v>1</v>
      </c>
    </row>
    <row r="103" spans="1:36" x14ac:dyDescent="0.25">
      <c r="A103" s="177">
        <f t="shared" si="15"/>
        <v>46269</v>
      </c>
      <c r="B103" s="178" t="str">
        <f t="shared" si="9"/>
        <v>Fri</v>
      </c>
      <c r="C103" s="178" t="str">
        <f>'Pantry Inventory'!$A$2</f>
        <v>Sep Week 1</v>
      </c>
      <c r="D103" s="178" t="str">
        <f>IF('Pantry Inventory'!A25="","",'Pantry Inventory'!A25)</f>
        <v>BingRae</v>
      </c>
      <c r="E103" s="178" t="str">
        <f>IF('Pantry Inventory'!B25="","",'Pantry Inventory'!B25)</f>
        <v>BingRae Banana Milk 200ml</v>
      </c>
      <c r="F103" s="178" t="str">
        <f>IF(E103="","",IFERROR(IF(INDEX('Item Purchases'!$S$4:$S$30,MATCH(E103,'Item Purchases'!$B$4:$B$30,0))="","Uncategorised",INDEX('Item Purchases'!$S$4:$S$30,MATCH(E103,'Item Purchases'!$B$4:$B$30,0))),"Uncategorised"))</f>
        <v>Other</v>
      </c>
      <c r="G103" s="178">
        <f>IF(E103="",0,'Pantry Inventory'!M25)</f>
        <v>0</v>
      </c>
      <c r="H103" s="178">
        <f>IF(E103="","",IF('Pantry Inventory'!N25="","",'Pantry Inventory'!N25))</f>
        <v>0</v>
      </c>
      <c r="I103" s="178">
        <f>IF(H103="","",'Pantry Inventory'!O25)</f>
        <v>0</v>
      </c>
      <c r="J103" s="179">
        <f>IF(E103="",0,IFERROR(INDEX('Item Purchases'!$Q$4:$Q$30,MATCH(E103,'Item Purchases'!$B$4:$B$30,0)),0))</f>
        <v>3.3159999999999998</v>
      </c>
      <c r="K103" s="180">
        <f t="shared" si="10"/>
        <v>0</v>
      </c>
      <c r="L103" s="178">
        <f t="shared" si="11"/>
        <v>1</v>
      </c>
      <c r="M103" s="178">
        <f>IF(E103="",0,IF(AND(OR(OR(Dashboard!$E$5="All",Dashboard!$E$5=""),AG103=Dashboard!$E$5),OR(OR(Dashboard!$H$5="All",Dashboard!$H$5=""),F103=Dashboard!$H$5),OR(OR(Dashboard!$B$5="All",Dashboard!$B$5=""),C103=Dashboard!$B$5),OR(OR(Dashboard!$K$5="All",Dashboard!$K$5=""),A103=Dashboard!$K$5),OR(OR(Dashboard!$N$5="All",Dashboard!$N$5=""),B103=Dashboard!$N$5),OR(OR(Dashboard!$Q$5="All",Dashboard!$Q$5=""),D103=Dashboard!$Q$5),OR(OR(Dashboard!$U$5="All",Dashboard!$U$5=""),E103=Dashboard!$U$5)),1,0))</f>
        <v>1</v>
      </c>
      <c r="N103" s="178">
        <f>IF(E103="",0,IF(AND(OR(OR(Dashboard!$E$5="All",Dashboard!$E$5=""),AG103=Dashboard!$E$5),OR(OR(Dashboard!$B$5="All",Dashboard!$B$5=""),C103=Dashboard!$B$5),OR(OR(Dashboard!$K$5="All",Dashboard!$K$5=""),A103=Dashboard!$K$5),OR(OR(Dashboard!$N$5="All",Dashboard!$N$5=""),B103=Dashboard!$N$5),OR(OR(Dashboard!$Q$5="All",Dashboard!$Q$5=""),D103=Dashboard!$Q$5),OR(OR(Dashboard!$U$5="All",Dashboard!$U$5=""),E103=Dashboard!$U$5)),1,0))</f>
        <v>1</v>
      </c>
      <c r="O103" s="165">
        <f t="shared" si="12"/>
        <v>0</v>
      </c>
      <c r="AG103" s="178" t="str">
        <f>IF(E103="","",IFERROR(IF(INDEX('Item Purchases'!$AM$4:$AM$30,MATCH(E103,'Item Purchases'!$B$4:$B$30,0))="","Uncategorised",INDEX('Item Purchases'!$AM$4:$AM$30,MATCH(E103,'Item Purchases'!$B$4:$B$30,0))),"Uncategorised"))</f>
        <v>Beverages</v>
      </c>
      <c r="AH103" s="165">
        <f>IF(AND(E103&lt;&gt;"",L103=1),COUNTIFS($E$2:E103,E103,$L$2:L103,1),0)</f>
        <v>4</v>
      </c>
      <c r="AI103" s="165">
        <f t="shared" si="13"/>
        <v>0</v>
      </c>
      <c r="AJ103" s="165">
        <f t="shared" si="14"/>
        <v>0</v>
      </c>
    </row>
    <row r="104" spans="1:36" x14ac:dyDescent="0.25">
      <c r="A104" s="177">
        <f t="shared" si="15"/>
        <v>46269</v>
      </c>
      <c r="B104" s="178" t="str">
        <f t="shared" si="9"/>
        <v>Fri</v>
      </c>
      <c r="C104" s="178" t="str">
        <f>'Pantry Inventory'!$A$2</f>
        <v>Sep Week 1</v>
      </c>
      <c r="D104" s="178" t="str">
        <f>IF('Pantry Inventory'!A26="","",'Pantry Inventory'!A26)</f>
        <v>Fuze Tea</v>
      </c>
      <c r="E104" s="178" t="str">
        <f>IF('Pantry Inventory'!B26="","",'Pantry Inventory'!B26)</f>
        <v>Fuze Tea by Heaven and Earth Jasmine Tea</v>
      </c>
      <c r="F104" s="178" t="str">
        <f>IF(E104="","",IFERROR(IF(INDEX('Item Purchases'!$S$4:$S$30,MATCH(E104,'Item Purchases'!$B$4:$B$30,0))="","Uncategorised",INDEX('Item Purchases'!$S$4:$S$30,MATCH(E104,'Item Purchases'!$B$4:$B$30,0))),"Uncategorised"))</f>
        <v>Tea</v>
      </c>
      <c r="G104" s="178">
        <f>IF(E104="",0,'Pantry Inventory'!M26)</f>
        <v>0</v>
      </c>
      <c r="H104" s="178">
        <f>IF(E104="","",IF('Pantry Inventory'!N26="","",'Pantry Inventory'!N26))</f>
        <v>0</v>
      </c>
      <c r="I104" s="178">
        <f>IF(H104="","",'Pantry Inventory'!O26)</f>
        <v>0</v>
      </c>
      <c r="J104" s="179">
        <f>IF(E104="",0,IFERROR(INDEX('Item Purchases'!$Q$4:$Q$30,MATCH(E104,'Item Purchases'!$B$4:$B$30,0)),0))</f>
        <v>1.167</v>
      </c>
      <c r="K104" s="180">
        <f t="shared" si="10"/>
        <v>0</v>
      </c>
      <c r="L104" s="178">
        <f t="shared" si="11"/>
        <v>1</v>
      </c>
      <c r="M104" s="178">
        <f>IF(E104="",0,IF(AND(OR(OR(Dashboard!$E$5="All",Dashboard!$E$5=""),AG104=Dashboard!$E$5),OR(OR(Dashboard!$H$5="All",Dashboard!$H$5=""),F104=Dashboard!$H$5),OR(OR(Dashboard!$B$5="All",Dashboard!$B$5=""),C104=Dashboard!$B$5),OR(OR(Dashboard!$K$5="All",Dashboard!$K$5=""),A104=Dashboard!$K$5),OR(OR(Dashboard!$N$5="All",Dashboard!$N$5=""),B104=Dashboard!$N$5),OR(OR(Dashboard!$Q$5="All",Dashboard!$Q$5=""),D104=Dashboard!$Q$5),OR(OR(Dashboard!$U$5="All",Dashboard!$U$5=""),E104=Dashboard!$U$5)),1,0))</f>
        <v>1</v>
      </c>
      <c r="N104" s="178">
        <f>IF(E104="",0,IF(AND(OR(OR(Dashboard!$E$5="All",Dashboard!$E$5=""),AG104=Dashboard!$E$5),OR(OR(Dashboard!$B$5="All",Dashboard!$B$5=""),C104=Dashboard!$B$5),OR(OR(Dashboard!$K$5="All",Dashboard!$K$5=""),A104=Dashboard!$K$5),OR(OR(Dashboard!$N$5="All",Dashboard!$N$5=""),B104=Dashboard!$N$5),OR(OR(Dashboard!$Q$5="All",Dashboard!$Q$5=""),D104=Dashboard!$Q$5),OR(OR(Dashboard!$U$5="All",Dashboard!$U$5=""),E104=Dashboard!$U$5)),1,0))</f>
        <v>1</v>
      </c>
      <c r="O104" s="165">
        <f t="shared" si="12"/>
        <v>0</v>
      </c>
      <c r="AG104" s="178" t="str">
        <f>IF(E104="","",IFERROR(IF(INDEX('Item Purchases'!$AM$4:$AM$30,MATCH(E104,'Item Purchases'!$B$4:$B$30,0))="","Uncategorised",INDEX('Item Purchases'!$AM$4:$AM$30,MATCH(E104,'Item Purchases'!$B$4:$B$30,0))),"Uncategorised"))</f>
        <v>Beverages</v>
      </c>
      <c r="AH104" s="165">
        <f>IF(AND(E104&lt;&gt;"",L104=1),COUNTIFS($E$2:E104,E104,$L$2:L104,1),0)</f>
        <v>4</v>
      </c>
      <c r="AI104" s="165">
        <f t="shared" si="13"/>
        <v>0</v>
      </c>
      <c r="AJ104" s="165">
        <f t="shared" si="14"/>
        <v>0</v>
      </c>
    </row>
    <row r="105" spans="1:36" x14ac:dyDescent="0.25">
      <c r="A105" s="177">
        <f t="shared" si="15"/>
        <v>46269</v>
      </c>
      <c r="B105" s="178" t="str">
        <f t="shared" si="9"/>
        <v>Fri</v>
      </c>
      <c r="C105" s="178" t="str">
        <f>'Pantry Inventory'!$A$2</f>
        <v>Sep Week 1</v>
      </c>
      <c r="D105" s="178" t="str">
        <f>IF('Pantry Inventory'!A27="","",'Pantry Inventory'!A27)</f>
        <v>F&amp;N</v>
      </c>
      <c r="E105" s="178" t="str">
        <f>IF('Pantry Inventory'!B27="","",'Pantry Inventory'!B27)</f>
        <v>FN 100 plus (original) 325ml</v>
      </c>
      <c r="F105" s="178" t="str">
        <f>IF(E105="","",IFERROR(IF(INDEX('Item Purchases'!$S$4:$S$30,MATCH(E105,'Item Purchases'!$B$4:$B$30,0))="","Uncategorised",INDEX('Item Purchases'!$S$4:$S$30,MATCH(E105,'Item Purchases'!$B$4:$B$30,0))),"Uncategorised"))</f>
        <v>Other</v>
      </c>
      <c r="G105" s="178">
        <f>IF(E105="",0,'Pantry Inventory'!M27)</f>
        <v>0</v>
      </c>
      <c r="H105" s="178">
        <f>IF(E105="","",IF('Pantry Inventory'!N27="","",'Pantry Inventory'!N27))</f>
        <v>26</v>
      </c>
      <c r="I105" s="178">
        <f>IF(H105="","",'Pantry Inventory'!O27)</f>
        <v>12</v>
      </c>
      <c r="J105" s="179">
        <f>IF(E105="",0,IFERROR(INDEX('Item Purchases'!$Q$4:$Q$30,MATCH(E105,'Item Purchases'!$B$4:$B$30,0)),0))</f>
        <v>1.58</v>
      </c>
      <c r="K105" s="180">
        <f t="shared" si="10"/>
        <v>18.96</v>
      </c>
      <c r="L105" s="178">
        <f t="shared" si="11"/>
        <v>1</v>
      </c>
      <c r="M105" s="178">
        <f>IF(E105="",0,IF(AND(OR(OR(Dashboard!$E$5="All",Dashboard!$E$5=""),AG105=Dashboard!$E$5),OR(OR(Dashboard!$H$5="All",Dashboard!$H$5=""),F105=Dashboard!$H$5),OR(OR(Dashboard!$B$5="All",Dashboard!$B$5=""),C105=Dashboard!$B$5),OR(OR(Dashboard!$K$5="All",Dashboard!$K$5=""),A105=Dashboard!$K$5),OR(OR(Dashboard!$N$5="All",Dashboard!$N$5=""),B105=Dashboard!$N$5),OR(OR(Dashboard!$Q$5="All",Dashboard!$Q$5=""),D105=Dashboard!$Q$5),OR(OR(Dashboard!$U$5="All",Dashboard!$U$5=""),E105=Dashboard!$U$5)),1,0))</f>
        <v>1</v>
      </c>
      <c r="N105" s="178">
        <f>IF(E105="",0,IF(AND(OR(OR(Dashboard!$E$5="All",Dashboard!$E$5=""),AG105=Dashboard!$E$5),OR(OR(Dashboard!$B$5="All",Dashboard!$B$5=""),C105=Dashboard!$B$5),OR(OR(Dashboard!$K$5="All",Dashboard!$K$5=""),A105=Dashboard!$K$5),OR(OR(Dashboard!$N$5="All",Dashboard!$N$5=""),B105=Dashboard!$N$5),OR(OR(Dashboard!$Q$5="All",Dashboard!$Q$5=""),D105=Dashboard!$Q$5),OR(OR(Dashboard!$U$5="All",Dashboard!$U$5=""),E105=Dashboard!$U$5)),1,0))</f>
        <v>1</v>
      </c>
      <c r="O105" s="165">
        <f t="shared" si="12"/>
        <v>144</v>
      </c>
      <c r="AG105" s="178" t="str">
        <f>IF(E105="","",IFERROR(IF(INDEX('Item Purchases'!$AM$4:$AM$30,MATCH(E105,'Item Purchases'!$B$4:$B$30,0))="","Uncategorised",INDEX('Item Purchases'!$AM$4:$AM$30,MATCH(E105,'Item Purchases'!$B$4:$B$30,0))),"Uncategorised"))</f>
        <v>Beverages</v>
      </c>
      <c r="AH105" s="165">
        <f>IF(AND(E105&lt;&gt;"",L105=1),COUNTIFS($E$2:E105,E105,$L$2:L105,1),0)</f>
        <v>4</v>
      </c>
      <c r="AI105" s="165">
        <f t="shared" si="13"/>
        <v>12</v>
      </c>
      <c r="AJ105" s="165">
        <f t="shared" si="14"/>
        <v>1</v>
      </c>
    </row>
    <row r="106" spans="1:36" x14ac:dyDescent="0.25">
      <c r="A106" s="177">
        <f t="shared" si="15"/>
        <v>46269</v>
      </c>
      <c r="B106" s="178" t="str">
        <f t="shared" si="9"/>
        <v>Fri</v>
      </c>
      <c r="C106" s="178" t="str">
        <f>'Pantry Inventory'!$A$2</f>
        <v>Sep Week 1</v>
      </c>
      <c r="D106" s="178" t="str">
        <f>IF('Pantry Inventory'!A28="","",'Pantry Inventory'!A28)</f>
        <v>Spritzer</v>
      </c>
      <c r="E106" s="178" t="str">
        <f>IF('Pantry Inventory'!B28="","",'Pantry Inventory'!B28)</f>
        <v>Spritzer sparkling water (original) 400ml</v>
      </c>
      <c r="F106" s="178" t="str">
        <f>IF(E106="","",IFERROR(IF(INDEX('Item Purchases'!$S$4:$S$30,MATCH(E106,'Item Purchases'!$B$4:$B$30,0))="","Uncategorised",INDEX('Item Purchases'!$S$4:$S$30,MATCH(E106,'Item Purchases'!$B$4:$B$30,0))),"Uncategorised"))</f>
        <v>Other</v>
      </c>
      <c r="G106" s="178">
        <f>IF(E106="",0,'Pantry Inventory'!M28)</f>
        <v>0</v>
      </c>
      <c r="H106" s="178">
        <f>IF(E106="","",IF('Pantry Inventory'!N28="","",'Pantry Inventory'!N28))</f>
        <v>17</v>
      </c>
      <c r="I106" s="178">
        <f>IF(H106="","",'Pantry Inventory'!O28)</f>
        <v>21</v>
      </c>
      <c r="J106" s="179">
        <f>IF(E106="",0,IFERROR(INDEX('Item Purchases'!$Q$4:$Q$30,MATCH(E106,'Item Purchases'!$B$4:$B$30,0)),0))</f>
        <v>1.616666666666666</v>
      </c>
      <c r="K106" s="180">
        <f t="shared" si="10"/>
        <v>33.949999999999989</v>
      </c>
      <c r="L106" s="178">
        <f t="shared" si="11"/>
        <v>1</v>
      </c>
      <c r="M106" s="178">
        <f>IF(E106="",0,IF(AND(OR(OR(Dashboard!$E$5="All",Dashboard!$E$5=""),AG106=Dashboard!$E$5),OR(OR(Dashboard!$H$5="All",Dashboard!$H$5=""),F106=Dashboard!$H$5),OR(OR(Dashboard!$B$5="All",Dashboard!$B$5=""),C106=Dashboard!$B$5),OR(OR(Dashboard!$K$5="All",Dashboard!$K$5=""),A106=Dashboard!$K$5),OR(OR(Dashboard!$N$5="All",Dashboard!$N$5=""),B106=Dashboard!$N$5),OR(OR(Dashboard!$Q$5="All",Dashboard!$Q$5=""),D106=Dashboard!$Q$5),OR(OR(Dashboard!$U$5="All",Dashboard!$U$5=""),E106=Dashboard!$U$5)),1,0))</f>
        <v>1</v>
      </c>
      <c r="N106" s="178">
        <f>IF(E106="",0,IF(AND(OR(OR(Dashboard!$E$5="All",Dashboard!$E$5=""),AG106=Dashboard!$E$5),OR(OR(Dashboard!$B$5="All",Dashboard!$B$5=""),C106=Dashboard!$B$5),OR(OR(Dashboard!$K$5="All",Dashboard!$K$5=""),A106=Dashboard!$K$5),OR(OR(Dashboard!$N$5="All",Dashboard!$N$5=""),B106=Dashboard!$N$5),OR(OR(Dashboard!$Q$5="All",Dashboard!$Q$5=""),D106=Dashboard!$Q$5),OR(OR(Dashboard!$U$5="All",Dashboard!$U$5=""),E106=Dashboard!$U$5)),1,0))</f>
        <v>1</v>
      </c>
      <c r="O106" s="165">
        <f t="shared" si="12"/>
        <v>441</v>
      </c>
      <c r="AG106" s="178" t="str">
        <f>IF(E106="","",IFERROR(IF(INDEX('Item Purchases'!$AM$4:$AM$30,MATCH(E106,'Item Purchases'!$B$4:$B$30,0))="","Uncategorised",INDEX('Item Purchases'!$AM$4:$AM$30,MATCH(E106,'Item Purchases'!$B$4:$B$30,0))),"Uncategorised"))</f>
        <v>Beverages</v>
      </c>
      <c r="AH106" s="165">
        <f>IF(AND(E106&lt;&gt;"",L106=1),COUNTIFS($E$2:E106,E106,$L$2:L106,1),0)</f>
        <v>4</v>
      </c>
      <c r="AI106" s="165">
        <f t="shared" si="13"/>
        <v>21</v>
      </c>
      <c r="AJ106" s="165">
        <f t="shared" si="14"/>
        <v>1</v>
      </c>
    </row>
    <row r="107" spans="1:36" x14ac:dyDescent="0.25">
      <c r="A107" s="177">
        <f t="shared" si="15"/>
        <v>46269</v>
      </c>
      <c r="B107" s="178" t="str">
        <f t="shared" si="9"/>
        <v>Fri</v>
      </c>
      <c r="C107" s="178" t="str">
        <f>'Pantry Inventory'!$A$2</f>
        <v>Sep Week 1</v>
      </c>
      <c r="D107" s="178" t="str">
        <f>IF('Pantry Inventory'!A29="","",'Pantry Inventory'!A29)</f>
        <v>Oat Side</v>
      </c>
      <c r="E107" s="178" t="str">
        <f>IF('Pantry Inventory'!B29="","",'Pantry Inventory'!B29)</f>
        <v>Oat Side Original 200ml</v>
      </c>
      <c r="F107" s="178" t="str">
        <f>IF(E107="","",IFERROR(IF(INDEX('Item Purchases'!$S$4:$S$30,MATCH(E107,'Item Purchases'!$B$4:$B$30,0))="","Uncategorised",INDEX('Item Purchases'!$S$4:$S$30,MATCH(E107,'Item Purchases'!$B$4:$B$30,0))),"Uncategorised"))</f>
        <v>Other</v>
      </c>
      <c r="G107" s="178">
        <f>IF(E107="",0,'Pantry Inventory'!M29)</f>
        <v>0</v>
      </c>
      <c r="H107" s="178">
        <f>IF(E107="","",IF('Pantry Inventory'!N29="","",'Pantry Inventory'!N29))</f>
        <v>15</v>
      </c>
      <c r="I107" s="178">
        <f>IF(H107="","",'Pantry Inventory'!O29)</f>
        <v>9</v>
      </c>
      <c r="J107" s="179">
        <f>IF(E107="",0,IFERROR(INDEX('Item Purchases'!$Q$4:$Q$30,MATCH(E107,'Item Purchases'!$B$4:$B$30,0)),0))</f>
        <v>3</v>
      </c>
      <c r="K107" s="180">
        <f t="shared" si="10"/>
        <v>27</v>
      </c>
      <c r="L107" s="178">
        <f t="shared" si="11"/>
        <v>1</v>
      </c>
      <c r="M107" s="178">
        <f>IF(E107="",0,IF(AND(OR(OR(Dashboard!$E$5="All",Dashboard!$E$5=""),AG107=Dashboard!$E$5),OR(OR(Dashboard!$H$5="All",Dashboard!$H$5=""),F107=Dashboard!$H$5),OR(OR(Dashboard!$B$5="All",Dashboard!$B$5=""),C107=Dashboard!$B$5),OR(OR(Dashboard!$K$5="All",Dashboard!$K$5=""),A107=Dashboard!$K$5),OR(OR(Dashboard!$N$5="All",Dashboard!$N$5=""),B107=Dashboard!$N$5),OR(OR(Dashboard!$Q$5="All",Dashboard!$Q$5=""),D107=Dashboard!$Q$5),OR(OR(Dashboard!$U$5="All",Dashboard!$U$5=""),E107=Dashboard!$U$5)),1,0))</f>
        <v>1</v>
      </c>
      <c r="N107" s="178">
        <f>IF(E107="",0,IF(AND(OR(OR(Dashboard!$E$5="All",Dashboard!$E$5=""),AG107=Dashboard!$E$5),OR(OR(Dashboard!$B$5="All",Dashboard!$B$5=""),C107=Dashboard!$B$5),OR(OR(Dashboard!$K$5="All",Dashboard!$K$5=""),A107=Dashboard!$K$5),OR(OR(Dashboard!$N$5="All",Dashboard!$N$5=""),B107=Dashboard!$N$5),OR(OR(Dashboard!$Q$5="All",Dashboard!$Q$5=""),D107=Dashboard!$Q$5),OR(OR(Dashboard!$U$5="All",Dashboard!$U$5=""),E107=Dashboard!$U$5)),1,0))</f>
        <v>1</v>
      </c>
      <c r="O107" s="165">
        <f t="shared" si="12"/>
        <v>81</v>
      </c>
      <c r="AG107" s="178" t="str">
        <f>IF(E107="","",IFERROR(IF(INDEX('Item Purchases'!$AM$4:$AM$30,MATCH(E107,'Item Purchases'!$B$4:$B$30,0))="","Uncategorised",INDEX('Item Purchases'!$AM$4:$AM$30,MATCH(E107,'Item Purchases'!$B$4:$B$30,0))),"Uncategorised"))</f>
        <v>Beverages</v>
      </c>
      <c r="AH107" s="165">
        <f>IF(AND(E107&lt;&gt;"",L107=1),COUNTIFS($E$2:E107,E107,$L$2:L107,1),0)</f>
        <v>4</v>
      </c>
      <c r="AI107" s="165">
        <f t="shared" si="13"/>
        <v>9</v>
      </c>
      <c r="AJ107" s="165">
        <f t="shared" si="14"/>
        <v>1</v>
      </c>
    </row>
    <row r="108" spans="1:36" x14ac:dyDescent="0.25">
      <c r="A108" s="177">
        <f t="shared" si="15"/>
        <v>46269</v>
      </c>
      <c r="B108" s="178" t="str">
        <f t="shared" si="9"/>
        <v>Fri</v>
      </c>
      <c r="C108" s="178" t="str">
        <f>'Pantry Inventory'!$A$2</f>
        <v>Sep Week 1</v>
      </c>
      <c r="D108" s="178" t="str">
        <f>IF('Pantry Inventory'!A30="","",'Pantry Inventory'!A30)</f>
        <v>Oat Side</v>
      </c>
      <c r="E108" s="178" t="str">
        <f>IF('Pantry Inventory'!B30="","",'Pantry Inventory'!B30)</f>
        <v>Oat Side Chocolate 200ml</v>
      </c>
      <c r="F108" s="178" t="str">
        <f>IF(E108="","",IFERROR(IF(INDEX('Item Purchases'!$S$4:$S$30,MATCH(E108,'Item Purchases'!$B$4:$B$30,0))="","Uncategorised",INDEX('Item Purchases'!$S$4:$S$30,MATCH(E108,'Item Purchases'!$B$4:$B$30,0))),"Uncategorised"))</f>
        <v>Other</v>
      </c>
      <c r="G108" s="178">
        <f>IF(E108="",0,'Pantry Inventory'!M30)</f>
        <v>0</v>
      </c>
      <c r="H108" s="178">
        <f>IF(E108="","",IF('Pantry Inventory'!N30="","",'Pantry Inventory'!N30))</f>
        <v>3</v>
      </c>
      <c r="I108" s="178">
        <f>IF(H108="","",'Pantry Inventory'!O30)</f>
        <v>42</v>
      </c>
      <c r="J108" s="179">
        <f>IF(E108="",0,IFERROR(INDEX('Item Purchases'!$Q$4:$Q$30,MATCH(E108,'Item Purchases'!$B$4:$B$30,0)),0))</f>
        <v>3</v>
      </c>
      <c r="K108" s="180">
        <f t="shared" si="10"/>
        <v>126</v>
      </c>
      <c r="L108" s="178">
        <f t="shared" si="11"/>
        <v>1</v>
      </c>
      <c r="M108" s="178">
        <f>IF(E108="",0,IF(AND(OR(OR(Dashboard!$E$5="All",Dashboard!$E$5=""),AG108=Dashboard!$E$5),OR(OR(Dashboard!$H$5="All",Dashboard!$H$5=""),F108=Dashboard!$H$5),OR(OR(Dashboard!$B$5="All",Dashboard!$B$5=""),C108=Dashboard!$B$5),OR(OR(Dashboard!$K$5="All",Dashboard!$K$5=""),A108=Dashboard!$K$5),OR(OR(Dashboard!$N$5="All",Dashboard!$N$5=""),B108=Dashboard!$N$5),OR(OR(Dashboard!$Q$5="All",Dashboard!$Q$5=""),D108=Dashboard!$Q$5),OR(OR(Dashboard!$U$5="All",Dashboard!$U$5=""),E108=Dashboard!$U$5)),1,0))</f>
        <v>1</v>
      </c>
      <c r="N108" s="178">
        <f>IF(E108="",0,IF(AND(OR(OR(Dashboard!$E$5="All",Dashboard!$E$5=""),AG108=Dashboard!$E$5),OR(OR(Dashboard!$B$5="All",Dashboard!$B$5=""),C108=Dashboard!$B$5),OR(OR(Dashboard!$K$5="All",Dashboard!$K$5=""),A108=Dashboard!$K$5),OR(OR(Dashboard!$N$5="All",Dashboard!$N$5=""),B108=Dashboard!$N$5),OR(OR(Dashboard!$Q$5="All",Dashboard!$Q$5=""),D108=Dashboard!$Q$5),OR(OR(Dashboard!$U$5="All",Dashboard!$U$5=""),E108=Dashboard!$U$5)),1,0))</f>
        <v>1</v>
      </c>
      <c r="O108" s="165">
        <f t="shared" si="12"/>
        <v>1764</v>
      </c>
      <c r="AG108" s="178" t="str">
        <f>IF(E108="","",IFERROR(IF(INDEX('Item Purchases'!$AM$4:$AM$30,MATCH(E108,'Item Purchases'!$B$4:$B$30,0))="","Uncategorised",INDEX('Item Purchases'!$AM$4:$AM$30,MATCH(E108,'Item Purchases'!$B$4:$B$30,0))),"Uncategorised"))</f>
        <v>Beverages</v>
      </c>
      <c r="AH108" s="165">
        <f>IF(AND(E108&lt;&gt;"",L108=1),COUNTIFS($E$2:E108,E108,$L$2:L108,1),0)</f>
        <v>4</v>
      </c>
      <c r="AI108" s="165">
        <f t="shared" si="13"/>
        <v>42</v>
      </c>
      <c r="AJ108" s="165">
        <f t="shared" si="14"/>
        <v>1</v>
      </c>
    </row>
    <row r="109" spans="1:36" x14ac:dyDescent="0.25">
      <c r="A109" s="177">
        <f t="shared" si="15"/>
        <v>46269</v>
      </c>
      <c r="B109" s="178" t="str">
        <f t="shared" si="9"/>
        <v>Fri</v>
      </c>
      <c r="C109" s="178" t="str">
        <f>'Pantry Inventory'!$A$2</f>
        <v>Sep Week 1</v>
      </c>
      <c r="D109" s="178" t="str">
        <f>IF('Pantry Inventory'!A31="","",'Pantry Inventory'!A31)</f>
        <v/>
      </c>
      <c r="E109" s="178" t="str">
        <f>IF('Pantry Inventory'!B31="","",'Pantry Inventory'!B31)</f>
        <v/>
      </c>
      <c r="F109" s="178" t="str">
        <f>IF(E109="","",IFERROR(IF(INDEX('Item Purchases'!$S$4:$S$30,MATCH(E109,'Item Purchases'!$B$4:$B$30,0))="","Uncategorised",INDEX('Item Purchases'!$S$4:$S$30,MATCH(E109,'Item Purchases'!$B$4:$B$30,0))),"Uncategorised"))</f>
        <v/>
      </c>
      <c r="G109" s="178">
        <f>IF(E109="",0,'Pantry Inventory'!M31)</f>
        <v>0</v>
      </c>
      <c r="H109" s="178" t="str">
        <f>IF(E109="","",IF('Pantry Inventory'!N31="","",'Pantry Inventory'!N31))</f>
        <v/>
      </c>
      <c r="I109" s="178" t="str">
        <f>IF(H109="","",'Pantry Inventory'!O31)</f>
        <v/>
      </c>
      <c r="J109" s="179">
        <f>IF(E109="",0,IFERROR(INDEX('Item Purchases'!$Q$4:$Q$30,MATCH(E109,'Item Purchases'!$B$4:$B$30,0)),0))</f>
        <v>0</v>
      </c>
      <c r="K109" s="180" t="str">
        <f t="shared" si="10"/>
        <v/>
      </c>
      <c r="L109" s="178">
        <f t="shared" si="11"/>
        <v>0</v>
      </c>
      <c r="M109" s="178">
        <f>IF(E109="",0,IF(AND(OR(OR(Dashboard!$E$5="All",Dashboard!$E$5=""),AG109=Dashboard!$E$5),OR(OR(Dashboard!$H$5="All",Dashboard!$H$5=""),F109=Dashboard!$H$5),OR(OR(Dashboard!$B$5="All",Dashboard!$B$5=""),C109=Dashboard!$B$5),OR(OR(Dashboard!$K$5="All",Dashboard!$K$5=""),A109=Dashboard!$K$5),OR(OR(Dashboard!$N$5="All",Dashboard!$N$5=""),B109=Dashboard!$N$5),OR(OR(Dashboard!$Q$5="All",Dashboard!$Q$5=""),D109=Dashboard!$Q$5),OR(OR(Dashboard!$U$5="All",Dashboard!$U$5=""),E109=Dashboard!$U$5)),1,0))</f>
        <v>0</v>
      </c>
      <c r="N109" s="178">
        <f>IF(E109="",0,IF(AND(OR(OR(Dashboard!$E$5="All",Dashboard!$E$5=""),AG109=Dashboard!$E$5),OR(OR(Dashboard!$B$5="All",Dashboard!$B$5=""),C109=Dashboard!$B$5),OR(OR(Dashboard!$K$5="All",Dashboard!$K$5=""),A109=Dashboard!$K$5),OR(OR(Dashboard!$N$5="All",Dashboard!$N$5=""),B109=Dashboard!$N$5),OR(OR(Dashboard!$Q$5="All",Dashboard!$Q$5=""),D109=Dashboard!$Q$5),OR(OR(Dashboard!$U$5="All",Dashboard!$U$5=""),E109=Dashboard!$U$5)),1,0))</f>
        <v>0</v>
      </c>
      <c r="O109" s="165">
        <f t="shared" si="12"/>
        <v>0</v>
      </c>
      <c r="AG109" s="178" t="str">
        <f>IF(E109="","",IFERROR(IF(INDEX('Item Purchases'!$AM$4:$AM$30,MATCH(E109,'Item Purchases'!$B$4:$B$30,0))="","Uncategorised",INDEX('Item Purchases'!$AM$4:$AM$30,MATCH(E109,'Item Purchases'!$B$4:$B$30,0))),"Uncategorised"))</f>
        <v/>
      </c>
      <c r="AH109" s="165">
        <f>IF(AND(E109&lt;&gt;"",L109=1),COUNTIFS($E$2:E109,E109,$L$2:L109,1),0)</f>
        <v>0</v>
      </c>
      <c r="AI109" s="165">
        <f t="shared" si="13"/>
        <v>0</v>
      </c>
      <c r="AJ109" s="165">
        <f t="shared" si="14"/>
        <v>0</v>
      </c>
    </row>
    <row r="110" spans="1:36" x14ac:dyDescent="0.25">
      <c r="A110" s="177">
        <f t="shared" ref="A110:A136" si="16">IF($Z$6="",0,$Z$6)</f>
        <v>46272</v>
      </c>
      <c r="B110" s="178" t="str">
        <f t="shared" si="9"/>
        <v>Mon</v>
      </c>
      <c r="C110" s="178" t="str">
        <f>'Pantry Inventory'!$A$2</f>
        <v>Sep Week 1</v>
      </c>
      <c r="D110" s="178" t="str">
        <f>IF('Pantry Inventory'!A5="","",'Pantry Inventory'!A5)</f>
        <v>Julie's</v>
      </c>
      <c r="E110" s="178" t="str">
        <f>IF('Pantry Inventory'!B5="","",'Pantry Inventory'!B5)</f>
        <v>Julie's Peanut Butter Sandwich 360g (12pkts x 30g)</v>
      </c>
      <c r="F110" s="178" t="str">
        <f>IF(E110="","",IFERROR(IF(INDEX('Item Purchases'!$S$4:$S$30,MATCH(E110,'Item Purchases'!$B$4:$B$30,0))="","Uncategorised",INDEX('Item Purchases'!$S$4:$S$30,MATCH(E110,'Item Purchases'!$B$4:$B$30,0))),"Uncategorised"))</f>
        <v>Sweet</v>
      </c>
      <c r="G110" s="178">
        <f>IF(E110="",0,'Pantry Inventory'!P5)</f>
        <v>0</v>
      </c>
      <c r="H110" s="178">
        <f>IF(E110="","",IF('Pantry Inventory'!Q5="","",'Pantry Inventory'!Q5))</f>
        <v>21</v>
      </c>
      <c r="I110" s="178">
        <f>IF(H110="","",'Pantry Inventory'!R5)</f>
        <v>12</v>
      </c>
      <c r="J110" s="179">
        <f>IF(E110="",0,IFERROR(INDEX('Item Purchases'!$Q$4:$Q$30,MATCH(E110,'Item Purchases'!$B$4:$B$30,0)),0))</f>
        <v>1.083</v>
      </c>
      <c r="K110" s="180">
        <f t="shared" si="10"/>
        <v>12.995999999999999</v>
      </c>
      <c r="L110" s="178">
        <f t="shared" si="11"/>
        <v>1</v>
      </c>
      <c r="M110" s="178">
        <f>IF(E110="",0,IF(AND(OR(OR(Dashboard!$E$5="All",Dashboard!$E$5=""),AG110=Dashboard!$E$5),OR(OR(Dashboard!$H$5="All",Dashboard!$H$5=""),F110=Dashboard!$H$5),OR(OR(Dashboard!$B$5="All",Dashboard!$B$5=""),C110=Dashboard!$B$5),OR(OR(Dashboard!$K$5="All",Dashboard!$K$5=""),A110=Dashboard!$K$5),OR(OR(Dashboard!$N$5="All",Dashboard!$N$5=""),B110=Dashboard!$N$5),OR(OR(Dashboard!$Q$5="All",Dashboard!$Q$5=""),D110=Dashboard!$Q$5),OR(OR(Dashboard!$U$5="All",Dashboard!$U$5=""),E110=Dashboard!$U$5)),1,0))</f>
        <v>1</v>
      </c>
      <c r="N110" s="178">
        <f>IF(E110="",0,IF(AND(OR(OR(Dashboard!$E$5="All",Dashboard!$E$5=""),AG110=Dashboard!$E$5),OR(OR(Dashboard!$B$5="All",Dashboard!$B$5=""),C110=Dashboard!$B$5),OR(OR(Dashboard!$K$5="All",Dashboard!$K$5=""),A110=Dashboard!$K$5),OR(OR(Dashboard!$N$5="All",Dashboard!$N$5=""),B110=Dashboard!$N$5),OR(OR(Dashboard!$Q$5="All",Dashboard!$Q$5=""),D110=Dashboard!$Q$5),OR(OR(Dashboard!$U$5="All",Dashboard!$U$5=""),E110=Dashboard!$U$5)),1,0))</f>
        <v>1</v>
      </c>
      <c r="O110" s="165">
        <f t="shared" si="12"/>
        <v>144</v>
      </c>
      <c r="AG110" s="178" t="str">
        <f>IF(E110="","",IFERROR(IF(INDEX('Item Purchases'!$AM$4:$AM$30,MATCH(E110,'Item Purchases'!$B$4:$B$30,0))="","Uncategorised",INDEX('Item Purchases'!$AM$4:$AM$30,MATCH(E110,'Item Purchases'!$B$4:$B$30,0))),"Uncategorised"))</f>
        <v>Snacks</v>
      </c>
      <c r="AH110" s="165">
        <f>IF(AND(E110&lt;&gt;"",L110=1),COUNTIFS($E$2:E110,E110,$L$2:L110,1),0)</f>
        <v>5</v>
      </c>
      <c r="AI110" s="165">
        <f t="shared" si="13"/>
        <v>12</v>
      </c>
      <c r="AJ110" s="165">
        <f t="shared" si="14"/>
        <v>1</v>
      </c>
    </row>
    <row r="111" spans="1:36" x14ac:dyDescent="0.25">
      <c r="A111" s="177">
        <f t="shared" si="16"/>
        <v>46272</v>
      </c>
      <c r="B111" s="178" t="str">
        <f t="shared" si="9"/>
        <v>Mon</v>
      </c>
      <c r="C111" s="178" t="str">
        <f>'Pantry Inventory'!$A$2</f>
        <v>Sep Week 1</v>
      </c>
      <c r="D111" s="178" t="str">
        <f>IF('Pantry Inventory'!A6="","",'Pantry Inventory'!A6)</f>
        <v>Julie's</v>
      </c>
      <c r="E111" s="178" t="str">
        <f>IF('Pantry Inventory'!B6="","",'Pantry Inventory'!B6)</f>
        <v>Julies Butter Waffles</v>
      </c>
      <c r="F111" s="178" t="str">
        <f>IF(E111="","",IFERROR(IF(INDEX('Item Purchases'!$S$4:$S$30,MATCH(E111,'Item Purchases'!$B$4:$B$30,0))="","Uncategorised",INDEX('Item Purchases'!$S$4:$S$30,MATCH(E111,'Item Purchases'!$B$4:$B$30,0))),"Uncategorised"))</f>
        <v>Sweet</v>
      </c>
      <c r="G111" s="178">
        <f>IF(E111="",0,'Pantry Inventory'!P6)</f>
        <v>0</v>
      </c>
      <c r="H111" s="178">
        <f>IF(E111="","",IF('Pantry Inventory'!Q6="","",'Pantry Inventory'!Q6))</f>
        <v>7</v>
      </c>
      <c r="I111" s="178">
        <f>IF(H111="","",'Pantry Inventory'!R6)</f>
        <v>4</v>
      </c>
      <c r="J111" s="179">
        <f>IF(E111="",0,IFERROR(INDEX('Item Purchases'!$Q$4:$Q$30,MATCH(E111,'Item Purchases'!$B$4:$B$30,0)),0))</f>
        <v>5.15</v>
      </c>
      <c r="K111" s="180">
        <f t="shared" si="10"/>
        <v>20.6</v>
      </c>
      <c r="L111" s="178">
        <f t="shared" si="11"/>
        <v>1</v>
      </c>
      <c r="M111" s="178">
        <f>IF(E111="",0,IF(AND(OR(OR(Dashboard!$E$5="All",Dashboard!$E$5=""),AG111=Dashboard!$E$5),OR(OR(Dashboard!$H$5="All",Dashboard!$H$5=""),F111=Dashboard!$H$5),OR(OR(Dashboard!$B$5="All",Dashboard!$B$5=""),C111=Dashboard!$B$5),OR(OR(Dashboard!$K$5="All",Dashboard!$K$5=""),A111=Dashboard!$K$5),OR(OR(Dashboard!$N$5="All",Dashboard!$N$5=""),B111=Dashboard!$N$5),OR(OR(Dashboard!$Q$5="All",Dashboard!$Q$5=""),D111=Dashboard!$Q$5),OR(OR(Dashboard!$U$5="All",Dashboard!$U$5=""),E111=Dashboard!$U$5)),1,0))</f>
        <v>1</v>
      </c>
      <c r="N111" s="178">
        <f>IF(E111="",0,IF(AND(OR(OR(Dashboard!$E$5="All",Dashboard!$E$5=""),AG111=Dashboard!$E$5),OR(OR(Dashboard!$B$5="All",Dashboard!$B$5=""),C111=Dashboard!$B$5),OR(OR(Dashboard!$K$5="All",Dashboard!$K$5=""),A111=Dashboard!$K$5),OR(OR(Dashboard!$N$5="All",Dashboard!$N$5=""),B111=Dashboard!$N$5),OR(OR(Dashboard!$Q$5="All",Dashboard!$Q$5=""),D111=Dashboard!$Q$5),OR(OR(Dashboard!$U$5="All",Dashboard!$U$5=""),E111=Dashboard!$U$5)),1,0))</f>
        <v>1</v>
      </c>
      <c r="O111" s="165">
        <f t="shared" si="12"/>
        <v>16</v>
      </c>
      <c r="AG111" s="178" t="str">
        <f>IF(E111="","",IFERROR(IF(INDEX('Item Purchases'!$AM$4:$AM$30,MATCH(E111,'Item Purchases'!$B$4:$B$30,0))="","Uncategorised",INDEX('Item Purchases'!$AM$4:$AM$30,MATCH(E111,'Item Purchases'!$B$4:$B$30,0))),"Uncategorised"))</f>
        <v>Snacks</v>
      </c>
      <c r="AH111" s="165">
        <f>IF(AND(E111&lt;&gt;"",L111=1),COUNTIFS($E$2:E111,E111,$L$2:L111,1),0)</f>
        <v>5</v>
      </c>
      <c r="AI111" s="165">
        <f t="shared" si="13"/>
        <v>4</v>
      </c>
      <c r="AJ111" s="165">
        <f t="shared" si="14"/>
        <v>1</v>
      </c>
    </row>
    <row r="112" spans="1:36" x14ac:dyDescent="0.25">
      <c r="A112" s="177">
        <f t="shared" si="16"/>
        <v>46272</v>
      </c>
      <c r="B112" s="178" t="str">
        <f t="shared" si="9"/>
        <v>Mon</v>
      </c>
      <c r="C112" s="178" t="str">
        <f>'Pantry Inventory'!$A$2</f>
        <v>Sep Week 1</v>
      </c>
      <c r="D112" s="178" t="str">
        <f>IF('Pantry Inventory'!A7="","",'Pantry Inventory'!A7)</f>
        <v>Julie's</v>
      </c>
      <c r="E112" s="178" t="str">
        <f>IF('Pantry Inventory'!B7="","",'Pantry Inventory'!B7)</f>
        <v>Julies Choco More Sandwich (44G)</v>
      </c>
      <c r="F112" s="178" t="str">
        <f>IF(E112="","",IFERROR(IF(INDEX('Item Purchases'!$S$4:$S$30,MATCH(E112,'Item Purchases'!$B$4:$B$30,0))="","Uncategorised",INDEX('Item Purchases'!$S$4:$S$30,MATCH(E112,'Item Purchases'!$B$4:$B$30,0))),"Uncategorised"))</f>
        <v>Sweet</v>
      </c>
      <c r="G112" s="178">
        <f>IF(E112="",0,'Pantry Inventory'!P7)</f>
        <v>0</v>
      </c>
      <c r="H112" s="178">
        <f>IF(E112="","",IF('Pantry Inventory'!Q7="","",'Pantry Inventory'!Q7))</f>
        <v>0</v>
      </c>
      <c r="I112" s="178">
        <f>IF(H112="","",'Pantry Inventory'!R7)</f>
        <v>0</v>
      </c>
      <c r="J112" s="179">
        <f>IF(E112="",0,IFERROR(INDEX('Item Purchases'!$Q$4:$Q$30,MATCH(E112,'Item Purchases'!$B$4:$B$30,0)),0))</f>
        <v>1.2</v>
      </c>
      <c r="K112" s="180">
        <f t="shared" si="10"/>
        <v>0</v>
      </c>
      <c r="L112" s="178">
        <f t="shared" si="11"/>
        <v>1</v>
      </c>
      <c r="M112" s="178">
        <f>IF(E112="",0,IF(AND(OR(OR(Dashboard!$E$5="All",Dashboard!$E$5=""),AG112=Dashboard!$E$5),OR(OR(Dashboard!$H$5="All",Dashboard!$H$5=""),F112=Dashboard!$H$5),OR(OR(Dashboard!$B$5="All",Dashboard!$B$5=""),C112=Dashboard!$B$5),OR(OR(Dashboard!$K$5="All",Dashboard!$K$5=""),A112=Dashboard!$K$5),OR(OR(Dashboard!$N$5="All",Dashboard!$N$5=""),B112=Dashboard!$N$5),OR(OR(Dashboard!$Q$5="All",Dashboard!$Q$5=""),D112=Dashboard!$Q$5),OR(OR(Dashboard!$U$5="All",Dashboard!$U$5=""),E112=Dashboard!$U$5)),1,0))</f>
        <v>1</v>
      </c>
      <c r="N112" s="178">
        <f>IF(E112="",0,IF(AND(OR(OR(Dashboard!$E$5="All",Dashboard!$E$5=""),AG112=Dashboard!$E$5),OR(OR(Dashboard!$B$5="All",Dashboard!$B$5=""),C112=Dashboard!$B$5),OR(OR(Dashboard!$K$5="All",Dashboard!$K$5=""),A112=Dashboard!$K$5),OR(OR(Dashboard!$N$5="All",Dashboard!$N$5=""),B112=Dashboard!$N$5),OR(OR(Dashboard!$Q$5="All",Dashboard!$Q$5=""),D112=Dashboard!$Q$5),OR(OR(Dashboard!$U$5="All",Dashboard!$U$5=""),E112=Dashboard!$U$5)),1,0))</f>
        <v>1</v>
      </c>
      <c r="O112" s="165">
        <f t="shared" si="12"/>
        <v>0</v>
      </c>
      <c r="AG112" s="178" t="str">
        <f>IF(E112="","",IFERROR(IF(INDEX('Item Purchases'!$AM$4:$AM$30,MATCH(E112,'Item Purchases'!$B$4:$B$30,0))="","Uncategorised",INDEX('Item Purchases'!$AM$4:$AM$30,MATCH(E112,'Item Purchases'!$B$4:$B$30,0))),"Uncategorised"))</f>
        <v>Snacks</v>
      </c>
      <c r="AH112" s="165">
        <f>IF(AND(E112&lt;&gt;"",L112=1),COUNTIFS($E$2:E112,E112,$L$2:L112,1),0)</f>
        <v>5</v>
      </c>
      <c r="AI112" s="165">
        <f t="shared" si="13"/>
        <v>0</v>
      </c>
      <c r="AJ112" s="165">
        <f t="shared" si="14"/>
        <v>0</v>
      </c>
    </row>
    <row r="113" spans="1:36" x14ac:dyDescent="0.25">
      <c r="A113" s="177">
        <f t="shared" si="16"/>
        <v>46272</v>
      </c>
      <c r="B113" s="178" t="str">
        <f t="shared" si="9"/>
        <v>Mon</v>
      </c>
      <c r="C113" s="178" t="str">
        <f>'Pantry Inventory'!$A$2</f>
        <v>Sep Week 1</v>
      </c>
      <c r="D113" s="178" t="str">
        <f>IF('Pantry Inventory'!A8="","",'Pantry Inventory'!A8)</f>
        <v>Julie's</v>
      </c>
      <c r="E113" s="178" t="str">
        <f>IF('Pantry Inventory'!B8="","",'Pantry Inventory'!B8)</f>
        <v>Julies Cheese Sandwich (28G)</v>
      </c>
      <c r="F113" s="178" t="str">
        <f>IF(E113="","",IFERROR(IF(INDEX('Item Purchases'!$S$4:$S$30,MATCH(E113,'Item Purchases'!$B$4:$B$30,0))="","Uncategorised",INDEX('Item Purchases'!$S$4:$S$30,MATCH(E113,'Item Purchases'!$B$4:$B$30,0))),"Uncategorised"))</f>
        <v>Savoury</v>
      </c>
      <c r="G113" s="178">
        <f>IF(E113="",0,'Pantry Inventory'!P8)</f>
        <v>0</v>
      </c>
      <c r="H113" s="178">
        <f>IF(E113="","",IF('Pantry Inventory'!Q8="","",'Pantry Inventory'!Q8))</f>
        <v>18</v>
      </c>
      <c r="I113" s="178">
        <f>IF(H113="","",'Pantry Inventory'!R8)</f>
        <v>0</v>
      </c>
      <c r="J113" s="179">
        <f>IF(E113="",0,IFERROR(INDEX('Item Purchases'!$Q$4:$Q$30,MATCH(E113,'Item Purchases'!$B$4:$B$30,0)),0))</f>
        <v>1.1000000000000001</v>
      </c>
      <c r="K113" s="180">
        <f t="shared" si="10"/>
        <v>0</v>
      </c>
      <c r="L113" s="178">
        <f t="shared" si="11"/>
        <v>1</v>
      </c>
      <c r="M113" s="178">
        <f>IF(E113="",0,IF(AND(OR(OR(Dashboard!$E$5="All",Dashboard!$E$5=""),AG113=Dashboard!$E$5),OR(OR(Dashboard!$H$5="All",Dashboard!$H$5=""),F113=Dashboard!$H$5),OR(OR(Dashboard!$B$5="All",Dashboard!$B$5=""),C113=Dashboard!$B$5),OR(OR(Dashboard!$K$5="All",Dashboard!$K$5=""),A113=Dashboard!$K$5),OR(OR(Dashboard!$N$5="All",Dashboard!$N$5=""),B113=Dashboard!$N$5),OR(OR(Dashboard!$Q$5="All",Dashboard!$Q$5=""),D113=Dashboard!$Q$5),OR(OR(Dashboard!$U$5="All",Dashboard!$U$5=""),E113=Dashboard!$U$5)),1,0))</f>
        <v>1</v>
      </c>
      <c r="N113" s="178">
        <f>IF(E113="",0,IF(AND(OR(OR(Dashboard!$E$5="All",Dashboard!$E$5=""),AG113=Dashboard!$E$5),OR(OR(Dashboard!$B$5="All",Dashboard!$B$5=""),C113=Dashboard!$B$5),OR(OR(Dashboard!$K$5="All",Dashboard!$K$5=""),A113=Dashboard!$K$5),OR(OR(Dashboard!$N$5="All",Dashboard!$N$5=""),B113=Dashboard!$N$5),OR(OR(Dashboard!$Q$5="All",Dashboard!$Q$5=""),D113=Dashboard!$Q$5),OR(OR(Dashboard!$U$5="All",Dashboard!$U$5=""),E113=Dashboard!$U$5)),1,0))</f>
        <v>1</v>
      </c>
      <c r="O113" s="165">
        <f t="shared" si="12"/>
        <v>0</v>
      </c>
      <c r="AG113" s="178" t="str">
        <f>IF(E113="","",IFERROR(IF(INDEX('Item Purchases'!$AM$4:$AM$30,MATCH(E113,'Item Purchases'!$B$4:$B$30,0))="","Uncategorised",INDEX('Item Purchases'!$AM$4:$AM$30,MATCH(E113,'Item Purchases'!$B$4:$B$30,0))),"Uncategorised"))</f>
        <v>Snacks</v>
      </c>
      <c r="AH113" s="165">
        <f>IF(AND(E113&lt;&gt;"",L113=1),COUNTIFS($E$2:E113,E113,$L$2:L113,1),0)</f>
        <v>5</v>
      </c>
      <c r="AI113" s="165">
        <f t="shared" si="13"/>
        <v>0</v>
      </c>
      <c r="AJ113" s="165">
        <f t="shared" si="14"/>
        <v>1</v>
      </c>
    </row>
    <row r="114" spans="1:36" x14ac:dyDescent="0.25">
      <c r="A114" s="177">
        <f t="shared" si="16"/>
        <v>46272</v>
      </c>
      <c r="B114" s="178" t="str">
        <f t="shared" si="9"/>
        <v>Mon</v>
      </c>
      <c r="C114" s="178" t="str">
        <f>'Pantry Inventory'!$A$2</f>
        <v>Sep Week 1</v>
      </c>
      <c r="D114" s="178" t="str">
        <f>IF('Pantry Inventory'!A9="","",'Pantry Inventory'!A9)</f>
        <v>Nature Valley</v>
      </c>
      <c r="E114" s="178" t="str">
        <f>IF('Pantry Inventory'!B9="","",'Pantry Inventory'!B9)</f>
        <v>NV OATS &amp; DARK CHOC 42GX5</v>
      </c>
      <c r="F114" s="178" t="str">
        <f>IF(E114="","",IFERROR(IF(INDEX('Item Purchases'!$S$4:$S$30,MATCH(E114,'Item Purchases'!$B$4:$B$30,0))="","Uncategorised",INDEX('Item Purchases'!$S$4:$S$30,MATCH(E114,'Item Purchases'!$B$4:$B$30,0))),"Uncategorised"))</f>
        <v>Sweet</v>
      </c>
      <c r="G114" s="178">
        <f>IF(E114="",0,'Pantry Inventory'!P9)</f>
        <v>0</v>
      </c>
      <c r="H114" s="178">
        <f>IF(E114="","",IF('Pantry Inventory'!Q9="","",'Pantry Inventory'!Q9))</f>
        <v>0</v>
      </c>
      <c r="I114" s="178">
        <f>IF(H114="","",'Pantry Inventory'!R9)</f>
        <v>0</v>
      </c>
      <c r="J114" s="179">
        <f>IF(E114="",0,IFERROR(INDEX('Item Purchases'!$Q$4:$Q$30,MATCH(E114,'Item Purchases'!$B$4:$B$30,0)),0))</f>
        <v>2.78</v>
      </c>
      <c r="K114" s="180">
        <f t="shared" si="10"/>
        <v>0</v>
      </c>
      <c r="L114" s="178">
        <f t="shared" si="11"/>
        <v>1</v>
      </c>
      <c r="M114" s="178">
        <f>IF(E114="",0,IF(AND(OR(OR(Dashboard!$E$5="All",Dashboard!$E$5=""),AG114=Dashboard!$E$5),OR(OR(Dashboard!$H$5="All",Dashboard!$H$5=""),F114=Dashboard!$H$5),OR(OR(Dashboard!$B$5="All",Dashboard!$B$5=""),C114=Dashboard!$B$5),OR(OR(Dashboard!$K$5="All",Dashboard!$K$5=""),A114=Dashboard!$K$5),OR(OR(Dashboard!$N$5="All",Dashboard!$N$5=""),B114=Dashboard!$N$5),OR(OR(Dashboard!$Q$5="All",Dashboard!$Q$5=""),D114=Dashboard!$Q$5),OR(OR(Dashboard!$U$5="All",Dashboard!$U$5=""),E114=Dashboard!$U$5)),1,0))</f>
        <v>1</v>
      </c>
      <c r="N114" s="178">
        <f>IF(E114="",0,IF(AND(OR(OR(Dashboard!$E$5="All",Dashboard!$E$5=""),AG114=Dashboard!$E$5),OR(OR(Dashboard!$B$5="All",Dashboard!$B$5=""),C114=Dashboard!$B$5),OR(OR(Dashboard!$K$5="All",Dashboard!$K$5=""),A114=Dashboard!$K$5),OR(OR(Dashboard!$N$5="All",Dashboard!$N$5=""),B114=Dashboard!$N$5),OR(OR(Dashboard!$Q$5="All",Dashboard!$Q$5=""),D114=Dashboard!$Q$5),OR(OR(Dashboard!$U$5="All",Dashboard!$U$5=""),E114=Dashboard!$U$5)),1,0))</f>
        <v>1</v>
      </c>
      <c r="O114" s="165">
        <f t="shared" si="12"/>
        <v>0</v>
      </c>
      <c r="AG114" s="178" t="str">
        <f>IF(E114="","",IFERROR(IF(INDEX('Item Purchases'!$AM$4:$AM$30,MATCH(E114,'Item Purchases'!$B$4:$B$30,0))="","Uncategorised",INDEX('Item Purchases'!$AM$4:$AM$30,MATCH(E114,'Item Purchases'!$B$4:$B$30,0))),"Uncategorised"))</f>
        <v>Snacks</v>
      </c>
      <c r="AH114" s="165">
        <f>IF(AND(E114&lt;&gt;"",L114=1),COUNTIFS($E$2:E114,E114,$L$2:L114,1),0)</f>
        <v>5</v>
      </c>
      <c r="AI114" s="165">
        <f t="shared" si="13"/>
        <v>0</v>
      </c>
      <c r="AJ114" s="165">
        <f t="shared" si="14"/>
        <v>0</v>
      </c>
    </row>
    <row r="115" spans="1:36" x14ac:dyDescent="0.25">
      <c r="A115" s="177">
        <f t="shared" si="16"/>
        <v>46272</v>
      </c>
      <c r="B115" s="178" t="str">
        <f t="shared" si="9"/>
        <v>Mon</v>
      </c>
      <c r="C115" s="178" t="str">
        <f>'Pantry Inventory'!$A$2</f>
        <v>Sep Week 1</v>
      </c>
      <c r="D115" s="178" t="str">
        <f>IF('Pantry Inventory'!A10="","",'Pantry Inventory'!A10)</f>
        <v>Nature Valley</v>
      </c>
      <c r="E115" s="178" t="str">
        <f>IF('Pantry Inventory'!B10="","",'Pantry Inventory'!B10)</f>
        <v xml:space="preserve">NV PROTEIN - SALTED CARAMEL 40G </v>
      </c>
      <c r="F115" s="178" t="str">
        <f>IF(E115="","",IFERROR(IF(INDEX('Item Purchases'!$S$4:$S$30,MATCH(E115,'Item Purchases'!$B$4:$B$30,0))="","Uncategorised",INDEX('Item Purchases'!$S$4:$S$30,MATCH(E115,'Item Purchases'!$B$4:$B$30,0))),"Uncategorised"))</f>
        <v>Sweet</v>
      </c>
      <c r="G115" s="178">
        <f>IF(E115="",0,'Pantry Inventory'!P10)</f>
        <v>0</v>
      </c>
      <c r="H115" s="178">
        <f>IF(E115="","",IF('Pantry Inventory'!Q10="","",'Pantry Inventory'!Q10))</f>
        <v>0</v>
      </c>
      <c r="I115" s="178">
        <f>IF(H115="","",'Pantry Inventory'!R10)</f>
        <v>0</v>
      </c>
      <c r="J115" s="179">
        <f>IF(E115="",0,IFERROR(INDEX('Item Purchases'!$Q$4:$Q$30,MATCH(E115,'Item Purchases'!$B$4:$B$30,0)),0))</f>
        <v>4.9000000000000004</v>
      </c>
      <c r="K115" s="180">
        <f t="shared" si="10"/>
        <v>0</v>
      </c>
      <c r="L115" s="178">
        <f t="shared" si="11"/>
        <v>1</v>
      </c>
      <c r="M115" s="178">
        <f>IF(E115="",0,IF(AND(OR(OR(Dashboard!$E$5="All",Dashboard!$E$5=""),AG115=Dashboard!$E$5),OR(OR(Dashboard!$H$5="All",Dashboard!$H$5=""),F115=Dashboard!$H$5),OR(OR(Dashboard!$B$5="All",Dashboard!$B$5=""),C115=Dashboard!$B$5),OR(OR(Dashboard!$K$5="All",Dashboard!$K$5=""),A115=Dashboard!$K$5),OR(OR(Dashboard!$N$5="All",Dashboard!$N$5=""),B115=Dashboard!$N$5),OR(OR(Dashboard!$Q$5="All",Dashboard!$Q$5=""),D115=Dashboard!$Q$5),OR(OR(Dashboard!$U$5="All",Dashboard!$U$5=""),E115=Dashboard!$U$5)),1,0))</f>
        <v>1</v>
      </c>
      <c r="N115" s="178">
        <f>IF(E115="",0,IF(AND(OR(OR(Dashboard!$E$5="All",Dashboard!$E$5=""),AG115=Dashboard!$E$5),OR(OR(Dashboard!$B$5="All",Dashboard!$B$5=""),C115=Dashboard!$B$5),OR(OR(Dashboard!$K$5="All",Dashboard!$K$5=""),A115=Dashboard!$K$5),OR(OR(Dashboard!$N$5="All",Dashboard!$N$5=""),B115=Dashboard!$N$5),OR(OR(Dashboard!$Q$5="All",Dashboard!$Q$5=""),D115=Dashboard!$Q$5),OR(OR(Dashboard!$U$5="All",Dashboard!$U$5=""),E115=Dashboard!$U$5)),1,0))</f>
        <v>1</v>
      </c>
      <c r="O115" s="165">
        <f t="shared" si="12"/>
        <v>0</v>
      </c>
      <c r="AG115" s="178" t="str">
        <f>IF(E115="","",IFERROR(IF(INDEX('Item Purchases'!$AM$4:$AM$30,MATCH(E115,'Item Purchases'!$B$4:$B$30,0))="","Uncategorised",INDEX('Item Purchases'!$AM$4:$AM$30,MATCH(E115,'Item Purchases'!$B$4:$B$30,0))),"Uncategorised"))</f>
        <v>Snacks</v>
      </c>
      <c r="AH115" s="165">
        <f>IF(AND(E115&lt;&gt;"",L115=1),COUNTIFS($E$2:E115,E115,$L$2:L115,1),0)</f>
        <v>5</v>
      </c>
      <c r="AI115" s="165">
        <f t="shared" si="13"/>
        <v>0</v>
      </c>
      <c r="AJ115" s="165">
        <f t="shared" si="14"/>
        <v>0</v>
      </c>
    </row>
    <row r="116" spans="1:36" x14ac:dyDescent="0.25">
      <c r="A116" s="177">
        <f t="shared" si="16"/>
        <v>46272</v>
      </c>
      <c r="B116" s="178" t="str">
        <f t="shared" si="9"/>
        <v>Mon</v>
      </c>
      <c r="C116" s="178" t="str">
        <f>'Pantry Inventory'!$A$2</f>
        <v>Sep Week 1</v>
      </c>
      <c r="D116" s="178" t="str">
        <f>IF('Pantry Inventory'!A11="","",'Pantry Inventory'!A11)</f>
        <v>BBMG</v>
      </c>
      <c r="E116" s="178" t="str">
        <f>IF('Pantry Inventory'!B11="","",'Pantry Inventory'!B11)</f>
        <v>BBMG 90G</v>
      </c>
      <c r="F116" s="178" t="str">
        <f>IF(E116="","",IFERROR(IF(INDEX('Item Purchases'!$S$4:$S$30,MATCH(E116,'Item Purchases'!$B$4:$B$30,0))="","Uncategorised",INDEX('Item Purchases'!$S$4:$S$30,MATCH(E116,'Item Purchases'!$B$4:$B$30,0))),"Uncategorised"))</f>
        <v>Savoury</v>
      </c>
      <c r="G116" s="178">
        <f>IF(E116="",0,'Pantry Inventory'!P11)</f>
        <v>0</v>
      </c>
      <c r="H116" s="178">
        <f>IF(E116="","",IF('Pantry Inventory'!Q11="","",'Pantry Inventory'!Q11))</f>
        <v>0</v>
      </c>
      <c r="I116" s="178">
        <f>IF(H116="","",'Pantry Inventory'!R11)</f>
        <v>0</v>
      </c>
      <c r="J116" s="179">
        <f>IF(E116="",0,IFERROR(INDEX('Item Purchases'!$Q$4:$Q$30,MATCH(E116,'Item Purchases'!$B$4:$B$30,0)),0))</f>
        <v>0.34300000000000003</v>
      </c>
      <c r="K116" s="180">
        <f t="shared" si="10"/>
        <v>0</v>
      </c>
      <c r="L116" s="178">
        <f t="shared" si="11"/>
        <v>1</v>
      </c>
      <c r="M116" s="178">
        <f>IF(E116="",0,IF(AND(OR(OR(Dashboard!$E$5="All",Dashboard!$E$5=""),AG116=Dashboard!$E$5),OR(OR(Dashboard!$H$5="All",Dashboard!$H$5=""),F116=Dashboard!$H$5),OR(OR(Dashboard!$B$5="All",Dashboard!$B$5=""),C116=Dashboard!$B$5),OR(OR(Dashboard!$K$5="All",Dashboard!$K$5=""),A116=Dashboard!$K$5),OR(OR(Dashboard!$N$5="All",Dashboard!$N$5=""),B116=Dashboard!$N$5),OR(OR(Dashboard!$Q$5="All",Dashboard!$Q$5=""),D116=Dashboard!$Q$5),OR(OR(Dashboard!$U$5="All",Dashboard!$U$5=""),E116=Dashboard!$U$5)),1,0))</f>
        <v>1</v>
      </c>
      <c r="N116" s="178">
        <f>IF(E116="",0,IF(AND(OR(OR(Dashboard!$E$5="All",Dashboard!$E$5=""),AG116=Dashboard!$E$5),OR(OR(Dashboard!$B$5="All",Dashboard!$B$5=""),C116=Dashboard!$B$5),OR(OR(Dashboard!$K$5="All",Dashboard!$K$5=""),A116=Dashboard!$K$5),OR(OR(Dashboard!$N$5="All",Dashboard!$N$5=""),B116=Dashboard!$N$5),OR(OR(Dashboard!$Q$5="All",Dashboard!$Q$5=""),D116=Dashboard!$Q$5),OR(OR(Dashboard!$U$5="All",Dashboard!$U$5=""),E116=Dashboard!$U$5)),1,0))</f>
        <v>1</v>
      </c>
      <c r="O116" s="165">
        <f t="shared" si="12"/>
        <v>0</v>
      </c>
      <c r="AG116" s="178" t="str">
        <f>IF(E116="","",IFERROR(IF(INDEX('Item Purchases'!$AM$4:$AM$30,MATCH(E116,'Item Purchases'!$B$4:$B$30,0))="","Uncategorised",INDEX('Item Purchases'!$AM$4:$AM$30,MATCH(E116,'Item Purchases'!$B$4:$B$30,0))),"Uncategorised"))</f>
        <v>Snacks</v>
      </c>
      <c r="AH116" s="165">
        <f>IF(AND(E116&lt;&gt;"",L116=1),COUNTIFS($E$2:E116,E116,$L$2:L116,1),0)</f>
        <v>5</v>
      </c>
      <c r="AI116" s="165">
        <f t="shared" si="13"/>
        <v>0</v>
      </c>
      <c r="AJ116" s="165">
        <f t="shared" si="14"/>
        <v>0</v>
      </c>
    </row>
    <row r="117" spans="1:36" x14ac:dyDescent="0.25">
      <c r="A117" s="177">
        <f t="shared" si="16"/>
        <v>46272</v>
      </c>
      <c r="B117" s="178" t="str">
        <f t="shared" si="9"/>
        <v>Mon</v>
      </c>
      <c r="C117" s="178" t="str">
        <f>'Pantry Inventory'!$A$2</f>
        <v>Sep Week 1</v>
      </c>
      <c r="D117" s="178" t="str">
        <f>IF('Pantry Inventory'!A12="","",'Pantry Inventory'!A12)</f>
        <v>Lays</v>
      </c>
      <c r="E117" s="178" t="str">
        <f>IF('Pantry Inventory'!B12="","",'Pantry Inventory'!B12)</f>
        <v>Lays Potato Chips (Original) 50g</v>
      </c>
      <c r="F117" s="178" t="str">
        <f>IF(E117="","",IFERROR(IF(INDEX('Item Purchases'!$S$4:$S$30,MATCH(E117,'Item Purchases'!$B$4:$B$30,0))="","Uncategorised",INDEX('Item Purchases'!$S$4:$S$30,MATCH(E117,'Item Purchases'!$B$4:$B$30,0))),"Uncategorised"))</f>
        <v>Savoury</v>
      </c>
      <c r="G117" s="178">
        <f>IF(E117="",0,'Pantry Inventory'!P12)</f>
        <v>0</v>
      </c>
      <c r="H117" s="178">
        <f>IF(E117="","",IF('Pantry Inventory'!Q12="","",'Pantry Inventory'!Q12))</f>
        <v>29</v>
      </c>
      <c r="I117" s="178">
        <f>IF(H117="","",'Pantry Inventory'!R12)</f>
        <v>7</v>
      </c>
      <c r="J117" s="179">
        <f>IF(E117="",0,IFERROR(INDEX('Item Purchases'!$Q$4:$Q$30,MATCH(E117,'Item Purchases'!$B$4:$B$30,0)),0))</f>
        <v>3.4580000000000002</v>
      </c>
      <c r="K117" s="180">
        <f t="shared" si="10"/>
        <v>24.206000000000003</v>
      </c>
      <c r="L117" s="178">
        <f t="shared" si="11"/>
        <v>1</v>
      </c>
      <c r="M117" s="178">
        <f>IF(E117="",0,IF(AND(OR(OR(Dashboard!$E$5="All",Dashboard!$E$5=""),AG117=Dashboard!$E$5),OR(OR(Dashboard!$H$5="All",Dashboard!$H$5=""),F117=Dashboard!$H$5),OR(OR(Dashboard!$B$5="All",Dashboard!$B$5=""),C117=Dashboard!$B$5),OR(OR(Dashboard!$K$5="All",Dashboard!$K$5=""),A117=Dashboard!$K$5),OR(OR(Dashboard!$N$5="All",Dashboard!$N$5=""),B117=Dashboard!$N$5),OR(OR(Dashboard!$Q$5="All",Dashboard!$Q$5=""),D117=Dashboard!$Q$5),OR(OR(Dashboard!$U$5="All",Dashboard!$U$5=""),E117=Dashboard!$U$5)),1,0))</f>
        <v>1</v>
      </c>
      <c r="N117" s="178">
        <f>IF(E117="",0,IF(AND(OR(OR(Dashboard!$E$5="All",Dashboard!$E$5=""),AG117=Dashboard!$E$5),OR(OR(Dashboard!$B$5="All",Dashboard!$B$5=""),C117=Dashboard!$B$5),OR(OR(Dashboard!$K$5="All",Dashboard!$K$5=""),A117=Dashboard!$K$5),OR(OR(Dashboard!$N$5="All",Dashboard!$N$5=""),B117=Dashboard!$N$5),OR(OR(Dashboard!$Q$5="All",Dashboard!$Q$5=""),D117=Dashboard!$Q$5),OR(OR(Dashboard!$U$5="All",Dashboard!$U$5=""),E117=Dashboard!$U$5)),1,0))</f>
        <v>1</v>
      </c>
      <c r="O117" s="165">
        <f t="shared" si="12"/>
        <v>49</v>
      </c>
      <c r="AG117" s="178" t="str">
        <f>IF(E117="","",IFERROR(IF(INDEX('Item Purchases'!$AM$4:$AM$30,MATCH(E117,'Item Purchases'!$B$4:$B$30,0))="","Uncategorised",INDEX('Item Purchases'!$AM$4:$AM$30,MATCH(E117,'Item Purchases'!$B$4:$B$30,0))),"Uncategorised"))</f>
        <v>Snacks</v>
      </c>
      <c r="AH117" s="165">
        <f>IF(AND(E117&lt;&gt;"",L117=1),COUNTIFS($E$2:E117,E117,$L$2:L117,1),0)</f>
        <v>5</v>
      </c>
      <c r="AI117" s="165">
        <f t="shared" si="13"/>
        <v>7</v>
      </c>
      <c r="AJ117" s="165">
        <f t="shared" si="14"/>
        <v>1</v>
      </c>
    </row>
    <row r="118" spans="1:36" x14ac:dyDescent="0.25">
      <c r="A118" s="177">
        <f t="shared" si="16"/>
        <v>46272</v>
      </c>
      <c r="B118" s="178" t="str">
        <f t="shared" si="9"/>
        <v>Mon</v>
      </c>
      <c r="C118" s="178" t="str">
        <f>'Pantry Inventory'!$A$2</f>
        <v>Sep Week 1</v>
      </c>
      <c r="D118" s="178" t="str">
        <f>IF('Pantry Inventory'!A13="","",'Pantry Inventory'!A13)</f>
        <v>Lays</v>
      </c>
      <c r="E118" s="178" t="str">
        <f>IF('Pantry Inventory'!B13="","",'Pantry Inventory'!B13)</f>
        <v xml:space="preserve">Lays Double Crunch - Seaweed Flav (50g) </v>
      </c>
      <c r="F118" s="178" t="str">
        <f>IF(E118="","",IFERROR(IF(INDEX('Item Purchases'!$S$4:$S$30,MATCH(E118,'Item Purchases'!$B$4:$B$30,0))="","Uncategorised",INDEX('Item Purchases'!$S$4:$S$30,MATCH(E118,'Item Purchases'!$B$4:$B$30,0))),"Uncategorised"))</f>
        <v>Savoury</v>
      </c>
      <c r="G118" s="178">
        <f>IF(E118="",0,'Pantry Inventory'!P13)</f>
        <v>24</v>
      </c>
      <c r="H118" s="178">
        <f>IF(E118="","",IF('Pantry Inventory'!Q13="","",'Pantry Inventory'!Q13))</f>
        <v>0</v>
      </c>
      <c r="I118" s="178">
        <f>IF(H118="","",'Pantry Inventory'!R13)</f>
        <v>24</v>
      </c>
      <c r="J118" s="179">
        <f>IF(E118="",0,IFERROR(INDEX('Item Purchases'!$Q$4:$Q$30,MATCH(E118,'Item Purchases'!$B$4:$B$30,0)),0))</f>
        <v>4</v>
      </c>
      <c r="K118" s="180">
        <f t="shared" si="10"/>
        <v>96</v>
      </c>
      <c r="L118" s="178">
        <f t="shared" si="11"/>
        <v>1</v>
      </c>
      <c r="M118" s="178">
        <f>IF(E118="",0,IF(AND(OR(OR(Dashboard!$E$5="All",Dashboard!$E$5=""),AG118=Dashboard!$E$5),OR(OR(Dashboard!$H$5="All",Dashboard!$H$5=""),F118=Dashboard!$H$5),OR(OR(Dashboard!$B$5="All",Dashboard!$B$5=""),C118=Dashboard!$B$5),OR(OR(Dashboard!$K$5="All",Dashboard!$K$5=""),A118=Dashboard!$K$5),OR(OR(Dashboard!$N$5="All",Dashboard!$N$5=""),B118=Dashboard!$N$5),OR(OR(Dashboard!$Q$5="All",Dashboard!$Q$5=""),D118=Dashboard!$Q$5),OR(OR(Dashboard!$U$5="All",Dashboard!$U$5=""),E118=Dashboard!$U$5)),1,0))</f>
        <v>1</v>
      </c>
      <c r="N118" s="178">
        <f>IF(E118="",0,IF(AND(OR(OR(Dashboard!$E$5="All",Dashboard!$E$5=""),AG118=Dashboard!$E$5),OR(OR(Dashboard!$B$5="All",Dashboard!$B$5=""),C118=Dashboard!$B$5),OR(OR(Dashboard!$K$5="All",Dashboard!$K$5=""),A118=Dashboard!$K$5),OR(OR(Dashboard!$N$5="All",Dashboard!$N$5=""),B118=Dashboard!$N$5),OR(OR(Dashboard!$Q$5="All",Dashboard!$Q$5=""),D118=Dashboard!$Q$5),OR(OR(Dashboard!$U$5="All",Dashboard!$U$5=""),E118=Dashboard!$U$5)),1,0))</f>
        <v>1</v>
      </c>
      <c r="O118" s="165">
        <f t="shared" si="12"/>
        <v>0</v>
      </c>
      <c r="AG118" s="178" t="str">
        <f>IF(E118="","",IFERROR(IF(INDEX('Item Purchases'!$AM$4:$AM$30,MATCH(E118,'Item Purchases'!$B$4:$B$30,0))="","Uncategorised",INDEX('Item Purchases'!$AM$4:$AM$30,MATCH(E118,'Item Purchases'!$B$4:$B$30,0))),"Uncategorised"))</f>
        <v>Snacks</v>
      </c>
      <c r="AH118" s="165">
        <f>IF(AND(E118&lt;&gt;"",L118=1),COUNTIFS($E$2:E118,E118,$L$2:L118,1),0)</f>
        <v>5</v>
      </c>
      <c r="AI118" s="165">
        <f t="shared" si="13"/>
        <v>24</v>
      </c>
      <c r="AJ118" s="165">
        <f t="shared" si="14"/>
        <v>0</v>
      </c>
    </row>
    <row r="119" spans="1:36" x14ac:dyDescent="0.25">
      <c r="A119" s="177">
        <f t="shared" si="16"/>
        <v>46272</v>
      </c>
      <c r="B119" s="178" t="str">
        <f t="shared" si="9"/>
        <v>Mon</v>
      </c>
      <c r="C119" s="178" t="str">
        <f>'Pantry Inventory'!$A$2</f>
        <v>Sep Week 1</v>
      </c>
      <c r="D119" s="178" t="str">
        <f>IF('Pantry Inventory'!A14="","",'Pantry Inventory'!A14)</f>
        <v>Munchy</v>
      </c>
      <c r="E119" s="178" t="str">
        <f>IF('Pantry Inventory'!B14="","",'Pantry Inventory'!B14)</f>
        <v>Munchy Oat Krunch - Dark Choco</v>
      </c>
      <c r="F119" s="178" t="str">
        <f>IF(E119="","",IFERROR(IF(INDEX('Item Purchases'!$S$4:$S$30,MATCH(E119,'Item Purchases'!$B$4:$B$30,0))="","Uncategorised",INDEX('Item Purchases'!$S$4:$S$30,MATCH(E119,'Item Purchases'!$B$4:$B$30,0))),"Uncategorised"))</f>
        <v>Sweet</v>
      </c>
      <c r="G119" s="178">
        <f>IF(E119="",0,'Pantry Inventory'!P14)</f>
        <v>0</v>
      </c>
      <c r="H119" s="178">
        <f>IF(E119="","",IF('Pantry Inventory'!Q14="","",'Pantry Inventory'!Q14))</f>
        <v>0</v>
      </c>
      <c r="I119" s="178">
        <f>IF(H119="","",'Pantry Inventory'!R14)</f>
        <v>13</v>
      </c>
      <c r="J119" s="179">
        <f>IF(E119="",0,IFERROR(INDEX('Item Purchases'!$Q$4:$Q$30,MATCH(E119,'Item Purchases'!$B$4:$B$30,0)),0))</f>
        <v>0.73</v>
      </c>
      <c r="K119" s="180">
        <f t="shared" si="10"/>
        <v>9.49</v>
      </c>
      <c r="L119" s="178">
        <f t="shared" si="11"/>
        <v>1</v>
      </c>
      <c r="M119" s="178">
        <f>IF(E119="",0,IF(AND(OR(OR(Dashboard!$E$5="All",Dashboard!$E$5=""),AG119=Dashboard!$E$5),OR(OR(Dashboard!$H$5="All",Dashboard!$H$5=""),F119=Dashboard!$H$5),OR(OR(Dashboard!$B$5="All",Dashboard!$B$5=""),C119=Dashboard!$B$5),OR(OR(Dashboard!$K$5="All",Dashboard!$K$5=""),A119=Dashboard!$K$5),OR(OR(Dashboard!$N$5="All",Dashboard!$N$5=""),B119=Dashboard!$N$5),OR(OR(Dashboard!$Q$5="All",Dashboard!$Q$5=""),D119=Dashboard!$Q$5),OR(OR(Dashboard!$U$5="All",Dashboard!$U$5=""),E119=Dashboard!$U$5)),1,0))</f>
        <v>1</v>
      </c>
      <c r="N119" s="178">
        <f>IF(E119="",0,IF(AND(OR(OR(Dashboard!$E$5="All",Dashboard!$E$5=""),AG119=Dashboard!$E$5),OR(OR(Dashboard!$B$5="All",Dashboard!$B$5=""),C119=Dashboard!$B$5),OR(OR(Dashboard!$K$5="All",Dashboard!$K$5=""),A119=Dashboard!$K$5),OR(OR(Dashboard!$N$5="All",Dashboard!$N$5=""),B119=Dashboard!$N$5),OR(OR(Dashboard!$Q$5="All",Dashboard!$Q$5=""),D119=Dashboard!$Q$5),OR(OR(Dashboard!$U$5="All",Dashboard!$U$5=""),E119=Dashboard!$U$5)),1,0))</f>
        <v>1</v>
      </c>
      <c r="O119" s="165">
        <f t="shared" si="12"/>
        <v>0</v>
      </c>
      <c r="AG119" s="178" t="str">
        <f>IF(E119="","",IFERROR(IF(INDEX('Item Purchases'!$AM$4:$AM$30,MATCH(E119,'Item Purchases'!$B$4:$B$30,0))="","Uncategorised",INDEX('Item Purchases'!$AM$4:$AM$30,MATCH(E119,'Item Purchases'!$B$4:$B$30,0))),"Uncategorised"))</f>
        <v>Snacks</v>
      </c>
      <c r="AH119" s="165">
        <f>IF(AND(E119&lt;&gt;"",L119=1),COUNTIFS($E$2:E119,E119,$L$2:L119,1),0)</f>
        <v>5</v>
      </c>
      <c r="AI119" s="165">
        <f t="shared" si="13"/>
        <v>13</v>
      </c>
      <c r="AJ119" s="165">
        <f t="shared" si="14"/>
        <v>0</v>
      </c>
    </row>
    <row r="120" spans="1:36" x14ac:dyDescent="0.25">
      <c r="A120" s="177">
        <f t="shared" si="16"/>
        <v>46272</v>
      </c>
      <c r="B120" s="178" t="str">
        <f t="shared" si="9"/>
        <v>Mon</v>
      </c>
      <c r="C120" s="178" t="str">
        <f>'Pantry Inventory'!$A$2</f>
        <v>Sep Week 1</v>
      </c>
      <c r="D120" s="178" t="str">
        <f>IF('Pantry Inventory'!A15="","",'Pantry Inventory'!A15)</f>
        <v>Munchy</v>
      </c>
      <c r="E120" s="178" t="str">
        <f>IF('Pantry Inventory'!B15="","",'Pantry Inventory'!B15)</f>
        <v>Munchy Oat Krunch - Strawberry &amp; Blackcurrant</v>
      </c>
      <c r="F120" s="178" t="str">
        <f>IF(E120="","",IFERROR(IF(INDEX('Item Purchases'!$S$4:$S$30,MATCH(E120,'Item Purchases'!$B$4:$B$30,0))="","Uncategorised",INDEX('Item Purchases'!$S$4:$S$30,MATCH(E120,'Item Purchases'!$B$4:$B$30,0))),"Uncategorised"))</f>
        <v>Sweet</v>
      </c>
      <c r="G120" s="178">
        <f>IF(E120="",0,'Pantry Inventory'!P15)</f>
        <v>0</v>
      </c>
      <c r="H120" s="178">
        <f>IF(E120="","",IF('Pantry Inventory'!Q15="","",'Pantry Inventory'!Q15))</f>
        <v>41</v>
      </c>
      <c r="I120" s="178">
        <f>IF(H120="","",'Pantry Inventory'!R15)</f>
        <v>7</v>
      </c>
      <c r="J120" s="179">
        <f>IF(E120="",0,IFERROR(INDEX('Item Purchases'!$Q$4:$Q$30,MATCH(E120,'Item Purchases'!$B$4:$B$30,0)),0))</f>
        <v>0.73</v>
      </c>
      <c r="K120" s="180">
        <f t="shared" si="10"/>
        <v>5.1099999999999994</v>
      </c>
      <c r="L120" s="178">
        <f t="shared" si="11"/>
        <v>1</v>
      </c>
      <c r="M120" s="178">
        <f>IF(E120="",0,IF(AND(OR(OR(Dashboard!$E$5="All",Dashboard!$E$5=""),AG120=Dashboard!$E$5),OR(OR(Dashboard!$H$5="All",Dashboard!$H$5=""),F120=Dashboard!$H$5),OR(OR(Dashboard!$B$5="All",Dashboard!$B$5=""),C120=Dashboard!$B$5),OR(OR(Dashboard!$K$5="All",Dashboard!$K$5=""),A120=Dashboard!$K$5),OR(OR(Dashboard!$N$5="All",Dashboard!$N$5=""),B120=Dashboard!$N$5),OR(OR(Dashboard!$Q$5="All",Dashboard!$Q$5=""),D120=Dashboard!$Q$5),OR(OR(Dashboard!$U$5="All",Dashboard!$U$5=""),E120=Dashboard!$U$5)),1,0))</f>
        <v>1</v>
      </c>
      <c r="N120" s="178">
        <f>IF(E120="",0,IF(AND(OR(OR(Dashboard!$E$5="All",Dashboard!$E$5=""),AG120=Dashboard!$E$5),OR(OR(Dashboard!$B$5="All",Dashboard!$B$5=""),C120=Dashboard!$B$5),OR(OR(Dashboard!$K$5="All",Dashboard!$K$5=""),A120=Dashboard!$K$5),OR(OR(Dashboard!$N$5="All",Dashboard!$N$5=""),B120=Dashboard!$N$5),OR(OR(Dashboard!$Q$5="All",Dashboard!$Q$5=""),D120=Dashboard!$Q$5),OR(OR(Dashboard!$U$5="All",Dashboard!$U$5=""),E120=Dashboard!$U$5)),1,0))</f>
        <v>1</v>
      </c>
      <c r="O120" s="165">
        <f t="shared" si="12"/>
        <v>49</v>
      </c>
      <c r="AG120" s="178" t="str">
        <f>IF(E120="","",IFERROR(IF(INDEX('Item Purchases'!$AM$4:$AM$30,MATCH(E120,'Item Purchases'!$B$4:$B$30,0))="","Uncategorised",INDEX('Item Purchases'!$AM$4:$AM$30,MATCH(E120,'Item Purchases'!$B$4:$B$30,0))),"Uncategorised"))</f>
        <v>Snacks</v>
      </c>
      <c r="AH120" s="165">
        <f>IF(AND(E120&lt;&gt;"",L120=1),COUNTIFS($E$2:E120,E120,$L$2:L120,1),0)</f>
        <v>5</v>
      </c>
      <c r="AI120" s="165">
        <f t="shared" si="13"/>
        <v>7</v>
      </c>
      <c r="AJ120" s="165">
        <f t="shared" si="14"/>
        <v>1</v>
      </c>
    </row>
    <row r="121" spans="1:36" x14ac:dyDescent="0.25">
      <c r="A121" s="177">
        <f t="shared" si="16"/>
        <v>46272</v>
      </c>
      <c r="B121" s="178" t="str">
        <f t="shared" si="9"/>
        <v>Mon</v>
      </c>
      <c r="C121" s="178" t="str">
        <f>'Pantry Inventory'!$A$2</f>
        <v>Sep Week 1</v>
      </c>
      <c r="D121" s="178" t="str">
        <f>IF('Pantry Inventory'!A16="","",'Pantry Inventory'!A16)</f>
        <v/>
      </c>
      <c r="E121" s="178" t="str">
        <f>IF('Pantry Inventory'!B16="","",'Pantry Inventory'!B16)</f>
        <v/>
      </c>
      <c r="F121" s="178" t="str">
        <f>IF(E121="","",IFERROR(IF(INDEX('Item Purchases'!$S$4:$S$30,MATCH(E121,'Item Purchases'!$B$4:$B$30,0))="","Uncategorised",INDEX('Item Purchases'!$S$4:$S$30,MATCH(E121,'Item Purchases'!$B$4:$B$30,0))),"Uncategorised"))</f>
        <v/>
      </c>
      <c r="G121" s="178">
        <f>IF(E121="",0,'Pantry Inventory'!P16)</f>
        <v>0</v>
      </c>
      <c r="H121" s="178" t="str">
        <f>IF(E121="","",IF('Pantry Inventory'!Q16="","",'Pantry Inventory'!Q16))</f>
        <v/>
      </c>
      <c r="I121" s="178" t="str">
        <f>IF(H121="","",'Pantry Inventory'!R16)</f>
        <v/>
      </c>
      <c r="J121" s="179">
        <f>IF(E121="",0,IFERROR(INDEX('Item Purchases'!$Q$4:$Q$30,MATCH(E121,'Item Purchases'!$B$4:$B$30,0)),0))</f>
        <v>0</v>
      </c>
      <c r="K121" s="180" t="str">
        <f t="shared" si="10"/>
        <v/>
      </c>
      <c r="L121" s="178">
        <f t="shared" si="11"/>
        <v>0</v>
      </c>
      <c r="M121" s="178">
        <f>IF(E121="",0,IF(AND(OR(OR(Dashboard!$E$5="All",Dashboard!$E$5=""),AG121=Dashboard!$E$5),OR(OR(Dashboard!$H$5="All",Dashboard!$H$5=""),F121=Dashboard!$H$5),OR(OR(Dashboard!$B$5="All",Dashboard!$B$5=""),C121=Dashboard!$B$5),OR(OR(Dashboard!$K$5="All",Dashboard!$K$5=""),A121=Dashboard!$K$5),OR(OR(Dashboard!$N$5="All",Dashboard!$N$5=""),B121=Dashboard!$N$5),OR(OR(Dashboard!$Q$5="All",Dashboard!$Q$5=""),D121=Dashboard!$Q$5),OR(OR(Dashboard!$U$5="All",Dashboard!$U$5=""),E121=Dashboard!$U$5)),1,0))</f>
        <v>0</v>
      </c>
      <c r="N121" s="178">
        <f>IF(E121="",0,IF(AND(OR(OR(Dashboard!$E$5="All",Dashboard!$E$5=""),AG121=Dashboard!$E$5),OR(OR(Dashboard!$B$5="All",Dashboard!$B$5=""),C121=Dashboard!$B$5),OR(OR(Dashboard!$K$5="All",Dashboard!$K$5=""),A121=Dashboard!$K$5),OR(OR(Dashboard!$N$5="All",Dashboard!$N$5=""),B121=Dashboard!$N$5),OR(OR(Dashboard!$Q$5="All",Dashboard!$Q$5=""),D121=Dashboard!$Q$5),OR(OR(Dashboard!$U$5="All",Dashboard!$U$5=""),E121=Dashboard!$U$5)),1,0))</f>
        <v>0</v>
      </c>
      <c r="O121" s="165">
        <f t="shared" si="12"/>
        <v>0</v>
      </c>
      <c r="AG121" s="178" t="str">
        <f>IF(E121="","",IFERROR(IF(INDEX('Item Purchases'!$AM$4:$AM$30,MATCH(E121,'Item Purchases'!$B$4:$B$30,0))="","Uncategorised",INDEX('Item Purchases'!$AM$4:$AM$30,MATCH(E121,'Item Purchases'!$B$4:$B$30,0))),"Uncategorised"))</f>
        <v/>
      </c>
      <c r="AH121" s="165">
        <f>IF(AND(E121&lt;&gt;"",L121=1),COUNTIFS($E$2:E121,E121,$L$2:L121,1),0)</f>
        <v>0</v>
      </c>
      <c r="AI121" s="165">
        <f t="shared" si="13"/>
        <v>0</v>
      </c>
      <c r="AJ121" s="165">
        <f t="shared" si="14"/>
        <v>0</v>
      </c>
    </row>
    <row r="122" spans="1:36" x14ac:dyDescent="0.25">
      <c r="A122" s="177">
        <f t="shared" si="16"/>
        <v>46272</v>
      </c>
      <c r="B122" s="178" t="str">
        <f t="shared" si="9"/>
        <v>Mon</v>
      </c>
      <c r="C122" s="178" t="str">
        <f>'Pantry Inventory'!$A$2</f>
        <v>Sep Week 1</v>
      </c>
      <c r="D122" s="178" t="str">
        <f>IF('Pantry Inventory'!A17="","",'Pantry Inventory'!A17)</f>
        <v>Nestle</v>
      </c>
      <c r="E122" s="178" t="str">
        <f>IF('Pantry Inventory'!B17="","",'Pantry Inventory'!B17)</f>
        <v>Milo 200ml</v>
      </c>
      <c r="F122" s="178" t="str">
        <f>IF(E122="","",IFERROR(IF(INDEX('Item Purchases'!$S$4:$S$30,MATCH(E122,'Item Purchases'!$B$4:$B$30,0))="","Uncategorised",INDEX('Item Purchases'!$S$4:$S$30,MATCH(E122,'Item Purchases'!$B$4:$B$30,0))),"Uncategorised"))</f>
        <v>Other</v>
      </c>
      <c r="G122" s="178">
        <f>IF(E122="",0,'Pantry Inventory'!P17)</f>
        <v>48</v>
      </c>
      <c r="H122" s="178">
        <f>IF(E122="","",IF('Pantry Inventory'!Q17="","",'Pantry Inventory'!Q17))</f>
        <v>48</v>
      </c>
      <c r="I122" s="178">
        <f>IF(H122="","",'Pantry Inventory'!R17)</f>
        <v>2</v>
      </c>
      <c r="J122" s="179">
        <f>IF(E122="",0,IFERROR(INDEX('Item Purchases'!$Q$4:$Q$30,MATCH(E122,'Item Purchases'!$B$4:$B$30,0)),0))</f>
        <v>2.37</v>
      </c>
      <c r="K122" s="180">
        <f t="shared" si="10"/>
        <v>4.74</v>
      </c>
      <c r="L122" s="178">
        <f t="shared" si="11"/>
        <v>1</v>
      </c>
      <c r="M122" s="178">
        <f>IF(E122="",0,IF(AND(OR(OR(Dashboard!$E$5="All",Dashboard!$E$5=""),AG122=Dashboard!$E$5),OR(OR(Dashboard!$H$5="All",Dashboard!$H$5=""),F122=Dashboard!$H$5),OR(OR(Dashboard!$B$5="All",Dashboard!$B$5=""),C122=Dashboard!$B$5),OR(OR(Dashboard!$K$5="All",Dashboard!$K$5=""),A122=Dashboard!$K$5),OR(OR(Dashboard!$N$5="All",Dashboard!$N$5=""),B122=Dashboard!$N$5),OR(OR(Dashboard!$Q$5="All",Dashboard!$Q$5=""),D122=Dashboard!$Q$5),OR(OR(Dashboard!$U$5="All",Dashboard!$U$5=""),E122=Dashboard!$U$5)),1,0))</f>
        <v>1</v>
      </c>
      <c r="N122" s="178">
        <f>IF(E122="",0,IF(AND(OR(OR(Dashboard!$E$5="All",Dashboard!$E$5=""),AG122=Dashboard!$E$5),OR(OR(Dashboard!$B$5="All",Dashboard!$B$5=""),C122=Dashboard!$B$5),OR(OR(Dashboard!$K$5="All",Dashboard!$K$5=""),A122=Dashboard!$K$5),OR(OR(Dashboard!$N$5="All",Dashboard!$N$5=""),B122=Dashboard!$N$5),OR(OR(Dashboard!$Q$5="All",Dashboard!$Q$5=""),D122=Dashboard!$Q$5),OR(OR(Dashboard!$U$5="All",Dashboard!$U$5=""),E122=Dashboard!$U$5)),1,0))</f>
        <v>1</v>
      </c>
      <c r="O122" s="165">
        <f t="shared" si="12"/>
        <v>4</v>
      </c>
      <c r="AG122" s="178" t="str">
        <f>IF(E122="","",IFERROR(IF(INDEX('Item Purchases'!$AM$4:$AM$30,MATCH(E122,'Item Purchases'!$B$4:$B$30,0))="","Uncategorised",INDEX('Item Purchases'!$AM$4:$AM$30,MATCH(E122,'Item Purchases'!$B$4:$B$30,0))),"Uncategorised"))</f>
        <v>Beverages</v>
      </c>
      <c r="AH122" s="165">
        <f>IF(AND(E122&lt;&gt;"",L122=1),COUNTIFS($E$2:E122,E122,$L$2:L122,1),0)</f>
        <v>5</v>
      </c>
      <c r="AI122" s="165">
        <f t="shared" si="13"/>
        <v>2</v>
      </c>
      <c r="AJ122" s="165">
        <f t="shared" si="14"/>
        <v>1</v>
      </c>
    </row>
    <row r="123" spans="1:36" x14ac:dyDescent="0.25">
      <c r="A123" s="177">
        <f t="shared" si="16"/>
        <v>46272</v>
      </c>
      <c r="B123" s="178" t="str">
        <f t="shared" si="9"/>
        <v>Mon</v>
      </c>
      <c r="C123" s="178" t="str">
        <f>'Pantry Inventory'!$A$2</f>
        <v>Sep Week 1</v>
      </c>
      <c r="D123" s="178" t="str">
        <f>IF('Pantry Inventory'!A18="","",'Pantry Inventory'!A18)</f>
        <v>Nestle</v>
      </c>
      <c r="E123" s="178" t="str">
        <f>IF('Pantry Inventory'!B18="","",'Pantry Inventory'!B18)</f>
        <v>Nescafe Latte 240ml</v>
      </c>
      <c r="F123" s="178" t="str">
        <f>IF(E123="","",IFERROR(IF(INDEX('Item Purchases'!$S$4:$S$30,MATCH(E123,'Item Purchases'!$B$4:$B$30,0))="","Uncategorised",INDEX('Item Purchases'!$S$4:$S$30,MATCH(E123,'Item Purchases'!$B$4:$B$30,0))),"Uncategorised"))</f>
        <v>Coffee</v>
      </c>
      <c r="G123" s="178">
        <f>IF(E123="",0,'Pantry Inventory'!P18)</f>
        <v>0</v>
      </c>
      <c r="H123" s="178">
        <f>IF(E123="","",IF('Pantry Inventory'!Q18="","",'Pantry Inventory'!Q18))</f>
        <v>19</v>
      </c>
      <c r="I123" s="178">
        <f>IF(H123="","",'Pantry Inventory'!R18)</f>
        <v>4</v>
      </c>
      <c r="J123" s="179">
        <f>IF(E123="",0,IFERROR(INDEX('Item Purchases'!$Q$4:$Q$30,MATCH(E123,'Item Purchases'!$B$4:$B$30,0)),0))</f>
        <v>2.1875</v>
      </c>
      <c r="K123" s="180">
        <f t="shared" si="10"/>
        <v>8.75</v>
      </c>
      <c r="L123" s="178">
        <f t="shared" si="11"/>
        <v>1</v>
      </c>
      <c r="M123" s="178">
        <f>IF(E123="",0,IF(AND(OR(OR(Dashboard!$E$5="All",Dashboard!$E$5=""),AG123=Dashboard!$E$5),OR(OR(Dashboard!$H$5="All",Dashboard!$H$5=""),F123=Dashboard!$H$5),OR(OR(Dashboard!$B$5="All",Dashboard!$B$5=""),C123=Dashboard!$B$5),OR(OR(Dashboard!$K$5="All",Dashboard!$K$5=""),A123=Dashboard!$K$5),OR(OR(Dashboard!$N$5="All",Dashboard!$N$5=""),B123=Dashboard!$N$5),OR(OR(Dashboard!$Q$5="All",Dashboard!$Q$5=""),D123=Dashboard!$Q$5),OR(OR(Dashboard!$U$5="All",Dashboard!$U$5=""),E123=Dashboard!$U$5)),1,0))</f>
        <v>1</v>
      </c>
      <c r="N123" s="178">
        <f>IF(E123="",0,IF(AND(OR(OR(Dashboard!$E$5="All",Dashboard!$E$5=""),AG123=Dashboard!$E$5),OR(OR(Dashboard!$B$5="All",Dashboard!$B$5=""),C123=Dashboard!$B$5),OR(OR(Dashboard!$K$5="All",Dashboard!$K$5=""),A123=Dashboard!$K$5),OR(OR(Dashboard!$N$5="All",Dashboard!$N$5=""),B123=Dashboard!$N$5),OR(OR(Dashboard!$Q$5="All",Dashboard!$Q$5=""),D123=Dashboard!$Q$5),OR(OR(Dashboard!$U$5="All",Dashboard!$U$5=""),E123=Dashboard!$U$5)),1,0))</f>
        <v>1</v>
      </c>
      <c r="O123" s="165">
        <f t="shared" si="12"/>
        <v>16</v>
      </c>
      <c r="AG123" s="178" t="str">
        <f>IF(E123="","",IFERROR(IF(INDEX('Item Purchases'!$AM$4:$AM$30,MATCH(E123,'Item Purchases'!$B$4:$B$30,0))="","Uncategorised",INDEX('Item Purchases'!$AM$4:$AM$30,MATCH(E123,'Item Purchases'!$B$4:$B$30,0))),"Uncategorised"))</f>
        <v>Beverages</v>
      </c>
      <c r="AH123" s="165">
        <f>IF(AND(E123&lt;&gt;"",L123=1),COUNTIFS($E$2:E123,E123,$L$2:L123,1),0)</f>
        <v>5</v>
      </c>
      <c r="AI123" s="165">
        <f t="shared" si="13"/>
        <v>4</v>
      </c>
      <c r="AJ123" s="165">
        <f t="shared" si="14"/>
        <v>1</v>
      </c>
    </row>
    <row r="124" spans="1:36" x14ac:dyDescent="0.25">
      <c r="A124" s="177">
        <f t="shared" si="16"/>
        <v>46272</v>
      </c>
      <c r="B124" s="178" t="str">
        <f t="shared" si="9"/>
        <v>Mon</v>
      </c>
      <c r="C124" s="178" t="str">
        <f>'Pantry Inventory'!$A$2</f>
        <v>Sep Week 1</v>
      </c>
      <c r="D124" s="178" t="str">
        <f>IF('Pantry Inventory'!A19="","",'Pantry Inventory'!A19)</f>
        <v>Nestle</v>
      </c>
      <c r="E124" s="178" t="str">
        <f>IF('Pantry Inventory'!B19="","",'Pantry Inventory'!B19)</f>
        <v>Nescafe original 240ml</v>
      </c>
      <c r="F124" s="178" t="str">
        <f>IF(E124="","",IFERROR(IF(INDEX('Item Purchases'!$S$4:$S$30,MATCH(E124,'Item Purchases'!$B$4:$B$30,0))="","Uncategorised",INDEX('Item Purchases'!$S$4:$S$30,MATCH(E124,'Item Purchases'!$B$4:$B$30,0))),"Uncategorised"))</f>
        <v>Coffee</v>
      </c>
      <c r="G124" s="178">
        <f>IF(E124="",0,'Pantry Inventory'!P19)</f>
        <v>0</v>
      </c>
      <c r="H124" s="178">
        <f>IF(E124="","",IF('Pantry Inventory'!Q19="","",'Pantry Inventory'!Q19))</f>
        <v>14</v>
      </c>
      <c r="I124" s="178">
        <f>IF(H124="","",'Pantry Inventory'!R19)</f>
        <v>2</v>
      </c>
      <c r="J124" s="179">
        <f>IF(E124="",0,IFERROR(INDEX('Item Purchases'!$Q$4:$Q$30,MATCH(E124,'Item Purchases'!$B$4:$B$30,0)),0))</f>
        <v>2.1875</v>
      </c>
      <c r="K124" s="180">
        <f t="shared" si="10"/>
        <v>4.375</v>
      </c>
      <c r="L124" s="178">
        <f t="shared" si="11"/>
        <v>1</v>
      </c>
      <c r="M124" s="178">
        <f>IF(E124="",0,IF(AND(OR(OR(Dashboard!$E$5="All",Dashboard!$E$5=""),AG124=Dashboard!$E$5),OR(OR(Dashboard!$H$5="All",Dashboard!$H$5=""),F124=Dashboard!$H$5),OR(OR(Dashboard!$B$5="All",Dashboard!$B$5=""),C124=Dashboard!$B$5),OR(OR(Dashboard!$K$5="All",Dashboard!$K$5=""),A124=Dashboard!$K$5),OR(OR(Dashboard!$N$5="All",Dashboard!$N$5=""),B124=Dashboard!$N$5),OR(OR(Dashboard!$Q$5="All",Dashboard!$Q$5=""),D124=Dashboard!$Q$5),OR(OR(Dashboard!$U$5="All",Dashboard!$U$5=""),E124=Dashboard!$U$5)),1,0))</f>
        <v>1</v>
      </c>
      <c r="N124" s="178">
        <f>IF(E124="",0,IF(AND(OR(OR(Dashboard!$E$5="All",Dashboard!$E$5=""),AG124=Dashboard!$E$5),OR(OR(Dashboard!$B$5="All",Dashboard!$B$5=""),C124=Dashboard!$B$5),OR(OR(Dashboard!$K$5="All",Dashboard!$K$5=""),A124=Dashboard!$K$5),OR(OR(Dashboard!$N$5="All",Dashboard!$N$5=""),B124=Dashboard!$N$5),OR(OR(Dashboard!$Q$5="All",Dashboard!$Q$5=""),D124=Dashboard!$Q$5),OR(OR(Dashboard!$U$5="All",Dashboard!$U$5=""),E124=Dashboard!$U$5)),1,0))</f>
        <v>1</v>
      </c>
      <c r="O124" s="165">
        <f t="shared" si="12"/>
        <v>4</v>
      </c>
      <c r="AG124" s="178" t="str">
        <f>IF(E124="","",IFERROR(IF(INDEX('Item Purchases'!$AM$4:$AM$30,MATCH(E124,'Item Purchases'!$B$4:$B$30,0))="","Uncategorised",INDEX('Item Purchases'!$AM$4:$AM$30,MATCH(E124,'Item Purchases'!$B$4:$B$30,0))),"Uncategorised"))</f>
        <v>Beverages</v>
      </c>
      <c r="AH124" s="165">
        <f>IF(AND(E124&lt;&gt;"",L124=1),COUNTIFS($E$2:E124,E124,$L$2:L124,1),0)</f>
        <v>5</v>
      </c>
      <c r="AI124" s="165">
        <f t="shared" si="13"/>
        <v>2</v>
      </c>
      <c r="AJ124" s="165">
        <f t="shared" si="14"/>
        <v>1</v>
      </c>
    </row>
    <row r="125" spans="1:36" x14ac:dyDescent="0.25">
      <c r="A125" s="177">
        <f t="shared" si="16"/>
        <v>46272</v>
      </c>
      <c r="B125" s="178" t="str">
        <f t="shared" si="9"/>
        <v>Mon</v>
      </c>
      <c r="C125" s="178" t="str">
        <f>'Pantry Inventory'!$A$2</f>
        <v>Sep Week 1</v>
      </c>
      <c r="D125" s="178" t="str">
        <f>IF('Pantry Inventory'!A20="","",'Pantry Inventory'!A20)</f>
        <v>COWA</v>
      </c>
      <c r="E125" s="178" t="str">
        <f>IF('Pantry Inventory'!B20="","",'Pantry Inventory'!B20)</f>
        <v>COWA Coconut Water 330 ml</v>
      </c>
      <c r="F125" s="178" t="str">
        <f>IF(E125="","",IFERROR(IF(INDEX('Item Purchases'!$S$4:$S$30,MATCH(E125,'Item Purchases'!$B$4:$B$30,0))="","Uncategorised",INDEX('Item Purchases'!$S$4:$S$30,MATCH(E125,'Item Purchases'!$B$4:$B$30,0))),"Uncategorised"))</f>
        <v>Other</v>
      </c>
      <c r="G125" s="178">
        <f>IF(E125="",0,'Pantry Inventory'!P20)</f>
        <v>72</v>
      </c>
      <c r="H125" s="178">
        <f>IF(E125="","",IF('Pantry Inventory'!Q20="","",'Pantry Inventory'!Q20))</f>
        <v>36</v>
      </c>
      <c r="I125" s="178">
        <f>IF(H125="","",'Pantry Inventory'!R20)</f>
        <v>36</v>
      </c>
      <c r="J125" s="179">
        <f>IF(E125="",0,IFERROR(INDEX('Item Purchases'!$Q$4:$Q$30,MATCH(E125,'Item Purchases'!$B$4:$B$30,0)),0))</f>
        <v>3</v>
      </c>
      <c r="K125" s="180">
        <f t="shared" si="10"/>
        <v>108</v>
      </c>
      <c r="L125" s="178">
        <f t="shared" si="11"/>
        <v>1</v>
      </c>
      <c r="M125" s="178">
        <f>IF(E125="",0,IF(AND(OR(OR(Dashboard!$E$5="All",Dashboard!$E$5=""),AG125=Dashboard!$E$5),OR(OR(Dashboard!$H$5="All",Dashboard!$H$5=""),F125=Dashboard!$H$5),OR(OR(Dashboard!$B$5="All",Dashboard!$B$5=""),C125=Dashboard!$B$5),OR(OR(Dashboard!$K$5="All",Dashboard!$K$5=""),A125=Dashboard!$K$5),OR(OR(Dashboard!$N$5="All",Dashboard!$N$5=""),B125=Dashboard!$N$5),OR(OR(Dashboard!$Q$5="All",Dashboard!$Q$5=""),D125=Dashboard!$Q$5),OR(OR(Dashboard!$U$5="All",Dashboard!$U$5=""),E125=Dashboard!$U$5)),1,0))</f>
        <v>1</v>
      </c>
      <c r="N125" s="178">
        <f>IF(E125="",0,IF(AND(OR(OR(Dashboard!$E$5="All",Dashboard!$E$5=""),AG125=Dashboard!$E$5),OR(OR(Dashboard!$B$5="All",Dashboard!$B$5=""),C125=Dashboard!$B$5),OR(OR(Dashboard!$K$5="All",Dashboard!$K$5=""),A125=Dashboard!$K$5),OR(OR(Dashboard!$N$5="All",Dashboard!$N$5=""),B125=Dashboard!$N$5),OR(OR(Dashboard!$Q$5="All",Dashboard!$Q$5=""),D125=Dashboard!$Q$5),OR(OR(Dashboard!$U$5="All",Dashboard!$U$5=""),E125=Dashboard!$U$5)),1,0))</f>
        <v>1</v>
      </c>
      <c r="O125" s="165">
        <f t="shared" si="12"/>
        <v>1296</v>
      </c>
      <c r="AG125" s="178" t="str">
        <f>IF(E125="","",IFERROR(IF(INDEX('Item Purchases'!$AM$4:$AM$30,MATCH(E125,'Item Purchases'!$B$4:$B$30,0))="","Uncategorised",INDEX('Item Purchases'!$AM$4:$AM$30,MATCH(E125,'Item Purchases'!$B$4:$B$30,0))),"Uncategorised"))</f>
        <v>Beverages</v>
      </c>
      <c r="AH125" s="165">
        <f>IF(AND(E125&lt;&gt;"",L125=1),COUNTIFS($E$2:E125,E125,$L$2:L125,1),0)</f>
        <v>5</v>
      </c>
      <c r="AI125" s="165">
        <f t="shared" si="13"/>
        <v>36</v>
      </c>
      <c r="AJ125" s="165">
        <f t="shared" si="14"/>
        <v>1</v>
      </c>
    </row>
    <row r="126" spans="1:36" x14ac:dyDescent="0.25">
      <c r="A126" s="177">
        <f t="shared" si="16"/>
        <v>46272</v>
      </c>
      <c r="B126" s="178" t="str">
        <f t="shared" si="9"/>
        <v>Mon</v>
      </c>
      <c r="C126" s="178" t="str">
        <f>'Pantry Inventory'!$A$2</f>
        <v>Sep Week 1</v>
      </c>
      <c r="D126" s="178" t="str">
        <f>IF('Pantry Inventory'!A21="","",'Pantry Inventory'!A21)</f>
        <v>Coca Cola</v>
      </c>
      <c r="E126" s="178" t="str">
        <f>IF('Pantry Inventory'!B21="","",'Pantry Inventory'!B21)</f>
        <v>COKE ZERO  325ML</v>
      </c>
      <c r="F126" s="178" t="str">
        <f>IF(E126="","",IFERROR(IF(INDEX('Item Purchases'!$S$4:$S$30,MATCH(E126,'Item Purchases'!$B$4:$B$30,0))="","Uncategorised",INDEX('Item Purchases'!$S$4:$S$30,MATCH(E126,'Item Purchases'!$B$4:$B$30,0))),"Uncategorised"))</f>
        <v>Other</v>
      </c>
      <c r="G126" s="178">
        <f>IF(E126="",0,'Pantry Inventory'!P21)</f>
        <v>0</v>
      </c>
      <c r="H126" s="178">
        <f>IF(E126="","",IF('Pantry Inventory'!Q21="","",'Pantry Inventory'!Q21))</f>
        <v>5</v>
      </c>
      <c r="I126" s="178">
        <f>IF(H126="","",'Pantry Inventory'!R21)</f>
        <v>13</v>
      </c>
      <c r="J126" s="179">
        <f>IF(E126="",0,IFERROR(INDEX('Item Purchases'!$Q$4:$Q$30,MATCH(E126,'Item Purchases'!$B$4:$B$30,0)),0))</f>
        <v>1.83</v>
      </c>
      <c r="K126" s="180">
        <f t="shared" si="10"/>
        <v>23.79</v>
      </c>
      <c r="L126" s="178">
        <f t="shared" si="11"/>
        <v>1</v>
      </c>
      <c r="M126" s="178">
        <f>IF(E126="",0,IF(AND(OR(OR(Dashboard!$E$5="All",Dashboard!$E$5=""),AG126=Dashboard!$E$5),OR(OR(Dashboard!$H$5="All",Dashboard!$H$5=""),F126=Dashboard!$H$5),OR(OR(Dashboard!$B$5="All",Dashboard!$B$5=""),C126=Dashboard!$B$5),OR(OR(Dashboard!$K$5="All",Dashboard!$K$5=""),A126=Dashboard!$K$5),OR(OR(Dashboard!$N$5="All",Dashboard!$N$5=""),B126=Dashboard!$N$5),OR(OR(Dashboard!$Q$5="All",Dashboard!$Q$5=""),D126=Dashboard!$Q$5),OR(OR(Dashboard!$U$5="All",Dashboard!$U$5=""),E126=Dashboard!$U$5)),1,0))</f>
        <v>1</v>
      </c>
      <c r="N126" s="178">
        <f>IF(E126="",0,IF(AND(OR(OR(Dashboard!$E$5="All",Dashboard!$E$5=""),AG126=Dashboard!$E$5),OR(OR(Dashboard!$B$5="All",Dashboard!$B$5=""),C126=Dashboard!$B$5),OR(OR(Dashboard!$K$5="All",Dashboard!$K$5=""),A126=Dashboard!$K$5),OR(OR(Dashboard!$N$5="All",Dashboard!$N$5=""),B126=Dashboard!$N$5),OR(OR(Dashboard!$Q$5="All",Dashboard!$Q$5=""),D126=Dashboard!$Q$5),OR(OR(Dashboard!$U$5="All",Dashboard!$U$5=""),E126=Dashboard!$U$5)),1,0))</f>
        <v>1</v>
      </c>
      <c r="O126" s="165">
        <f t="shared" si="12"/>
        <v>169</v>
      </c>
      <c r="AG126" s="178" t="str">
        <f>IF(E126="","",IFERROR(IF(INDEX('Item Purchases'!$AM$4:$AM$30,MATCH(E126,'Item Purchases'!$B$4:$B$30,0))="","Uncategorised",INDEX('Item Purchases'!$AM$4:$AM$30,MATCH(E126,'Item Purchases'!$B$4:$B$30,0))),"Uncategorised"))</f>
        <v>Beverages</v>
      </c>
      <c r="AH126" s="165">
        <f>IF(AND(E126&lt;&gt;"",L126=1),COUNTIFS($E$2:E126,E126,$L$2:L126,1),0)</f>
        <v>5</v>
      </c>
      <c r="AI126" s="165">
        <f t="shared" si="13"/>
        <v>13</v>
      </c>
      <c r="AJ126" s="165">
        <f t="shared" si="14"/>
        <v>1</v>
      </c>
    </row>
    <row r="127" spans="1:36" x14ac:dyDescent="0.25">
      <c r="A127" s="177">
        <f t="shared" si="16"/>
        <v>46272</v>
      </c>
      <c r="B127" s="178" t="str">
        <f t="shared" si="9"/>
        <v>Mon</v>
      </c>
      <c r="C127" s="178" t="str">
        <f>'Pantry Inventory'!$A$2</f>
        <v>Sep Week 1</v>
      </c>
      <c r="D127" s="178" t="str">
        <f>IF('Pantry Inventory'!A22="","",'Pantry Inventory'!A22)</f>
        <v>Coca Cola</v>
      </c>
      <c r="E127" s="178" t="str">
        <f>IF('Pantry Inventory'!B22="","",'Pantry Inventory'!B22)</f>
        <v>Ayataka Tea 300ml</v>
      </c>
      <c r="F127" s="178" t="str">
        <f>IF(E127="","",IFERROR(IF(INDEX('Item Purchases'!$S$4:$S$30,MATCH(E127,'Item Purchases'!$B$4:$B$30,0))="","Uncategorised",INDEX('Item Purchases'!$S$4:$S$30,MATCH(E127,'Item Purchases'!$B$4:$B$30,0))),"Uncategorised"))</f>
        <v>Tea</v>
      </c>
      <c r="G127" s="178">
        <f>IF(E127="",0,'Pantry Inventory'!P22)</f>
        <v>0</v>
      </c>
      <c r="H127" s="178">
        <f>IF(E127="","",IF('Pantry Inventory'!Q22="","",'Pantry Inventory'!Q22))</f>
        <v>0</v>
      </c>
      <c r="I127" s="178">
        <f>IF(H127="","",'Pantry Inventory'!R22)</f>
        <v>0</v>
      </c>
      <c r="J127" s="179">
        <f>IF(E127="",0,IFERROR(INDEX('Item Purchases'!$Q$4:$Q$30,MATCH(E127,'Item Purchases'!$B$4:$B$30,0)),0))</f>
        <v>1.75</v>
      </c>
      <c r="K127" s="180">
        <f t="shared" si="10"/>
        <v>0</v>
      </c>
      <c r="L127" s="178">
        <f t="shared" si="11"/>
        <v>1</v>
      </c>
      <c r="M127" s="178">
        <f>IF(E127="",0,IF(AND(OR(OR(Dashboard!$E$5="All",Dashboard!$E$5=""),AG127=Dashboard!$E$5),OR(OR(Dashboard!$H$5="All",Dashboard!$H$5=""),F127=Dashboard!$H$5),OR(OR(Dashboard!$B$5="All",Dashboard!$B$5=""),C127=Dashboard!$B$5),OR(OR(Dashboard!$K$5="All",Dashboard!$K$5=""),A127=Dashboard!$K$5),OR(OR(Dashboard!$N$5="All",Dashboard!$N$5=""),B127=Dashboard!$N$5),OR(OR(Dashboard!$Q$5="All",Dashboard!$Q$5=""),D127=Dashboard!$Q$5),OR(OR(Dashboard!$U$5="All",Dashboard!$U$5=""),E127=Dashboard!$U$5)),1,0))</f>
        <v>1</v>
      </c>
      <c r="N127" s="178">
        <f>IF(E127="",0,IF(AND(OR(OR(Dashboard!$E$5="All",Dashboard!$E$5=""),AG127=Dashboard!$E$5),OR(OR(Dashboard!$B$5="All",Dashboard!$B$5=""),C127=Dashboard!$B$5),OR(OR(Dashboard!$K$5="All",Dashboard!$K$5=""),A127=Dashboard!$K$5),OR(OR(Dashboard!$N$5="All",Dashboard!$N$5=""),B127=Dashboard!$N$5),OR(OR(Dashboard!$Q$5="All",Dashboard!$Q$5=""),D127=Dashboard!$Q$5),OR(OR(Dashboard!$U$5="All",Dashboard!$U$5=""),E127=Dashboard!$U$5)),1,0))</f>
        <v>1</v>
      </c>
      <c r="O127" s="165">
        <f t="shared" si="12"/>
        <v>0</v>
      </c>
      <c r="AG127" s="178" t="str">
        <f>IF(E127="","",IFERROR(IF(INDEX('Item Purchases'!$AM$4:$AM$30,MATCH(E127,'Item Purchases'!$B$4:$B$30,0))="","Uncategorised",INDEX('Item Purchases'!$AM$4:$AM$30,MATCH(E127,'Item Purchases'!$B$4:$B$30,0))),"Uncategorised"))</f>
        <v>Beverages</v>
      </c>
      <c r="AH127" s="165">
        <f>IF(AND(E127&lt;&gt;"",L127=1),COUNTIFS($E$2:E127,E127,$L$2:L127,1),0)</f>
        <v>5</v>
      </c>
      <c r="AI127" s="165">
        <f t="shared" si="13"/>
        <v>0</v>
      </c>
      <c r="AJ127" s="165">
        <f t="shared" si="14"/>
        <v>0</v>
      </c>
    </row>
    <row r="128" spans="1:36" x14ac:dyDescent="0.25">
      <c r="A128" s="177">
        <f t="shared" si="16"/>
        <v>46272</v>
      </c>
      <c r="B128" s="178" t="str">
        <f t="shared" si="9"/>
        <v>Mon</v>
      </c>
      <c r="C128" s="178" t="str">
        <f>'Pantry Inventory'!$A$2</f>
        <v>Sep Week 1</v>
      </c>
      <c r="D128" s="178" t="str">
        <f>IF('Pantry Inventory'!A23="","",'Pantry Inventory'!A23)</f>
        <v>Coca Cola</v>
      </c>
      <c r="E128" s="178" t="str">
        <f>IF('Pantry Inventory'!B23="","",'Pantry Inventory'!B23)</f>
        <v>Oolong Tea 300ml</v>
      </c>
      <c r="F128" s="178" t="str">
        <f>IF(E128="","",IFERROR(IF(INDEX('Item Purchases'!$S$4:$S$30,MATCH(E128,'Item Purchases'!$B$4:$B$30,0))="","Uncategorised",INDEX('Item Purchases'!$S$4:$S$30,MATCH(E128,'Item Purchases'!$B$4:$B$30,0))),"Uncategorised"))</f>
        <v>Tea</v>
      </c>
      <c r="G128" s="178">
        <f>IF(E128="",0,'Pantry Inventory'!P23)</f>
        <v>0</v>
      </c>
      <c r="H128" s="178">
        <f>IF(E128="","",IF('Pantry Inventory'!Q23="","",'Pantry Inventory'!Q23))</f>
        <v>0</v>
      </c>
      <c r="I128" s="178">
        <f>IF(H128="","",'Pantry Inventory'!R23)</f>
        <v>0</v>
      </c>
      <c r="J128" s="179">
        <f>IF(E128="",0,IFERROR(INDEX('Item Purchases'!$Q$4:$Q$30,MATCH(E128,'Item Purchases'!$B$4:$B$30,0)),0))</f>
        <v>1.75</v>
      </c>
      <c r="K128" s="180">
        <f t="shared" si="10"/>
        <v>0</v>
      </c>
      <c r="L128" s="178">
        <f t="shared" si="11"/>
        <v>1</v>
      </c>
      <c r="M128" s="178">
        <f>IF(E128="",0,IF(AND(OR(OR(Dashboard!$E$5="All",Dashboard!$E$5=""),AG128=Dashboard!$E$5),OR(OR(Dashboard!$H$5="All",Dashboard!$H$5=""),F128=Dashboard!$H$5),OR(OR(Dashboard!$B$5="All",Dashboard!$B$5=""),C128=Dashboard!$B$5),OR(OR(Dashboard!$K$5="All",Dashboard!$K$5=""),A128=Dashboard!$K$5),OR(OR(Dashboard!$N$5="All",Dashboard!$N$5=""),B128=Dashboard!$N$5),OR(OR(Dashboard!$Q$5="All",Dashboard!$Q$5=""),D128=Dashboard!$Q$5),OR(OR(Dashboard!$U$5="All",Dashboard!$U$5=""),E128=Dashboard!$U$5)),1,0))</f>
        <v>1</v>
      </c>
      <c r="N128" s="178">
        <f>IF(E128="",0,IF(AND(OR(OR(Dashboard!$E$5="All",Dashboard!$E$5=""),AG128=Dashboard!$E$5),OR(OR(Dashboard!$B$5="All",Dashboard!$B$5=""),C128=Dashboard!$B$5),OR(OR(Dashboard!$K$5="All",Dashboard!$K$5=""),A128=Dashboard!$K$5),OR(OR(Dashboard!$N$5="All",Dashboard!$N$5=""),B128=Dashboard!$N$5),OR(OR(Dashboard!$Q$5="All",Dashboard!$Q$5=""),D128=Dashboard!$Q$5),OR(OR(Dashboard!$U$5="All",Dashboard!$U$5=""),E128=Dashboard!$U$5)),1,0))</f>
        <v>1</v>
      </c>
      <c r="O128" s="165">
        <f t="shared" si="12"/>
        <v>0</v>
      </c>
      <c r="AG128" s="178" t="str">
        <f>IF(E128="","",IFERROR(IF(INDEX('Item Purchases'!$AM$4:$AM$30,MATCH(E128,'Item Purchases'!$B$4:$B$30,0))="","Uncategorised",INDEX('Item Purchases'!$AM$4:$AM$30,MATCH(E128,'Item Purchases'!$B$4:$B$30,0))),"Uncategorised"))</f>
        <v>Beverages</v>
      </c>
      <c r="AH128" s="165">
        <f>IF(AND(E128&lt;&gt;"",L128=1),COUNTIFS($E$2:E128,E128,$L$2:L128,1),0)</f>
        <v>5</v>
      </c>
      <c r="AI128" s="165">
        <f t="shared" si="13"/>
        <v>0</v>
      </c>
      <c r="AJ128" s="165">
        <f t="shared" si="14"/>
        <v>0</v>
      </c>
    </row>
    <row r="129" spans="1:36" x14ac:dyDescent="0.25">
      <c r="A129" s="177">
        <f t="shared" si="16"/>
        <v>46272</v>
      </c>
      <c r="B129" s="178" t="str">
        <f t="shared" si="9"/>
        <v>Mon</v>
      </c>
      <c r="C129" s="178" t="str">
        <f>'Pantry Inventory'!$A$2</f>
        <v>Sep Week 1</v>
      </c>
      <c r="D129" s="178" t="str">
        <f>IF('Pantry Inventory'!A24="","",'Pantry Inventory'!A24)</f>
        <v>Vsoy</v>
      </c>
      <c r="E129" s="178" t="str">
        <f>IF('Pantry Inventory'!B24="","",'Pantry Inventory'!B24)</f>
        <v>Vsoy Soya Bean  250ml</v>
      </c>
      <c r="F129" s="178" t="str">
        <f>IF(E129="","",IFERROR(IF(INDEX('Item Purchases'!$S$4:$S$30,MATCH(E129,'Item Purchases'!$B$4:$B$30,0))="","Uncategorised",INDEX('Item Purchases'!$S$4:$S$30,MATCH(E129,'Item Purchases'!$B$4:$B$30,0))),"Uncategorised"))</f>
        <v>Other</v>
      </c>
      <c r="G129" s="178">
        <f>IF(E129="",0,'Pantry Inventory'!P24)</f>
        <v>48</v>
      </c>
      <c r="H129" s="178">
        <f>IF(E129="","",IF('Pantry Inventory'!Q24="","",'Pantry Inventory'!Q24))</f>
        <v>66</v>
      </c>
      <c r="I129" s="178">
        <f>IF(H129="","",'Pantry Inventory'!R24)</f>
        <v>16</v>
      </c>
      <c r="J129" s="179">
        <f>IF(E129="",0,IFERROR(INDEX('Item Purchases'!$Q$4:$Q$30,MATCH(E129,'Item Purchases'!$B$4:$B$30,0)),0))</f>
        <v>1.25</v>
      </c>
      <c r="K129" s="180">
        <f t="shared" si="10"/>
        <v>20</v>
      </c>
      <c r="L129" s="178">
        <f t="shared" si="11"/>
        <v>1</v>
      </c>
      <c r="M129" s="178">
        <f>IF(E129="",0,IF(AND(OR(OR(Dashboard!$E$5="All",Dashboard!$E$5=""),AG129=Dashboard!$E$5),OR(OR(Dashboard!$H$5="All",Dashboard!$H$5=""),F129=Dashboard!$H$5),OR(OR(Dashboard!$B$5="All",Dashboard!$B$5=""),C129=Dashboard!$B$5),OR(OR(Dashboard!$K$5="All",Dashboard!$K$5=""),A129=Dashboard!$K$5),OR(OR(Dashboard!$N$5="All",Dashboard!$N$5=""),B129=Dashboard!$N$5),OR(OR(Dashboard!$Q$5="All",Dashboard!$Q$5=""),D129=Dashboard!$Q$5),OR(OR(Dashboard!$U$5="All",Dashboard!$U$5=""),E129=Dashboard!$U$5)),1,0))</f>
        <v>1</v>
      </c>
      <c r="N129" s="178">
        <f>IF(E129="",0,IF(AND(OR(OR(Dashboard!$E$5="All",Dashboard!$E$5=""),AG129=Dashboard!$E$5),OR(OR(Dashboard!$B$5="All",Dashboard!$B$5=""),C129=Dashboard!$B$5),OR(OR(Dashboard!$K$5="All",Dashboard!$K$5=""),A129=Dashboard!$K$5),OR(OR(Dashboard!$N$5="All",Dashboard!$N$5=""),B129=Dashboard!$N$5),OR(OR(Dashboard!$Q$5="All",Dashboard!$Q$5=""),D129=Dashboard!$Q$5),OR(OR(Dashboard!$U$5="All",Dashboard!$U$5=""),E129=Dashboard!$U$5)),1,0))</f>
        <v>1</v>
      </c>
      <c r="O129" s="165">
        <f t="shared" si="12"/>
        <v>256</v>
      </c>
      <c r="AG129" s="178" t="str">
        <f>IF(E129="","",IFERROR(IF(INDEX('Item Purchases'!$AM$4:$AM$30,MATCH(E129,'Item Purchases'!$B$4:$B$30,0))="","Uncategorised",INDEX('Item Purchases'!$AM$4:$AM$30,MATCH(E129,'Item Purchases'!$B$4:$B$30,0))),"Uncategorised"))</f>
        <v>Beverages</v>
      </c>
      <c r="AH129" s="165">
        <f>IF(AND(E129&lt;&gt;"",L129=1),COUNTIFS($E$2:E129,E129,$L$2:L129,1),0)</f>
        <v>5</v>
      </c>
      <c r="AI129" s="165">
        <f t="shared" si="13"/>
        <v>16</v>
      </c>
      <c r="AJ129" s="165">
        <f t="shared" si="14"/>
        <v>1</v>
      </c>
    </row>
    <row r="130" spans="1:36" x14ac:dyDescent="0.25">
      <c r="A130" s="177">
        <f t="shared" si="16"/>
        <v>46272</v>
      </c>
      <c r="B130" s="178" t="str">
        <f t="shared" ref="B130:B193" si="17">IF(A130=0,"",CHOOSE(WEEKDAY(A130,2),"Mon","Tue","Wed","Thu","Fri","Sat","Sun"))</f>
        <v>Mon</v>
      </c>
      <c r="C130" s="178" t="str">
        <f>'Pantry Inventory'!$A$2</f>
        <v>Sep Week 1</v>
      </c>
      <c r="D130" s="178" t="str">
        <f>IF('Pantry Inventory'!A25="","",'Pantry Inventory'!A25)</f>
        <v>BingRae</v>
      </c>
      <c r="E130" s="178" t="str">
        <f>IF('Pantry Inventory'!B25="","",'Pantry Inventory'!B25)</f>
        <v>BingRae Banana Milk 200ml</v>
      </c>
      <c r="F130" s="178" t="str">
        <f>IF(E130="","",IFERROR(IF(INDEX('Item Purchases'!$S$4:$S$30,MATCH(E130,'Item Purchases'!$B$4:$B$30,0))="","Uncategorised",INDEX('Item Purchases'!$S$4:$S$30,MATCH(E130,'Item Purchases'!$B$4:$B$30,0))),"Uncategorised"))</f>
        <v>Other</v>
      </c>
      <c r="G130" s="178">
        <f>IF(E130="",0,'Pantry Inventory'!P25)</f>
        <v>0</v>
      </c>
      <c r="H130" s="178">
        <f>IF(E130="","",IF('Pantry Inventory'!Q25="","",'Pantry Inventory'!Q25))</f>
        <v>0</v>
      </c>
      <c r="I130" s="178">
        <f>IF(H130="","",'Pantry Inventory'!R25)</f>
        <v>0</v>
      </c>
      <c r="J130" s="179">
        <f>IF(E130="",0,IFERROR(INDEX('Item Purchases'!$Q$4:$Q$30,MATCH(E130,'Item Purchases'!$B$4:$B$30,0)),0))</f>
        <v>3.3159999999999998</v>
      </c>
      <c r="K130" s="180">
        <f t="shared" ref="K130:K193" si="18">IF(I130="","",I130*J130)</f>
        <v>0</v>
      </c>
      <c r="L130" s="178">
        <f t="shared" ref="L130:L193" si="19">IF(H130="",0,1)</f>
        <v>1</v>
      </c>
      <c r="M130" s="178">
        <f>IF(E130="",0,IF(AND(OR(OR(Dashboard!$E$5="All",Dashboard!$E$5=""),AG130=Dashboard!$E$5),OR(OR(Dashboard!$H$5="All",Dashboard!$H$5=""),F130=Dashboard!$H$5),OR(OR(Dashboard!$B$5="All",Dashboard!$B$5=""),C130=Dashboard!$B$5),OR(OR(Dashboard!$K$5="All",Dashboard!$K$5=""),A130=Dashboard!$K$5),OR(OR(Dashboard!$N$5="All",Dashboard!$N$5=""),B130=Dashboard!$N$5),OR(OR(Dashboard!$Q$5="All",Dashboard!$Q$5=""),D130=Dashboard!$Q$5),OR(OR(Dashboard!$U$5="All",Dashboard!$U$5=""),E130=Dashboard!$U$5)),1,0))</f>
        <v>1</v>
      </c>
      <c r="N130" s="178">
        <f>IF(E130="",0,IF(AND(OR(OR(Dashboard!$E$5="All",Dashboard!$E$5=""),AG130=Dashboard!$E$5),OR(OR(Dashboard!$B$5="All",Dashboard!$B$5=""),C130=Dashboard!$B$5),OR(OR(Dashboard!$K$5="All",Dashboard!$K$5=""),A130=Dashboard!$K$5),OR(OR(Dashboard!$N$5="All",Dashboard!$N$5=""),B130=Dashboard!$N$5),OR(OR(Dashboard!$Q$5="All",Dashboard!$Q$5=""),D130=Dashboard!$Q$5),OR(OR(Dashboard!$U$5="All",Dashboard!$U$5=""),E130=Dashboard!$U$5)),1,0))</f>
        <v>1</v>
      </c>
      <c r="O130" s="165">
        <f t="shared" ref="O130:O193" si="20">IF(AND(N(H130)&gt;0,ISNUMBER(I130)),I130^2,0)</f>
        <v>0</v>
      </c>
      <c r="AG130" s="178" t="str">
        <f>IF(E130="","",IFERROR(IF(INDEX('Item Purchases'!$AM$4:$AM$30,MATCH(E130,'Item Purchases'!$B$4:$B$30,0))="","Uncategorised",INDEX('Item Purchases'!$AM$4:$AM$30,MATCH(E130,'Item Purchases'!$B$4:$B$30,0))),"Uncategorised"))</f>
        <v>Beverages</v>
      </c>
      <c r="AH130" s="165">
        <f>IF(AND(E130&lt;&gt;"",L130=1),COUNTIFS($E$2:E130,E130,$L$2:L130,1),0)</f>
        <v>5</v>
      </c>
      <c r="AI130" s="165">
        <f t="shared" ref="AI130:AI193" si="21">IF(ISNUMBER(I130),I130,0)</f>
        <v>0</v>
      </c>
      <c r="AJ130" s="165">
        <f t="shared" ref="AJ130:AJ193" si="22">IF(AND(L130=1,N(H130)&gt;0),1,0)</f>
        <v>0</v>
      </c>
    </row>
    <row r="131" spans="1:36" x14ac:dyDescent="0.25">
      <c r="A131" s="177">
        <f t="shared" si="16"/>
        <v>46272</v>
      </c>
      <c r="B131" s="178" t="str">
        <f t="shared" si="17"/>
        <v>Mon</v>
      </c>
      <c r="C131" s="178" t="str">
        <f>'Pantry Inventory'!$A$2</f>
        <v>Sep Week 1</v>
      </c>
      <c r="D131" s="178" t="str">
        <f>IF('Pantry Inventory'!A26="","",'Pantry Inventory'!A26)</f>
        <v>Fuze Tea</v>
      </c>
      <c r="E131" s="178" t="str">
        <f>IF('Pantry Inventory'!B26="","",'Pantry Inventory'!B26)</f>
        <v>Fuze Tea by Heaven and Earth Jasmine Tea</v>
      </c>
      <c r="F131" s="178" t="str">
        <f>IF(E131="","",IFERROR(IF(INDEX('Item Purchases'!$S$4:$S$30,MATCH(E131,'Item Purchases'!$B$4:$B$30,0))="","Uncategorised",INDEX('Item Purchases'!$S$4:$S$30,MATCH(E131,'Item Purchases'!$B$4:$B$30,0))),"Uncategorised"))</f>
        <v>Tea</v>
      </c>
      <c r="G131" s="178">
        <f>IF(E131="",0,'Pantry Inventory'!P26)</f>
        <v>0</v>
      </c>
      <c r="H131" s="178">
        <f>IF(E131="","",IF('Pantry Inventory'!Q26="","",'Pantry Inventory'!Q26))</f>
        <v>0</v>
      </c>
      <c r="I131" s="178">
        <f>IF(H131="","",'Pantry Inventory'!R26)</f>
        <v>0</v>
      </c>
      <c r="J131" s="179">
        <f>IF(E131="",0,IFERROR(INDEX('Item Purchases'!$Q$4:$Q$30,MATCH(E131,'Item Purchases'!$B$4:$B$30,0)),0))</f>
        <v>1.167</v>
      </c>
      <c r="K131" s="180">
        <f t="shared" si="18"/>
        <v>0</v>
      </c>
      <c r="L131" s="178">
        <f t="shared" si="19"/>
        <v>1</v>
      </c>
      <c r="M131" s="178">
        <f>IF(E131="",0,IF(AND(OR(OR(Dashboard!$E$5="All",Dashboard!$E$5=""),AG131=Dashboard!$E$5),OR(OR(Dashboard!$H$5="All",Dashboard!$H$5=""),F131=Dashboard!$H$5),OR(OR(Dashboard!$B$5="All",Dashboard!$B$5=""),C131=Dashboard!$B$5),OR(OR(Dashboard!$K$5="All",Dashboard!$K$5=""),A131=Dashboard!$K$5),OR(OR(Dashboard!$N$5="All",Dashboard!$N$5=""),B131=Dashboard!$N$5),OR(OR(Dashboard!$Q$5="All",Dashboard!$Q$5=""),D131=Dashboard!$Q$5),OR(OR(Dashboard!$U$5="All",Dashboard!$U$5=""),E131=Dashboard!$U$5)),1,0))</f>
        <v>1</v>
      </c>
      <c r="N131" s="178">
        <f>IF(E131="",0,IF(AND(OR(OR(Dashboard!$E$5="All",Dashboard!$E$5=""),AG131=Dashboard!$E$5),OR(OR(Dashboard!$B$5="All",Dashboard!$B$5=""),C131=Dashboard!$B$5),OR(OR(Dashboard!$K$5="All",Dashboard!$K$5=""),A131=Dashboard!$K$5),OR(OR(Dashboard!$N$5="All",Dashboard!$N$5=""),B131=Dashboard!$N$5),OR(OR(Dashboard!$Q$5="All",Dashboard!$Q$5=""),D131=Dashboard!$Q$5),OR(OR(Dashboard!$U$5="All",Dashboard!$U$5=""),E131=Dashboard!$U$5)),1,0))</f>
        <v>1</v>
      </c>
      <c r="O131" s="165">
        <f t="shared" si="20"/>
        <v>0</v>
      </c>
      <c r="AG131" s="178" t="str">
        <f>IF(E131="","",IFERROR(IF(INDEX('Item Purchases'!$AM$4:$AM$30,MATCH(E131,'Item Purchases'!$B$4:$B$30,0))="","Uncategorised",INDEX('Item Purchases'!$AM$4:$AM$30,MATCH(E131,'Item Purchases'!$B$4:$B$30,0))),"Uncategorised"))</f>
        <v>Beverages</v>
      </c>
      <c r="AH131" s="165">
        <f>IF(AND(E131&lt;&gt;"",L131=1),COUNTIFS($E$2:E131,E131,$L$2:L131,1),0)</f>
        <v>5</v>
      </c>
      <c r="AI131" s="165">
        <f t="shared" si="21"/>
        <v>0</v>
      </c>
      <c r="AJ131" s="165">
        <f t="shared" si="22"/>
        <v>0</v>
      </c>
    </row>
    <row r="132" spans="1:36" x14ac:dyDescent="0.25">
      <c r="A132" s="177">
        <f t="shared" si="16"/>
        <v>46272</v>
      </c>
      <c r="B132" s="178" t="str">
        <f t="shared" si="17"/>
        <v>Mon</v>
      </c>
      <c r="C132" s="178" t="str">
        <f>'Pantry Inventory'!$A$2</f>
        <v>Sep Week 1</v>
      </c>
      <c r="D132" s="178" t="str">
        <f>IF('Pantry Inventory'!A27="","",'Pantry Inventory'!A27)</f>
        <v>F&amp;N</v>
      </c>
      <c r="E132" s="178" t="str">
        <f>IF('Pantry Inventory'!B27="","",'Pantry Inventory'!B27)</f>
        <v>FN 100 plus (original) 325ml</v>
      </c>
      <c r="F132" s="178" t="str">
        <f>IF(E132="","",IFERROR(IF(INDEX('Item Purchases'!$S$4:$S$30,MATCH(E132,'Item Purchases'!$B$4:$B$30,0))="","Uncategorised",INDEX('Item Purchases'!$S$4:$S$30,MATCH(E132,'Item Purchases'!$B$4:$B$30,0))),"Uncategorised"))</f>
        <v>Other</v>
      </c>
      <c r="G132" s="178">
        <f>IF(E132="",0,'Pantry Inventory'!P27)</f>
        <v>48</v>
      </c>
      <c r="H132" s="178">
        <f>IF(E132="","",IF('Pantry Inventory'!Q27="","",'Pantry Inventory'!Q27))</f>
        <v>66</v>
      </c>
      <c r="I132" s="178">
        <f>IF(H132="","",'Pantry Inventory'!R27)</f>
        <v>8</v>
      </c>
      <c r="J132" s="179">
        <f>IF(E132="",0,IFERROR(INDEX('Item Purchases'!$Q$4:$Q$30,MATCH(E132,'Item Purchases'!$B$4:$B$30,0)),0))</f>
        <v>1.58</v>
      </c>
      <c r="K132" s="180">
        <f t="shared" si="18"/>
        <v>12.64</v>
      </c>
      <c r="L132" s="178">
        <f t="shared" si="19"/>
        <v>1</v>
      </c>
      <c r="M132" s="178">
        <f>IF(E132="",0,IF(AND(OR(OR(Dashboard!$E$5="All",Dashboard!$E$5=""),AG132=Dashboard!$E$5),OR(OR(Dashboard!$H$5="All",Dashboard!$H$5=""),F132=Dashboard!$H$5),OR(OR(Dashboard!$B$5="All",Dashboard!$B$5=""),C132=Dashboard!$B$5),OR(OR(Dashboard!$K$5="All",Dashboard!$K$5=""),A132=Dashboard!$K$5),OR(OR(Dashboard!$N$5="All",Dashboard!$N$5=""),B132=Dashboard!$N$5),OR(OR(Dashboard!$Q$5="All",Dashboard!$Q$5=""),D132=Dashboard!$Q$5),OR(OR(Dashboard!$U$5="All",Dashboard!$U$5=""),E132=Dashboard!$U$5)),1,0))</f>
        <v>1</v>
      </c>
      <c r="N132" s="178">
        <f>IF(E132="",0,IF(AND(OR(OR(Dashboard!$E$5="All",Dashboard!$E$5=""),AG132=Dashboard!$E$5),OR(OR(Dashboard!$B$5="All",Dashboard!$B$5=""),C132=Dashboard!$B$5),OR(OR(Dashboard!$K$5="All",Dashboard!$K$5=""),A132=Dashboard!$K$5),OR(OR(Dashboard!$N$5="All",Dashboard!$N$5=""),B132=Dashboard!$N$5),OR(OR(Dashboard!$Q$5="All",Dashboard!$Q$5=""),D132=Dashboard!$Q$5),OR(OR(Dashboard!$U$5="All",Dashboard!$U$5=""),E132=Dashboard!$U$5)),1,0))</f>
        <v>1</v>
      </c>
      <c r="O132" s="165">
        <f t="shared" si="20"/>
        <v>64</v>
      </c>
      <c r="AG132" s="178" t="str">
        <f>IF(E132="","",IFERROR(IF(INDEX('Item Purchases'!$AM$4:$AM$30,MATCH(E132,'Item Purchases'!$B$4:$B$30,0))="","Uncategorised",INDEX('Item Purchases'!$AM$4:$AM$30,MATCH(E132,'Item Purchases'!$B$4:$B$30,0))),"Uncategorised"))</f>
        <v>Beverages</v>
      </c>
      <c r="AH132" s="165">
        <f>IF(AND(E132&lt;&gt;"",L132=1),COUNTIFS($E$2:E132,E132,$L$2:L132,1),0)</f>
        <v>5</v>
      </c>
      <c r="AI132" s="165">
        <f t="shared" si="21"/>
        <v>8</v>
      </c>
      <c r="AJ132" s="165">
        <f t="shared" si="22"/>
        <v>1</v>
      </c>
    </row>
    <row r="133" spans="1:36" x14ac:dyDescent="0.25">
      <c r="A133" s="177">
        <f t="shared" si="16"/>
        <v>46272</v>
      </c>
      <c r="B133" s="178" t="str">
        <f t="shared" si="17"/>
        <v>Mon</v>
      </c>
      <c r="C133" s="178" t="str">
        <f>'Pantry Inventory'!$A$2</f>
        <v>Sep Week 1</v>
      </c>
      <c r="D133" s="178" t="str">
        <f>IF('Pantry Inventory'!A28="","",'Pantry Inventory'!A28)</f>
        <v>Spritzer</v>
      </c>
      <c r="E133" s="178" t="str">
        <f>IF('Pantry Inventory'!B28="","",'Pantry Inventory'!B28)</f>
        <v>Spritzer sparkling water (original) 400ml</v>
      </c>
      <c r="F133" s="178" t="str">
        <f>IF(E133="","",IFERROR(IF(INDEX('Item Purchases'!$S$4:$S$30,MATCH(E133,'Item Purchases'!$B$4:$B$30,0))="","Uncategorised",INDEX('Item Purchases'!$S$4:$S$30,MATCH(E133,'Item Purchases'!$B$4:$B$30,0))),"Uncategorised"))</f>
        <v>Other</v>
      </c>
      <c r="G133" s="178">
        <f>IF(E133="",0,'Pantry Inventory'!P28)</f>
        <v>48</v>
      </c>
      <c r="H133" s="178">
        <f>IF(E133="","",IF('Pantry Inventory'!Q28="","",'Pantry Inventory'!Q28))</f>
        <v>48</v>
      </c>
      <c r="I133" s="178">
        <f>IF(H133="","",'Pantry Inventory'!R28)</f>
        <v>17</v>
      </c>
      <c r="J133" s="179">
        <f>IF(E133="",0,IFERROR(INDEX('Item Purchases'!$Q$4:$Q$30,MATCH(E133,'Item Purchases'!$B$4:$B$30,0)),0))</f>
        <v>1.616666666666666</v>
      </c>
      <c r="K133" s="180">
        <f t="shared" si="18"/>
        <v>27.483333333333324</v>
      </c>
      <c r="L133" s="178">
        <f t="shared" si="19"/>
        <v>1</v>
      </c>
      <c r="M133" s="178">
        <f>IF(E133="",0,IF(AND(OR(OR(Dashboard!$E$5="All",Dashboard!$E$5=""),AG133=Dashboard!$E$5),OR(OR(Dashboard!$H$5="All",Dashboard!$H$5=""),F133=Dashboard!$H$5),OR(OR(Dashboard!$B$5="All",Dashboard!$B$5=""),C133=Dashboard!$B$5),OR(OR(Dashboard!$K$5="All",Dashboard!$K$5=""),A133=Dashboard!$K$5),OR(OR(Dashboard!$N$5="All",Dashboard!$N$5=""),B133=Dashboard!$N$5),OR(OR(Dashboard!$Q$5="All",Dashboard!$Q$5=""),D133=Dashboard!$Q$5),OR(OR(Dashboard!$U$5="All",Dashboard!$U$5=""),E133=Dashboard!$U$5)),1,0))</f>
        <v>1</v>
      </c>
      <c r="N133" s="178">
        <f>IF(E133="",0,IF(AND(OR(OR(Dashboard!$E$5="All",Dashboard!$E$5=""),AG133=Dashboard!$E$5),OR(OR(Dashboard!$B$5="All",Dashboard!$B$5=""),C133=Dashboard!$B$5),OR(OR(Dashboard!$K$5="All",Dashboard!$K$5=""),A133=Dashboard!$K$5),OR(OR(Dashboard!$N$5="All",Dashboard!$N$5=""),B133=Dashboard!$N$5),OR(OR(Dashboard!$Q$5="All",Dashboard!$Q$5=""),D133=Dashboard!$Q$5),OR(OR(Dashboard!$U$5="All",Dashboard!$U$5=""),E133=Dashboard!$U$5)),1,0))</f>
        <v>1</v>
      </c>
      <c r="O133" s="165">
        <f t="shared" si="20"/>
        <v>289</v>
      </c>
      <c r="AG133" s="178" t="str">
        <f>IF(E133="","",IFERROR(IF(INDEX('Item Purchases'!$AM$4:$AM$30,MATCH(E133,'Item Purchases'!$B$4:$B$30,0))="","Uncategorised",INDEX('Item Purchases'!$AM$4:$AM$30,MATCH(E133,'Item Purchases'!$B$4:$B$30,0))),"Uncategorised"))</f>
        <v>Beverages</v>
      </c>
      <c r="AH133" s="165">
        <f>IF(AND(E133&lt;&gt;"",L133=1),COUNTIFS($E$2:E133,E133,$L$2:L133,1),0)</f>
        <v>5</v>
      </c>
      <c r="AI133" s="165">
        <f t="shared" si="21"/>
        <v>17</v>
      </c>
      <c r="AJ133" s="165">
        <f t="shared" si="22"/>
        <v>1</v>
      </c>
    </row>
    <row r="134" spans="1:36" x14ac:dyDescent="0.25">
      <c r="A134" s="177">
        <f t="shared" si="16"/>
        <v>46272</v>
      </c>
      <c r="B134" s="178" t="str">
        <f t="shared" si="17"/>
        <v>Mon</v>
      </c>
      <c r="C134" s="178" t="str">
        <f>'Pantry Inventory'!$A$2</f>
        <v>Sep Week 1</v>
      </c>
      <c r="D134" s="178" t="str">
        <f>IF('Pantry Inventory'!A29="","",'Pantry Inventory'!A29)</f>
        <v>Oat Side</v>
      </c>
      <c r="E134" s="178" t="str">
        <f>IF('Pantry Inventory'!B29="","",'Pantry Inventory'!B29)</f>
        <v>Oat Side Original 200ml</v>
      </c>
      <c r="F134" s="178" t="str">
        <f>IF(E134="","",IFERROR(IF(INDEX('Item Purchases'!$S$4:$S$30,MATCH(E134,'Item Purchases'!$B$4:$B$30,0))="","Uncategorised",INDEX('Item Purchases'!$S$4:$S$30,MATCH(E134,'Item Purchases'!$B$4:$B$30,0))),"Uncategorised"))</f>
        <v>Other</v>
      </c>
      <c r="G134" s="178">
        <f>IF(E134="",0,'Pantry Inventory'!P29)</f>
        <v>48</v>
      </c>
      <c r="H134" s="178">
        <f>IF(E134="","",IF('Pantry Inventory'!Q29="","",'Pantry Inventory'!Q29))</f>
        <v>48</v>
      </c>
      <c r="I134" s="178">
        <f>IF(H134="","",'Pantry Inventory'!R29)</f>
        <v>15</v>
      </c>
      <c r="J134" s="179">
        <f>IF(E134="",0,IFERROR(INDEX('Item Purchases'!$Q$4:$Q$30,MATCH(E134,'Item Purchases'!$B$4:$B$30,0)),0))</f>
        <v>3</v>
      </c>
      <c r="K134" s="180">
        <f t="shared" si="18"/>
        <v>45</v>
      </c>
      <c r="L134" s="178">
        <f t="shared" si="19"/>
        <v>1</v>
      </c>
      <c r="M134" s="178">
        <f>IF(E134="",0,IF(AND(OR(OR(Dashboard!$E$5="All",Dashboard!$E$5=""),AG134=Dashboard!$E$5),OR(OR(Dashboard!$H$5="All",Dashboard!$H$5=""),F134=Dashboard!$H$5),OR(OR(Dashboard!$B$5="All",Dashboard!$B$5=""),C134=Dashboard!$B$5),OR(OR(Dashboard!$K$5="All",Dashboard!$K$5=""),A134=Dashboard!$K$5),OR(OR(Dashboard!$N$5="All",Dashboard!$N$5=""),B134=Dashboard!$N$5),OR(OR(Dashboard!$Q$5="All",Dashboard!$Q$5=""),D134=Dashboard!$Q$5),OR(OR(Dashboard!$U$5="All",Dashboard!$U$5=""),E134=Dashboard!$U$5)),1,0))</f>
        <v>1</v>
      </c>
      <c r="N134" s="178">
        <f>IF(E134="",0,IF(AND(OR(OR(Dashboard!$E$5="All",Dashboard!$E$5=""),AG134=Dashboard!$E$5),OR(OR(Dashboard!$B$5="All",Dashboard!$B$5=""),C134=Dashboard!$B$5),OR(OR(Dashboard!$K$5="All",Dashboard!$K$5=""),A134=Dashboard!$K$5),OR(OR(Dashboard!$N$5="All",Dashboard!$N$5=""),B134=Dashboard!$N$5),OR(OR(Dashboard!$Q$5="All",Dashboard!$Q$5=""),D134=Dashboard!$Q$5),OR(OR(Dashboard!$U$5="All",Dashboard!$U$5=""),E134=Dashboard!$U$5)),1,0))</f>
        <v>1</v>
      </c>
      <c r="O134" s="165">
        <f t="shared" si="20"/>
        <v>225</v>
      </c>
      <c r="AG134" s="178" t="str">
        <f>IF(E134="","",IFERROR(IF(INDEX('Item Purchases'!$AM$4:$AM$30,MATCH(E134,'Item Purchases'!$B$4:$B$30,0))="","Uncategorised",INDEX('Item Purchases'!$AM$4:$AM$30,MATCH(E134,'Item Purchases'!$B$4:$B$30,0))),"Uncategorised"))</f>
        <v>Beverages</v>
      </c>
      <c r="AH134" s="165">
        <f>IF(AND(E134&lt;&gt;"",L134=1),COUNTIFS($E$2:E134,E134,$L$2:L134,1),0)</f>
        <v>5</v>
      </c>
      <c r="AI134" s="165">
        <f t="shared" si="21"/>
        <v>15</v>
      </c>
      <c r="AJ134" s="165">
        <f t="shared" si="22"/>
        <v>1</v>
      </c>
    </row>
    <row r="135" spans="1:36" x14ac:dyDescent="0.25">
      <c r="A135" s="177">
        <f t="shared" si="16"/>
        <v>46272</v>
      </c>
      <c r="B135" s="178" t="str">
        <f t="shared" si="17"/>
        <v>Mon</v>
      </c>
      <c r="C135" s="178" t="str">
        <f>'Pantry Inventory'!$A$2</f>
        <v>Sep Week 1</v>
      </c>
      <c r="D135" s="178" t="str">
        <f>IF('Pantry Inventory'!A30="","",'Pantry Inventory'!A30)</f>
        <v>Oat Side</v>
      </c>
      <c r="E135" s="178" t="str">
        <f>IF('Pantry Inventory'!B30="","",'Pantry Inventory'!B30)</f>
        <v>Oat Side Chocolate 200ml</v>
      </c>
      <c r="F135" s="178" t="str">
        <f>IF(E135="","",IFERROR(IF(INDEX('Item Purchases'!$S$4:$S$30,MATCH(E135,'Item Purchases'!$B$4:$B$30,0))="","Uncategorised",INDEX('Item Purchases'!$S$4:$S$30,MATCH(E135,'Item Purchases'!$B$4:$B$30,0))),"Uncategorised"))</f>
        <v>Other</v>
      </c>
      <c r="G135" s="178">
        <f>IF(E135="",0,'Pantry Inventory'!P30)</f>
        <v>0</v>
      </c>
      <c r="H135" s="178">
        <f>IF(E135="","",IF('Pantry Inventory'!Q30="","",'Pantry Inventory'!Q30))</f>
        <v>0</v>
      </c>
      <c r="I135" s="178">
        <f>IF(H135="","",'Pantry Inventory'!R30)</f>
        <v>3</v>
      </c>
      <c r="J135" s="179">
        <f>IF(E135="",0,IFERROR(INDEX('Item Purchases'!$Q$4:$Q$30,MATCH(E135,'Item Purchases'!$B$4:$B$30,0)),0))</f>
        <v>3</v>
      </c>
      <c r="K135" s="180">
        <f t="shared" si="18"/>
        <v>9</v>
      </c>
      <c r="L135" s="178">
        <f t="shared" si="19"/>
        <v>1</v>
      </c>
      <c r="M135" s="178">
        <f>IF(E135="",0,IF(AND(OR(OR(Dashboard!$E$5="All",Dashboard!$E$5=""),AG135=Dashboard!$E$5),OR(OR(Dashboard!$H$5="All",Dashboard!$H$5=""),F135=Dashboard!$H$5),OR(OR(Dashboard!$B$5="All",Dashboard!$B$5=""),C135=Dashboard!$B$5),OR(OR(Dashboard!$K$5="All",Dashboard!$K$5=""),A135=Dashboard!$K$5),OR(OR(Dashboard!$N$5="All",Dashboard!$N$5=""),B135=Dashboard!$N$5),OR(OR(Dashboard!$Q$5="All",Dashboard!$Q$5=""),D135=Dashboard!$Q$5),OR(OR(Dashboard!$U$5="All",Dashboard!$U$5=""),E135=Dashboard!$U$5)),1,0))</f>
        <v>1</v>
      </c>
      <c r="N135" s="178">
        <f>IF(E135="",0,IF(AND(OR(OR(Dashboard!$E$5="All",Dashboard!$E$5=""),AG135=Dashboard!$E$5),OR(OR(Dashboard!$B$5="All",Dashboard!$B$5=""),C135=Dashboard!$B$5),OR(OR(Dashboard!$K$5="All",Dashboard!$K$5=""),A135=Dashboard!$K$5),OR(OR(Dashboard!$N$5="All",Dashboard!$N$5=""),B135=Dashboard!$N$5),OR(OR(Dashboard!$Q$5="All",Dashboard!$Q$5=""),D135=Dashboard!$Q$5),OR(OR(Dashboard!$U$5="All",Dashboard!$U$5=""),E135=Dashboard!$U$5)),1,0))</f>
        <v>1</v>
      </c>
      <c r="O135" s="165">
        <f t="shared" si="20"/>
        <v>0</v>
      </c>
      <c r="AG135" s="178" t="str">
        <f>IF(E135="","",IFERROR(IF(INDEX('Item Purchases'!$AM$4:$AM$30,MATCH(E135,'Item Purchases'!$B$4:$B$30,0))="","Uncategorised",INDEX('Item Purchases'!$AM$4:$AM$30,MATCH(E135,'Item Purchases'!$B$4:$B$30,0))),"Uncategorised"))</f>
        <v>Beverages</v>
      </c>
      <c r="AH135" s="165">
        <f>IF(AND(E135&lt;&gt;"",L135=1),COUNTIFS($E$2:E135,E135,$L$2:L135,1),0)</f>
        <v>5</v>
      </c>
      <c r="AI135" s="165">
        <f t="shared" si="21"/>
        <v>3</v>
      </c>
      <c r="AJ135" s="165">
        <f t="shared" si="22"/>
        <v>0</v>
      </c>
    </row>
    <row r="136" spans="1:36" x14ac:dyDescent="0.25">
      <c r="A136" s="177">
        <f t="shared" si="16"/>
        <v>46272</v>
      </c>
      <c r="B136" s="178" t="str">
        <f t="shared" si="17"/>
        <v>Mon</v>
      </c>
      <c r="C136" s="178" t="str">
        <f>'Pantry Inventory'!$A$2</f>
        <v>Sep Week 1</v>
      </c>
      <c r="D136" s="178" t="str">
        <f>IF('Pantry Inventory'!A31="","",'Pantry Inventory'!A31)</f>
        <v/>
      </c>
      <c r="E136" s="178" t="str">
        <f>IF('Pantry Inventory'!B31="","",'Pantry Inventory'!B31)</f>
        <v/>
      </c>
      <c r="F136" s="178" t="str">
        <f>IF(E136="","",IFERROR(IF(INDEX('Item Purchases'!$S$4:$S$30,MATCH(E136,'Item Purchases'!$B$4:$B$30,0))="","Uncategorised",INDEX('Item Purchases'!$S$4:$S$30,MATCH(E136,'Item Purchases'!$B$4:$B$30,0))),"Uncategorised"))</f>
        <v/>
      </c>
      <c r="G136" s="178">
        <f>IF(E136="",0,'Pantry Inventory'!P31)</f>
        <v>0</v>
      </c>
      <c r="H136" s="178" t="str">
        <f>IF(E136="","",IF('Pantry Inventory'!Q31="","",'Pantry Inventory'!Q31))</f>
        <v/>
      </c>
      <c r="I136" s="178" t="str">
        <f>IF(H136="","",'Pantry Inventory'!R31)</f>
        <v/>
      </c>
      <c r="J136" s="179">
        <f>IF(E136="",0,IFERROR(INDEX('Item Purchases'!$Q$4:$Q$30,MATCH(E136,'Item Purchases'!$B$4:$B$30,0)),0))</f>
        <v>0</v>
      </c>
      <c r="K136" s="180" t="str">
        <f t="shared" si="18"/>
        <v/>
      </c>
      <c r="L136" s="178">
        <f t="shared" si="19"/>
        <v>0</v>
      </c>
      <c r="M136" s="178">
        <f>IF(E136="",0,IF(AND(OR(OR(Dashboard!$E$5="All",Dashboard!$E$5=""),AG136=Dashboard!$E$5),OR(OR(Dashboard!$H$5="All",Dashboard!$H$5=""),F136=Dashboard!$H$5),OR(OR(Dashboard!$B$5="All",Dashboard!$B$5=""),C136=Dashboard!$B$5),OR(OR(Dashboard!$K$5="All",Dashboard!$K$5=""),A136=Dashboard!$K$5),OR(OR(Dashboard!$N$5="All",Dashboard!$N$5=""),B136=Dashboard!$N$5),OR(OR(Dashboard!$Q$5="All",Dashboard!$Q$5=""),D136=Dashboard!$Q$5),OR(OR(Dashboard!$U$5="All",Dashboard!$U$5=""),E136=Dashboard!$U$5)),1,0))</f>
        <v>0</v>
      </c>
      <c r="N136" s="178">
        <f>IF(E136="",0,IF(AND(OR(OR(Dashboard!$E$5="All",Dashboard!$E$5=""),AG136=Dashboard!$E$5),OR(OR(Dashboard!$B$5="All",Dashboard!$B$5=""),C136=Dashboard!$B$5),OR(OR(Dashboard!$K$5="All",Dashboard!$K$5=""),A136=Dashboard!$K$5),OR(OR(Dashboard!$N$5="All",Dashboard!$N$5=""),B136=Dashboard!$N$5),OR(OR(Dashboard!$Q$5="All",Dashboard!$Q$5=""),D136=Dashboard!$Q$5),OR(OR(Dashboard!$U$5="All",Dashboard!$U$5=""),E136=Dashboard!$U$5)),1,0))</f>
        <v>0</v>
      </c>
      <c r="O136" s="165">
        <f t="shared" si="20"/>
        <v>0</v>
      </c>
      <c r="AG136" s="178" t="str">
        <f>IF(E136="","",IFERROR(IF(INDEX('Item Purchases'!$AM$4:$AM$30,MATCH(E136,'Item Purchases'!$B$4:$B$30,0))="","Uncategorised",INDEX('Item Purchases'!$AM$4:$AM$30,MATCH(E136,'Item Purchases'!$B$4:$B$30,0))),"Uncategorised"))</f>
        <v/>
      </c>
      <c r="AH136" s="165">
        <f>IF(AND(E136&lt;&gt;"",L136=1),COUNTIFS($E$2:E136,E136,$L$2:L136,1),0)</f>
        <v>0</v>
      </c>
      <c r="AI136" s="165">
        <f t="shared" si="21"/>
        <v>0</v>
      </c>
      <c r="AJ136" s="165">
        <f t="shared" si="22"/>
        <v>0</v>
      </c>
    </row>
    <row r="137" spans="1:36" x14ac:dyDescent="0.25">
      <c r="A137" s="177">
        <f t="shared" ref="A137:A163" si="23">IF($Z$7="",0,$Z$7)</f>
        <v>46273</v>
      </c>
      <c r="B137" s="178" t="str">
        <f t="shared" si="17"/>
        <v>Tue</v>
      </c>
      <c r="C137" s="178" t="str">
        <f>'Pantry Inventory'!$A$34</f>
        <v>Sep Week 2</v>
      </c>
      <c r="D137" s="178" t="str">
        <f>IF('Pantry Inventory'!A37="","",'Pantry Inventory'!A37)</f>
        <v>Julie's</v>
      </c>
      <c r="E137" s="178" t="str">
        <f>IF('Pantry Inventory'!B37="","",'Pantry Inventory'!B37)</f>
        <v>Julie's Peanut Butter Sandwich 360g (12pkts x 30g)</v>
      </c>
      <c r="F137" s="178" t="str">
        <f>IF(E137="","",IFERROR(IF(INDEX('Item Purchases'!$S$4:$S$30,MATCH(E137,'Item Purchases'!$B$4:$B$30,0))="","Uncategorised",INDEX('Item Purchases'!$S$4:$S$30,MATCH(E137,'Item Purchases'!$B$4:$B$30,0))),"Uncategorised"))</f>
        <v>Sweet</v>
      </c>
      <c r="G137" s="178">
        <f>IF(E137="",0,'Pantry Inventory'!D37)</f>
        <v>36</v>
      </c>
      <c r="H137" s="178">
        <f>IF(E137="","",IF('Pantry Inventory'!E37="","",'Pantry Inventory'!E37))</f>
        <v>44</v>
      </c>
      <c r="I137" s="178">
        <f>IF(H137="","",'Pantry Inventory'!F37)</f>
        <v>13</v>
      </c>
      <c r="J137" s="179">
        <f>IF(E137="",0,IFERROR(INDEX('Item Purchases'!$Q$4:$Q$30,MATCH(E137,'Item Purchases'!$B$4:$B$30,0)),0))</f>
        <v>1.083</v>
      </c>
      <c r="K137" s="180">
        <f t="shared" si="18"/>
        <v>14.078999999999999</v>
      </c>
      <c r="L137" s="178">
        <f t="shared" si="19"/>
        <v>1</v>
      </c>
      <c r="M137" s="178">
        <f>IF(E137="",0,IF(AND(OR(OR(Dashboard!$E$5="All",Dashboard!$E$5=""),AG137=Dashboard!$E$5),OR(OR(Dashboard!$H$5="All",Dashboard!$H$5=""),F137=Dashboard!$H$5),OR(OR(Dashboard!$B$5="All",Dashboard!$B$5=""),C137=Dashboard!$B$5),OR(OR(Dashboard!$K$5="All",Dashboard!$K$5=""),A137=Dashboard!$K$5),OR(OR(Dashboard!$N$5="All",Dashboard!$N$5=""),B137=Dashboard!$N$5),OR(OR(Dashboard!$Q$5="All",Dashboard!$Q$5=""),D137=Dashboard!$Q$5),OR(OR(Dashboard!$U$5="All",Dashboard!$U$5=""),E137=Dashboard!$U$5)),1,0))</f>
        <v>1</v>
      </c>
      <c r="N137" s="178">
        <f>IF(E137="",0,IF(AND(OR(OR(Dashboard!$E$5="All",Dashboard!$E$5=""),AG137=Dashboard!$E$5),OR(OR(Dashboard!$B$5="All",Dashboard!$B$5=""),C137=Dashboard!$B$5),OR(OR(Dashboard!$K$5="All",Dashboard!$K$5=""),A137=Dashboard!$K$5),OR(OR(Dashboard!$N$5="All",Dashboard!$N$5=""),B137=Dashboard!$N$5),OR(OR(Dashboard!$Q$5="All",Dashboard!$Q$5=""),D137=Dashboard!$Q$5),OR(OR(Dashboard!$U$5="All",Dashboard!$U$5=""),E137=Dashboard!$U$5)),1,0))</f>
        <v>1</v>
      </c>
      <c r="O137" s="165">
        <f t="shared" si="20"/>
        <v>169</v>
      </c>
      <c r="AG137" s="178" t="str">
        <f>IF(E137="","",IFERROR(IF(INDEX('Item Purchases'!$AM$4:$AM$30,MATCH(E137,'Item Purchases'!$B$4:$B$30,0))="","Uncategorised",INDEX('Item Purchases'!$AM$4:$AM$30,MATCH(E137,'Item Purchases'!$B$4:$B$30,0))),"Uncategorised"))</f>
        <v>Snacks</v>
      </c>
      <c r="AH137" s="165">
        <f>IF(AND(E137&lt;&gt;"",L137=1),COUNTIFS($E$2:E137,E137,$L$2:L137,1),0)</f>
        <v>6</v>
      </c>
      <c r="AI137" s="165">
        <f t="shared" si="21"/>
        <v>13</v>
      </c>
      <c r="AJ137" s="165">
        <f t="shared" si="22"/>
        <v>1</v>
      </c>
    </row>
    <row r="138" spans="1:36" x14ac:dyDescent="0.25">
      <c r="A138" s="177">
        <f t="shared" si="23"/>
        <v>46273</v>
      </c>
      <c r="B138" s="178" t="str">
        <f t="shared" si="17"/>
        <v>Tue</v>
      </c>
      <c r="C138" s="178" t="str">
        <f>'Pantry Inventory'!$A$34</f>
        <v>Sep Week 2</v>
      </c>
      <c r="D138" s="178" t="str">
        <f>IF('Pantry Inventory'!A38="","",'Pantry Inventory'!A38)</f>
        <v>Julie's</v>
      </c>
      <c r="E138" s="178" t="str">
        <f>IF('Pantry Inventory'!B38="","",'Pantry Inventory'!B38)</f>
        <v>Julies Butter Waffles</v>
      </c>
      <c r="F138" s="178" t="str">
        <f>IF(E138="","",IFERROR(IF(INDEX('Item Purchases'!$S$4:$S$30,MATCH(E138,'Item Purchases'!$B$4:$B$30,0))="","Uncategorised",INDEX('Item Purchases'!$S$4:$S$30,MATCH(E138,'Item Purchases'!$B$4:$B$30,0))),"Uncategorised"))</f>
        <v>Sweet</v>
      </c>
      <c r="G138" s="178">
        <f>IF(E138="",0,'Pantry Inventory'!D38)</f>
        <v>0</v>
      </c>
      <c r="H138" s="178">
        <f>IF(E138="","",IF('Pantry Inventory'!E38="","",'Pantry Inventory'!E38))</f>
        <v>5</v>
      </c>
      <c r="I138" s="178">
        <f>IF(H138="","",'Pantry Inventory'!F38)</f>
        <v>2</v>
      </c>
      <c r="J138" s="179">
        <f>IF(E138="",0,IFERROR(INDEX('Item Purchases'!$Q$4:$Q$30,MATCH(E138,'Item Purchases'!$B$4:$B$30,0)),0))</f>
        <v>5.15</v>
      </c>
      <c r="K138" s="180">
        <f t="shared" si="18"/>
        <v>10.3</v>
      </c>
      <c r="L138" s="178">
        <f t="shared" si="19"/>
        <v>1</v>
      </c>
      <c r="M138" s="178">
        <f>IF(E138="",0,IF(AND(OR(OR(Dashboard!$E$5="All",Dashboard!$E$5=""),AG138=Dashboard!$E$5),OR(OR(Dashboard!$H$5="All",Dashboard!$H$5=""),F138=Dashboard!$H$5),OR(OR(Dashboard!$B$5="All",Dashboard!$B$5=""),C138=Dashboard!$B$5),OR(OR(Dashboard!$K$5="All",Dashboard!$K$5=""),A138=Dashboard!$K$5),OR(OR(Dashboard!$N$5="All",Dashboard!$N$5=""),B138=Dashboard!$N$5),OR(OR(Dashboard!$Q$5="All",Dashboard!$Q$5=""),D138=Dashboard!$Q$5),OR(OR(Dashboard!$U$5="All",Dashboard!$U$5=""),E138=Dashboard!$U$5)),1,0))</f>
        <v>1</v>
      </c>
      <c r="N138" s="178">
        <f>IF(E138="",0,IF(AND(OR(OR(Dashboard!$E$5="All",Dashboard!$E$5=""),AG138=Dashboard!$E$5),OR(OR(Dashboard!$B$5="All",Dashboard!$B$5=""),C138=Dashboard!$B$5),OR(OR(Dashboard!$K$5="All",Dashboard!$K$5=""),A138=Dashboard!$K$5),OR(OR(Dashboard!$N$5="All",Dashboard!$N$5=""),B138=Dashboard!$N$5),OR(OR(Dashboard!$Q$5="All",Dashboard!$Q$5=""),D138=Dashboard!$Q$5),OR(OR(Dashboard!$U$5="All",Dashboard!$U$5=""),E138=Dashboard!$U$5)),1,0))</f>
        <v>1</v>
      </c>
      <c r="O138" s="165">
        <f t="shared" si="20"/>
        <v>4</v>
      </c>
      <c r="AG138" s="178" t="str">
        <f>IF(E138="","",IFERROR(IF(INDEX('Item Purchases'!$AM$4:$AM$30,MATCH(E138,'Item Purchases'!$B$4:$B$30,0))="","Uncategorised",INDEX('Item Purchases'!$AM$4:$AM$30,MATCH(E138,'Item Purchases'!$B$4:$B$30,0))),"Uncategorised"))</f>
        <v>Snacks</v>
      </c>
      <c r="AH138" s="165">
        <f>IF(AND(E138&lt;&gt;"",L138=1),COUNTIFS($E$2:E138,E138,$L$2:L138,1),0)</f>
        <v>6</v>
      </c>
      <c r="AI138" s="165">
        <f t="shared" si="21"/>
        <v>2</v>
      </c>
      <c r="AJ138" s="165">
        <f t="shared" si="22"/>
        <v>1</v>
      </c>
    </row>
    <row r="139" spans="1:36" x14ac:dyDescent="0.25">
      <c r="A139" s="177">
        <f t="shared" si="23"/>
        <v>46273</v>
      </c>
      <c r="B139" s="178" t="str">
        <f t="shared" si="17"/>
        <v>Tue</v>
      </c>
      <c r="C139" s="178" t="str">
        <f>'Pantry Inventory'!$A$34</f>
        <v>Sep Week 2</v>
      </c>
      <c r="D139" s="178" t="str">
        <f>IF('Pantry Inventory'!A39="","",'Pantry Inventory'!A39)</f>
        <v>Julie's</v>
      </c>
      <c r="E139" s="178" t="str">
        <f>IF('Pantry Inventory'!B39="","",'Pantry Inventory'!B39)</f>
        <v>Julies Choco More Sandwich (44G)</v>
      </c>
      <c r="F139" s="178" t="str">
        <f>IF(E139="","",IFERROR(IF(INDEX('Item Purchases'!$S$4:$S$30,MATCH(E139,'Item Purchases'!$B$4:$B$30,0))="","Uncategorised",INDEX('Item Purchases'!$S$4:$S$30,MATCH(E139,'Item Purchases'!$B$4:$B$30,0))),"Uncategorised"))</f>
        <v>Sweet</v>
      </c>
      <c r="G139" s="178">
        <f>IF(E139="",0,'Pantry Inventory'!D39)</f>
        <v>0</v>
      </c>
      <c r="H139" s="178">
        <f>IF(E139="","",IF('Pantry Inventory'!E39="","",'Pantry Inventory'!E39))</f>
        <v>0</v>
      </c>
      <c r="I139" s="178">
        <f>IF(H139="","",'Pantry Inventory'!F39)</f>
        <v>0</v>
      </c>
      <c r="J139" s="179">
        <f>IF(E139="",0,IFERROR(INDEX('Item Purchases'!$Q$4:$Q$30,MATCH(E139,'Item Purchases'!$B$4:$B$30,0)),0))</f>
        <v>1.2</v>
      </c>
      <c r="K139" s="180">
        <f t="shared" si="18"/>
        <v>0</v>
      </c>
      <c r="L139" s="178">
        <f t="shared" si="19"/>
        <v>1</v>
      </c>
      <c r="M139" s="178">
        <f>IF(E139="",0,IF(AND(OR(OR(Dashboard!$E$5="All",Dashboard!$E$5=""),AG139=Dashboard!$E$5),OR(OR(Dashboard!$H$5="All",Dashboard!$H$5=""),F139=Dashboard!$H$5),OR(OR(Dashboard!$B$5="All",Dashboard!$B$5=""),C139=Dashboard!$B$5),OR(OR(Dashboard!$K$5="All",Dashboard!$K$5=""),A139=Dashboard!$K$5),OR(OR(Dashboard!$N$5="All",Dashboard!$N$5=""),B139=Dashboard!$N$5),OR(OR(Dashboard!$Q$5="All",Dashboard!$Q$5=""),D139=Dashboard!$Q$5),OR(OR(Dashboard!$U$5="All",Dashboard!$U$5=""),E139=Dashboard!$U$5)),1,0))</f>
        <v>1</v>
      </c>
      <c r="N139" s="178">
        <f>IF(E139="",0,IF(AND(OR(OR(Dashboard!$E$5="All",Dashboard!$E$5=""),AG139=Dashboard!$E$5),OR(OR(Dashboard!$B$5="All",Dashboard!$B$5=""),C139=Dashboard!$B$5),OR(OR(Dashboard!$K$5="All",Dashboard!$K$5=""),A139=Dashboard!$K$5),OR(OR(Dashboard!$N$5="All",Dashboard!$N$5=""),B139=Dashboard!$N$5),OR(OR(Dashboard!$Q$5="All",Dashboard!$Q$5=""),D139=Dashboard!$Q$5),OR(OR(Dashboard!$U$5="All",Dashboard!$U$5=""),E139=Dashboard!$U$5)),1,0))</f>
        <v>1</v>
      </c>
      <c r="O139" s="165">
        <f t="shared" si="20"/>
        <v>0</v>
      </c>
      <c r="AG139" s="178" t="str">
        <f>IF(E139="","",IFERROR(IF(INDEX('Item Purchases'!$AM$4:$AM$30,MATCH(E139,'Item Purchases'!$B$4:$B$30,0))="","Uncategorised",INDEX('Item Purchases'!$AM$4:$AM$30,MATCH(E139,'Item Purchases'!$B$4:$B$30,0))),"Uncategorised"))</f>
        <v>Snacks</v>
      </c>
      <c r="AH139" s="165">
        <f>IF(AND(E139&lt;&gt;"",L139=1),COUNTIFS($E$2:E139,E139,$L$2:L139,1),0)</f>
        <v>6</v>
      </c>
      <c r="AI139" s="165">
        <f t="shared" si="21"/>
        <v>0</v>
      </c>
      <c r="AJ139" s="165">
        <f t="shared" si="22"/>
        <v>0</v>
      </c>
    </row>
    <row r="140" spans="1:36" x14ac:dyDescent="0.25">
      <c r="A140" s="177">
        <f t="shared" si="23"/>
        <v>46273</v>
      </c>
      <c r="B140" s="178" t="str">
        <f t="shared" si="17"/>
        <v>Tue</v>
      </c>
      <c r="C140" s="178" t="str">
        <f>'Pantry Inventory'!$A$34</f>
        <v>Sep Week 2</v>
      </c>
      <c r="D140" s="178" t="str">
        <f>IF('Pantry Inventory'!A40="","",'Pantry Inventory'!A40)</f>
        <v>Julie's</v>
      </c>
      <c r="E140" s="178" t="str">
        <f>IF('Pantry Inventory'!B40="","",'Pantry Inventory'!B40)</f>
        <v>Julies Cheese Sandwich (28G)</v>
      </c>
      <c r="F140" s="178" t="str">
        <f>IF(E140="","",IFERROR(IF(INDEX('Item Purchases'!$S$4:$S$30,MATCH(E140,'Item Purchases'!$B$4:$B$30,0))="","Uncategorised",INDEX('Item Purchases'!$S$4:$S$30,MATCH(E140,'Item Purchases'!$B$4:$B$30,0))),"Uncategorised"))</f>
        <v>Savoury</v>
      </c>
      <c r="G140" s="178">
        <f>IF(E140="",0,'Pantry Inventory'!D40)</f>
        <v>36</v>
      </c>
      <c r="H140" s="178">
        <f>IF(E140="","",IF('Pantry Inventory'!E40="","",'Pantry Inventory'!E40))</f>
        <v>47</v>
      </c>
      <c r="I140" s="178">
        <f>IF(H140="","",'Pantry Inventory'!F40)</f>
        <v>7</v>
      </c>
      <c r="J140" s="179">
        <f>IF(E140="",0,IFERROR(INDEX('Item Purchases'!$Q$4:$Q$30,MATCH(E140,'Item Purchases'!$B$4:$B$30,0)),0))</f>
        <v>1.1000000000000001</v>
      </c>
      <c r="K140" s="180">
        <f t="shared" si="18"/>
        <v>7.7000000000000011</v>
      </c>
      <c r="L140" s="178">
        <f t="shared" si="19"/>
        <v>1</v>
      </c>
      <c r="M140" s="178">
        <f>IF(E140="",0,IF(AND(OR(OR(Dashboard!$E$5="All",Dashboard!$E$5=""),AG140=Dashboard!$E$5),OR(OR(Dashboard!$H$5="All",Dashboard!$H$5=""),F140=Dashboard!$H$5),OR(OR(Dashboard!$B$5="All",Dashboard!$B$5=""),C140=Dashboard!$B$5),OR(OR(Dashboard!$K$5="All",Dashboard!$K$5=""),A140=Dashboard!$K$5),OR(OR(Dashboard!$N$5="All",Dashboard!$N$5=""),B140=Dashboard!$N$5),OR(OR(Dashboard!$Q$5="All",Dashboard!$Q$5=""),D140=Dashboard!$Q$5),OR(OR(Dashboard!$U$5="All",Dashboard!$U$5=""),E140=Dashboard!$U$5)),1,0))</f>
        <v>1</v>
      </c>
      <c r="N140" s="178">
        <f>IF(E140="",0,IF(AND(OR(OR(Dashboard!$E$5="All",Dashboard!$E$5=""),AG140=Dashboard!$E$5),OR(OR(Dashboard!$B$5="All",Dashboard!$B$5=""),C140=Dashboard!$B$5),OR(OR(Dashboard!$K$5="All",Dashboard!$K$5=""),A140=Dashboard!$K$5),OR(OR(Dashboard!$N$5="All",Dashboard!$N$5=""),B140=Dashboard!$N$5),OR(OR(Dashboard!$Q$5="All",Dashboard!$Q$5=""),D140=Dashboard!$Q$5),OR(OR(Dashboard!$U$5="All",Dashboard!$U$5=""),E140=Dashboard!$U$5)),1,0))</f>
        <v>1</v>
      </c>
      <c r="O140" s="165">
        <f t="shared" si="20"/>
        <v>49</v>
      </c>
      <c r="AG140" s="178" t="str">
        <f>IF(E140="","",IFERROR(IF(INDEX('Item Purchases'!$AM$4:$AM$30,MATCH(E140,'Item Purchases'!$B$4:$B$30,0))="","Uncategorised",INDEX('Item Purchases'!$AM$4:$AM$30,MATCH(E140,'Item Purchases'!$B$4:$B$30,0))),"Uncategorised"))</f>
        <v>Snacks</v>
      </c>
      <c r="AH140" s="165">
        <f>IF(AND(E140&lt;&gt;"",L140=1),COUNTIFS($E$2:E140,E140,$L$2:L140,1),0)</f>
        <v>6</v>
      </c>
      <c r="AI140" s="165">
        <f t="shared" si="21"/>
        <v>7</v>
      </c>
      <c r="AJ140" s="165">
        <f t="shared" si="22"/>
        <v>1</v>
      </c>
    </row>
    <row r="141" spans="1:36" x14ac:dyDescent="0.25">
      <c r="A141" s="177">
        <f t="shared" si="23"/>
        <v>46273</v>
      </c>
      <c r="B141" s="178" t="str">
        <f t="shared" si="17"/>
        <v>Tue</v>
      </c>
      <c r="C141" s="178" t="str">
        <f>'Pantry Inventory'!$A$34</f>
        <v>Sep Week 2</v>
      </c>
      <c r="D141" s="178" t="str">
        <f>IF('Pantry Inventory'!A41="","",'Pantry Inventory'!A41)</f>
        <v>Nature Valley</v>
      </c>
      <c r="E141" s="178" t="str">
        <f>IF('Pantry Inventory'!B41="","",'Pantry Inventory'!B41)</f>
        <v>NV OATS &amp; DARK CHOC 42GX5</v>
      </c>
      <c r="F141" s="178" t="str">
        <f>IF(E141="","",IFERROR(IF(INDEX('Item Purchases'!$S$4:$S$30,MATCH(E141,'Item Purchases'!$B$4:$B$30,0))="","Uncategorised",INDEX('Item Purchases'!$S$4:$S$30,MATCH(E141,'Item Purchases'!$B$4:$B$30,0))),"Uncategorised"))</f>
        <v>Sweet</v>
      </c>
      <c r="G141" s="178">
        <f>IF(E141="",0,'Pantry Inventory'!D41)</f>
        <v>0</v>
      </c>
      <c r="H141" s="178">
        <f>IF(E141="","",IF('Pantry Inventory'!E41="","",'Pantry Inventory'!E41))</f>
        <v>0</v>
      </c>
      <c r="I141" s="178">
        <f>IF(H141="","",'Pantry Inventory'!F41)</f>
        <v>0</v>
      </c>
      <c r="J141" s="179">
        <f>IF(E141="",0,IFERROR(INDEX('Item Purchases'!$Q$4:$Q$30,MATCH(E141,'Item Purchases'!$B$4:$B$30,0)),0))</f>
        <v>2.78</v>
      </c>
      <c r="K141" s="180">
        <f t="shared" si="18"/>
        <v>0</v>
      </c>
      <c r="L141" s="178">
        <f t="shared" si="19"/>
        <v>1</v>
      </c>
      <c r="M141" s="178">
        <f>IF(E141="",0,IF(AND(OR(OR(Dashboard!$E$5="All",Dashboard!$E$5=""),AG141=Dashboard!$E$5),OR(OR(Dashboard!$H$5="All",Dashboard!$H$5=""),F141=Dashboard!$H$5),OR(OR(Dashboard!$B$5="All",Dashboard!$B$5=""),C141=Dashboard!$B$5),OR(OR(Dashboard!$K$5="All",Dashboard!$K$5=""),A141=Dashboard!$K$5),OR(OR(Dashboard!$N$5="All",Dashboard!$N$5=""),B141=Dashboard!$N$5),OR(OR(Dashboard!$Q$5="All",Dashboard!$Q$5=""),D141=Dashboard!$Q$5),OR(OR(Dashboard!$U$5="All",Dashboard!$U$5=""),E141=Dashboard!$U$5)),1,0))</f>
        <v>1</v>
      </c>
      <c r="N141" s="178">
        <f>IF(E141="",0,IF(AND(OR(OR(Dashboard!$E$5="All",Dashboard!$E$5=""),AG141=Dashboard!$E$5),OR(OR(Dashboard!$B$5="All",Dashboard!$B$5=""),C141=Dashboard!$B$5),OR(OR(Dashboard!$K$5="All",Dashboard!$K$5=""),A141=Dashboard!$K$5),OR(OR(Dashboard!$N$5="All",Dashboard!$N$5=""),B141=Dashboard!$N$5),OR(OR(Dashboard!$Q$5="All",Dashboard!$Q$5=""),D141=Dashboard!$Q$5),OR(OR(Dashboard!$U$5="All",Dashboard!$U$5=""),E141=Dashboard!$U$5)),1,0))</f>
        <v>1</v>
      </c>
      <c r="O141" s="165">
        <f t="shared" si="20"/>
        <v>0</v>
      </c>
      <c r="AG141" s="178" t="str">
        <f>IF(E141="","",IFERROR(IF(INDEX('Item Purchases'!$AM$4:$AM$30,MATCH(E141,'Item Purchases'!$B$4:$B$30,0))="","Uncategorised",INDEX('Item Purchases'!$AM$4:$AM$30,MATCH(E141,'Item Purchases'!$B$4:$B$30,0))),"Uncategorised"))</f>
        <v>Snacks</v>
      </c>
      <c r="AH141" s="165">
        <f>IF(AND(E141&lt;&gt;"",L141=1),COUNTIFS($E$2:E141,E141,$L$2:L141,1),0)</f>
        <v>6</v>
      </c>
      <c r="AI141" s="165">
        <f t="shared" si="21"/>
        <v>0</v>
      </c>
      <c r="AJ141" s="165">
        <f t="shared" si="22"/>
        <v>0</v>
      </c>
    </row>
    <row r="142" spans="1:36" x14ac:dyDescent="0.25">
      <c r="A142" s="177">
        <f t="shared" si="23"/>
        <v>46273</v>
      </c>
      <c r="B142" s="178" t="str">
        <f t="shared" si="17"/>
        <v>Tue</v>
      </c>
      <c r="C142" s="178" t="str">
        <f>'Pantry Inventory'!$A$34</f>
        <v>Sep Week 2</v>
      </c>
      <c r="D142" s="178" t="str">
        <f>IF('Pantry Inventory'!A42="","",'Pantry Inventory'!A42)</f>
        <v>Nature Valley</v>
      </c>
      <c r="E142" s="178" t="str">
        <f>IF('Pantry Inventory'!B42="","",'Pantry Inventory'!B42)</f>
        <v xml:space="preserve">NV PROTEIN - SALTED CARAMEL 40G </v>
      </c>
      <c r="F142" s="178" t="str">
        <f>IF(E142="","",IFERROR(IF(INDEX('Item Purchases'!$S$4:$S$30,MATCH(E142,'Item Purchases'!$B$4:$B$30,0))="","Uncategorised",INDEX('Item Purchases'!$S$4:$S$30,MATCH(E142,'Item Purchases'!$B$4:$B$30,0))),"Uncategorised"))</f>
        <v>Sweet</v>
      </c>
      <c r="G142" s="178">
        <f>IF(E142="",0,'Pantry Inventory'!D42)</f>
        <v>0</v>
      </c>
      <c r="H142" s="178">
        <f>IF(E142="","",IF('Pantry Inventory'!E42="","",'Pantry Inventory'!E42))</f>
        <v>0</v>
      </c>
      <c r="I142" s="178">
        <f>IF(H142="","",'Pantry Inventory'!F42)</f>
        <v>0</v>
      </c>
      <c r="J142" s="179">
        <f>IF(E142="",0,IFERROR(INDEX('Item Purchases'!$Q$4:$Q$30,MATCH(E142,'Item Purchases'!$B$4:$B$30,0)),0))</f>
        <v>4.9000000000000004</v>
      </c>
      <c r="K142" s="180">
        <f t="shared" si="18"/>
        <v>0</v>
      </c>
      <c r="L142" s="178">
        <f t="shared" si="19"/>
        <v>1</v>
      </c>
      <c r="M142" s="178">
        <f>IF(E142="",0,IF(AND(OR(OR(Dashboard!$E$5="All",Dashboard!$E$5=""),AG142=Dashboard!$E$5),OR(OR(Dashboard!$H$5="All",Dashboard!$H$5=""),F142=Dashboard!$H$5),OR(OR(Dashboard!$B$5="All",Dashboard!$B$5=""),C142=Dashboard!$B$5),OR(OR(Dashboard!$K$5="All",Dashboard!$K$5=""),A142=Dashboard!$K$5),OR(OR(Dashboard!$N$5="All",Dashboard!$N$5=""),B142=Dashboard!$N$5),OR(OR(Dashboard!$Q$5="All",Dashboard!$Q$5=""),D142=Dashboard!$Q$5),OR(OR(Dashboard!$U$5="All",Dashboard!$U$5=""),E142=Dashboard!$U$5)),1,0))</f>
        <v>1</v>
      </c>
      <c r="N142" s="178">
        <f>IF(E142="",0,IF(AND(OR(OR(Dashboard!$E$5="All",Dashboard!$E$5=""),AG142=Dashboard!$E$5),OR(OR(Dashboard!$B$5="All",Dashboard!$B$5=""),C142=Dashboard!$B$5),OR(OR(Dashboard!$K$5="All",Dashboard!$K$5=""),A142=Dashboard!$K$5),OR(OR(Dashboard!$N$5="All",Dashboard!$N$5=""),B142=Dashboard!$N$5),OR(OR(Dashboard!$Q$5="All",Dashboard!$Q$5=""),D142=Dashboard!$Q$5),OR(OR(Dashboard!$U$5="All",Dashboard!$U$5=""),E142=Dashboard!$U$5)),1,0))</f>
        <v>1</v>
      </c>
      <c r="O142" s="165">
        <f t="shared" si="20"/>
        <v>0</v>
      </c>
      <c r="AG142" s="178" t="str">
        <f>IF(E142="","",IFERROR(IF(INDEX('Item Purchases'!$AM$4:$AM$30,MATCH(E142,'Item Purchases'!$B$4:$B$30,0))="","Uncategorised",INDEX('Item Purchases'!$AM$4:$AM$30,MATCH(E142,'Item Purchases'!$B$4:$B$30,0))),"Uncategorised"))</f>
        <v>Snacks</v>
      </c>
      <c r="AH142" s="165">
        <f>IF(AND(E142&lt;&gt;"",L142=1),COUNTIFS($E$2:E142,E142,$L$2:L142,1),0)</f>
        <v>6</v>
      </c>
      <c r="AI142" s="165">
        <f t="shared" si="21"/>
        <v>0</v>
      </c>
      <c r="AJ142" s="165">
        <f t="shared" si="22"/>
        <v>0</v>
      </c>
    </row>
    <row r="143" spans="1:36" x14ac:dyDescent="0.25">
      <c r="A143" s="177">
        <f t="shared" si="23"/>
        <v>46273</v>
      </c>
      <c r="B143" s="178" t="str">
        <f t="shared" si="17"/>
        <v>Tue</v>
      </c>
      <c r="C143" s="178" t="str">
        <f>'Pantry Inventory'!$A$34</f>
        <v>Sep Week 2</v>
      </c>
      <c r="D143" s="178" t="str">
        <f>IF('Pantry Inventory'!A43="","",'Pantry Inventory'!A43)</f>
        <v>BBMG</v>
      </c>
      <c r="E143" s="178" t="str">
        <f>IF('Pantry Inventory'!B43="","",'Pantry Inventory'!B43)</f>
        <v>BBMG 90G</v>
      </c>
      <c r="F143" s="178" t="str">
        <f>IF(E143="","",IFERROR(IF(INDEX('Item Purchases'!$S$4:$S$30,MATCH(E143,'Item Purchases'!$B$4:$B$30,0))="","Uncategorised",INDEX('Item Purchases'!$S$4:$S$30,MATCH(E143,'Item Purchases'!$B$4:$B$30,0))),"Uncategorised"))</f>
        <v>Savoury</v>
      </c>
      <c r="G143" s="178">
        <f>IF(E143="",0,'Pantry Inventory'!D43)</f>
        <v>96</v>
      </c>
      <c r="H143" s="178">
        <f>IF(E143="","",IF('Pantry Inventory'!E43="","",'Pantry Inventory'!E43))</f>
        <v>96</v>
      </c>
      <c r="I143" s="178">
        <f>IF(H143="","",'Pantry Inventory'!F43)</f>
        <v>0</v>
      </c>
      <c r="J143" s="179">
        <f>IF(E143="",0,IFERROR(INDEX('Item Purchases'!$Q$4:$Q$30,MATCH(E143,'Item Purchases'!$B$4:$B$30,0)),0))</f>
        <v>0.34300000000000003</v>
      </c>
      <c r="K143" s="180">
        <f t="shared" si="18"/>
        <v>0</v>
      </c>
      <c r="L143" s="178">
        <f t="shared" si="19"/>
        <v>1</v>
      </c>
      <c r="M143" s="178">
        <f>IF(E143="",0,IF(AND(OR(OR(Dashboard!$E$5="All",Dashboard!$E$5=""),AG143=Dashboard!$E$5),OR(OR(Dashboard!$H$5="All",Dashboard!$H$5=""),F143=Dashboard!$H$5),OR(OR(Dashboard!$B$5="All",Dashboard!$B$5=""),C143=Dashboard!$B$5),OR(OR(Dashboard!$K$5="All",Dashboard!$K$5=""),A143=Dashboard!$K$5),OR(OR(Dashboard!$N$5="All",Dashboard!$N$5=""),B143=Dashboard!$N$5),OR(OR(Dashboard!$Q$5="All",Dashboard!$Q$5=""),D143=Dashboard!$Q$5),OR(OR(Dashboard!$U$5="All",Dashboard!$U$5=""),E143=Dashboard!$U$5)),1,0))</f>
        <v>1</v>
      </c>
      <c r="N143" s="178">
        <f>IF(E143="",0,IF(AND(OR(OR(Dashboard!$E$5="All",Dashboard!$E$5=""),AG143=Dashboard!$E$5),OR(OR(Dashboard!$B$5="All",Dashboard!$B$5=""),C143=Dashboard!$B$5),OR(OR(Dashboard!$K$5="All",Dashboard!$K$5=""),A143=Dashboard!$K$5),OR(OR(Dashboard!$N$5="All",Dashboard!$N$5=""),B143=Dashboard!$N$5),OR(OR(Dashboard!$Q$5="All",Dashboard!$Q$5=""),D143=Dashboard!$Q$5),OR(OR(Dashboard!$U$5="All",Dashboard!$U$5=""),E143=Dashboard!$U$5)),1,0))</f>
        <v>1</v>
      </c>
      <c r="O143" s="165">
        <f t="shared" si="20"/>
        <v>0</v>
      </c>
      <c r="AG143" s="178" t="str">
        <f>IF(E143="","",IFERROR(IF(INDEX('Item Purchases'!$AM$4:$AM$30,MATCH(E143,'Item Purchases'!$B$4:$B$30,0))="","Uncategorised",INDEX('Item Purchases'!$AM$4:$AM$30,MATCH(E143,'Item Purchases'!$B$4:$B$30,0))),"Uncategorised"))</f>
        <v>Snacks</v>
      </c>
      <c r="AH143" s="165">
        <f>IF(AND(E143&lt;&gt;"",L143=1),COUNTIFS($E$2:E143,E143,$L$2:L143,1),0)</f>
        <v>6</v>
      </c>
      <c r="AI143" s="165">
        <f t="shared" si="21"/>
        <v>0</v>
      </c>
      <c r="AJ143" s="165">
        <f t="shared" si="22"/>
        <v>1</v>
      </c>
    </row>
    <row r="144" spans="1:36" x14ac:dyDescent="0.25">
      <c r="A144" s="177">
        <f t="shared" si="23"/>
        <v>46273</v>
      </c>
      <c r="B144" s="178" t="str">
        <f t="shared" si="17"/>
        <v>Tue</v>
      </c>
      <c r="C144" s="178" t="str">
        <f>'Pantry Inventory'!$A$34</f>
        <v>Sep Week 2</v>
      </c>
      <c r="D144" s="178" t="str">
        <f>IF('Pantry Inventory'!A44="","",'Pantry Inventory'!A44)</f>
        <v>Lays</v>
      </c>
      <c r="E144" s="178" t="str">
        <f>IF('Pantry Inventory'!B44="","",'Pantry Inventory'!B44)</f>
        <v>Lays Potato Chips (Original) 50g</v>
      </c>
      <c r="F144" s="178" t="str">
        <f>IF(E144="","",IFERROR(IF(INDEX('Item Purchases'!$S$4:$S$30,MATCH(E144,'Item Purchases'!$B$4:$B$30,0))="","Uncategorised",INDEX('Item Purchases'!$S$4:$S$30,MATCH(E144,'Item Purchases'!$B$4:$B$30,0))),"Uncategorised"))</f>
        <v>Savoury</v>
      </c>
      <c r="G144" s="178">
        <f>IF(E144="",0,'Pantry Inventory'!D44)</f>
        <v>0</v>
      </c>
      <c r="H144" s="178">
        <f>IF(E144="","",IF('Pantry Inventory'!E44="","",'Pantry Inventory'!E44))</f>
        <v>22</v>
      </c>
      <c r="I144" s="178">
        <f>IF(H144="","",'Pantry Inventory'!F44)</f>
        <v>7</v>
      </c>
      <c r="J144" s="179">
        <f>IF(E144="",0,IFERROR(INDEX('Item Purchases'!$Q$4:$Q$30,MATCH(E144,'Item Purchases'!$B$4:$B$30,0)),0))</f>
        <v>3.4580000000000002</v>
      </c>
      <c r="K144" s="180">
        <f t="shared" si="18"/>
        <v>24.206000000000003</v>
      </c>
      <c r="L144" s="178">
        <f t="shared" si="19"/>
        <v>1</v>
      </c>
      <c r="M144" s="178">
        <f>IF(E144="",0,IF(AND(OR(OR(Dashboard!$E$5="All",Dashboard!$E$5=""),AG144=Dashboard!$E$5),OR(OR(Dashboard!$H$5="All",Dashboard!$H$5=""),F144=Dashboard!$H$5),OR(OR(Dashboard!$B$5="All",Dashboard!$B$5=""),C144=Dashboard!$B$5),OR(OR(Dashboard!$K$5="All",Dashboard!$K$5=""),A144=Dashboard!$K$5),OR(OR(Dashboard!$N$5="All",Dashboard!$N$5=""),B144=Dashboard!$N$5),OR(OR(Dashboard!$Q$5="All",Dashboard!$Q$5=""),D144=Dashboard!$Q$5),OR(OR(Dashboard!$U$5="All",Dashboard!$U$5=""),E144=Dashboard!$U$5)),1,0))</f>
        <v>1</v>
      </c>
      <c r="N144" s="178">
        <f>IF(E144="",0,IF(AND(OR(OR(Dashboard!$E$5="All",Dashboard!$E$5=""),AG144=Dashboard!$E$5),OR(OR(Dashboard!$B$5="All",Dashboard!$B$5=""),C144=Dashboard!$B$5),OR(OR(Dashboard!$K$5="All",Dashboard!$K$5=""),A144=Dashboard!$K$5),OR(OR(Dashboard!$N$5="All",Dashboard!$N$5=""),B144=Dashboard!$N$5),OR(OR(Dashboard!$Q$5="All",Dashboard!$Q$5=""),D144=Dashboard!$Q$5),OR(OR(Dashboard!$U$5="All",Dashboard!$U$5=""),E144=Dashboard!$U$5)),1,0))</f>
        <v>1</v>
      </c>
      <c r="O144" s="165">
        <f t="shared" si="20"/>
        <v>49</v>
      </c>
      <c r="AG144" s="178" t="str">
        <f>IF(E144="","",IFERROR(IF(INDEX('Item Purchases'!$AM$4:$AM$30,MATCH(E144,'Item Purchases'!$B$4:$B$30,0))="","Uncategorised",INDEX('Item Purchases'!$AM$4:$AM$30,MATCH(E144,'Item Purchases'!$B$4:$B$30,0))),"Uncategorised"))</f>
        <v>Snacks</v>
      </c>
      <c r="AH144" s="165">
        <f>IF(AND(E144&lt;&gt;"",L144=1),COUNTIFS($E$2:E144,E144,$L$2:L144,1),0)</f>
        <v>6</v>
      </c>
      <c r="AI144" s="165">
        <f t="shared" si="21"/>
        <v>7</v>
      </c>
      <c r="AJ144" s="165">
        <f t="shared" si="22"/>
        <v>1</v>
      </c>
    </row>
    <row r="145" spans="1:36" x14ac:dyDescent="0.25">
      <c r="A145" s="177">
        <f t="shared" si="23"/>
        <v>46273</v>
      </c>
      <c r="B145" s="178" t="str">
        <f t="shared" si="17"/>
        <v>Tue</v>
      </c>
      <c r="C145" s="178" t="str">
        <f>'Pantry Inventory'!$A$34</f>
        <v>Sep Week 2</v>
      </c>
      <c r="D145" s="178" t="str">
        <f>IF('Pantry Inventory'!A45="","",'Pantry Inventory'!A45)</f>
        <v>Lays</v>
      </c>
      <c r="E145" s="178" t="str">
        <f>IF('Pantry Inventory'!B45="","",'Pantry Inventory'!B45)</f>
        <v xml:space="preserve">Lays Double Crunch - Seaweed Flav (50g) </v>
      </c>
      <c r="F145" s="178" t="str">
        <f>IF(E145="","",IFERROR(IF(INDEX('Item Purchases'!$S$4:$S$30,MATCH(E145,'Item Purchases'!$B$4:$B$30,0))="","Uncategorised",INDEX('Item Purchases'!$S$4:$S$30,MATCH(E145,'Item Purchases'!$B$4:$B$30,0))),"Uncategorised"))</f>
        <v>Savoury</v>
      </c>
      <c r="G145" s="178">
        <f>IF(E145="",0,'Pantry Inventory'!D45)</f>
        <v>24</v>
      </c>
      <c r="H145" s="178">
        <f>IF(E145="","",IF('Pantry Inventory'!E45="","",'Pantry Inventory'!E45))</f>
        <v>24</v>
      </c>
      <c r="I145" s="178">
        <f>IF(H145="","",'Pantry Inventory'!F45)</f>
        <v>0</v>
      </c>
      <c r="J145" s="179">
        <f>IF(E145="",0,IFERROR(INDEX('Item Purchases'!$Q$4:$Q$30,MATCH(E145,'Item Purchases'!$B$4:$B$30,0)),0))</f>
        <v>4</v>
      </c>
      <c r="K145" s="180">
        <f t="shared" si="18"/>
        <v>0</v>
      </c>
      <c r="L145" s="178">
        <f t="shared" si="19"/>
        <v>1</v>
      </c>
      <c r="M145" s="178">
        <f>IF(E145="",0,IF(AND(OR(OR(Dashboard!$E$5="All",Dashboard!$E$5=""),AG145=Dashboard!$E$5),OR(OR(Dashboard!$H$5="All",Dashboard!$H$5=""),F145=Dashboard!$H$5),OR(OR(Dashboard!$B$5="All",Dashboard!$B$5=""),C145=Dashboard!$B$5),OR(OR(Dashboard!$K$5="All",Dashboard!$K$5=""),A145=Dashboard!$K$5),OR(OR(Dashboard!$N$5="All",Dashboard!$N$5=""),B145=Dashboard!$N$5),OR(OR(Dashboard!$Q$5="All",Dashboard!$Q$5=""),D145=Dashboard!$Q$5),OR(OR(Dashboard!$U$5="All",Dashboard!$U$5=""),E145=Dashboard!$U$5)),1,0))</f>
        <v>1</v>
      </c>
      <c r="N145" s="178">
        <f>IF(E145="",0,IF(AND(OR(OR(Dashboard!$E$5="All",Dashboard!$E$5=""),AG145=Dashboard!$E$5),OR(OR(Dashboard!$B$5="All",Dashboard!$B$5=""),C145=Dashboard!$B$5),OR(OR(Dashboard!$K$5="All",Dashboard!$K$5=""),A145=Dashboard!$K$5),OR(OR(Dashboard!$N$5="All",Dashboard!$N$5=""),B145=Dashboard!$N$5),OR(OR(Dashboard!$Q$5="All",Dashboard!$Q$5=""),D145=Dashboard!$Q$5),OR(OR(Dashboard!$U$5="All",Dashboard!$U$5=""),E145=Dashboard!$U$5)),1,0))</f>
        <v>1</v>
      </c>
      <c r="O145" s="165">
        <f t="shared" si="20"/>
        <v>0</v>
      </c>
      <c r="AG145" s="178" t="str">
        <f>IF(E145="","",IFERROR(IF(INDEX('Item Purchases'!$AM$4:$AM$30,MATCH(E145,'Item Purchases'!$B$4:$B$30,0))="","Uncategorised",INDEX('Item Purchases'!$AM$4:$AM$30,MATCH(E145,'Item Purchases'!$B$4:$B$30,0))),"Uncategorised"))</f>
        <v>Snacks</v>
      </c>
      <c r="AH145" s="165">
        <f>IF(AND(E145&lt;&gt;"",L145=1),COUNTIFS($E$2:E145,E145,$L$2:L145,1),0)</f>
        <v>6</v>
      </c>
      <c r="AI145" s="165">
        <f t="shared" si="21"/>
        <v>0</v>
      </c>
      <c r="AJ145" s="165">
        <f t="shared" si="22"/>
        <v>1</v>
      </c>
    </row>
    <row r="146" spans="1:36" x14ac:dyDescent="0.25">
      <c r="A146" s="177">
        <f t="shared" si="23"/>
        <v>46273</v>
      </c>
      <c r="B146" s="178" t="str">
        <f t="shared" si="17"/>
        <v>Tue</v>
      </c>
      <c r="C146" s="178" t="str">
        <f>'Pantry Inventory'!$A$34</f>
        <v>Sep Week 2</v>
      </c>
      <c r="D146" s="178" t="str">
        <f>IF('Pantry Inventory'!A46="","",'Pantry Inventory'!A46)</f>
        <v>Munchy</v>
      </c>
      <c r="E146" s="178" t="str">
        <f>IF('Pantry Inventory'!B46="","",'Pantry Inventory'!B46)</f>
        <v>Munchy Oat Krunch - Dark Choco</v>
      </c>
      <c r="F146" s="178" t="str">
        <f>IF(E146="","",IFERROR(IF(INDEX('Item Purchases'!$S$4:$S$30,MATCH(E146,'Item Purchases'!$B$4:$B$30,0))="","Uncategorised",INDEX('Item Purchases'!$S$4:$S$30,MATCH(E146,'Item Purchases'!$B$4:$B$30,0))),"Uncategorised"))</f>
        <v>Sweet</v>
      </c>
      <c r="G146" s="178">
        <f>IF(E146="",0,'Pantry Inventory'!D46)</f>
        <v>45</v>
      </c>
      <c r="H146" s="178">
        <f>IF(E146="","",IF('Pantry Inventory'!E46="","",'Pantry Inventory'!E46))</f>
        <v>45</v>
      </c>
      <c r="I146" s="178">
        <f>IF(H146="","",'Pantry Inventory'!F46)</f>
        <v>0</v>
      </c>
      <c r="J146" s="179">
        <f>IF(E146="",0,IFERROR(INDEX('Item Purchases'!$Q$4:$Q$30,MATCH(E146,'Item Purchases'!$B$4:$B$30,0)),0))</f>
        <v>0.73</v>
      </c>
      <c r="K146" s="180">
        <f t="shared" si="18"/>
        <v>0</v>
      </c>
      <c r="L146" s="178">
        <f t="shared" si="19"/>
        <v>1</v>
      </c>
      <c r="M146" s="178">
        <f>IF(E146="",0,IF(AND(OR(OR(Dashboard!$E$5="All",Dashboard!$E$5=""),AG146=Dashboard!$E$5),OR(OR(Dashboard!$H$5="All",Dashboard!$H$5=""),F146=Dashboard!$H$5),OR(OR(Dashboard!$B$5="All",Dashboard!$B$5=""),C146=Dashboard!$B$5),OR(OR(Dashboard!$K$5="All",Dashboard!$K$5=""),A146=Dashboard!$K$5),OR(OR(Dashboard!$N$5="All",Dashboard!$N$5=""),B146=Dashboard!$N$5),OR(OR(Dashboard!$Q$5="All",Dashboard!$Q$5=""),D146=Dashboard!$Q$5),OR(OR(Dashboard!$U$5="All",Dashboard!$U$5=""),E146=Dashboard!$U$5)),1,0))</f>
        <v>1</v>
      </c>
      <c r="N146" s="178">
        <f>IF(E146="",0,IF(AND(OR(OR(Dashboard!$E$5="All",Dashboard!$E$5=""),AG146=Dashboard!$E$5),OR(OR(Dashboard!$B$5="All",Dashboard!$B$5=""),C146=Dashboard!$B$5),OR(OR(Dashboard!$K$5="All",Dashboard!$K$5=""),A146=Dashboard!$K$5),OR(OR(Dashboard!$N$5="All",Dashboard!$N$5=""),B146=Dashboard!$N$5),OR(OR(Dashboard!$Q$5="All",Dashboard!$Q$5=""),D146=Dashboard!$Q$5),OR(OR(Dashboard!$U$5="All",Dashboard!$U$5=""),E146=Dashboard!$U$5)),1,0))</f>
        <v>1</v>
      </c>
      <c r="O146" s="165">
        <f t="shared" si="20"/>
        <v>0</v>
      </c>
      <c r="AG146" s="178" t="str">
        <f>IF(E146="","",IFERROR(IF(INDEX('Item Purchases'!$AM$4:$AM$30,MATCH(E146,'Item Purchases'!$B$4:$B$30,0))="","Uncategorised",INDEX('Item Purchases'!$AM$4:$AM$30,MATCH(E146,'Item Purchases'!$B$4:$B$30,0))),"Uncategorised"))</f>
        <v>Snacks</v>
      </c>
      <c r="AH146" s="165">
        <f>IF(AND(E146&lt;&gt;"",L146=1),COUNTIFS($E$2:E146,E146,$L$2:L146,1),0)</f>
        <v>6</v>
      </c>
      <c r="AI146" s="165">
        <f t="shared" si="21"/>
        <v>0</v>
      </c>
      <c r="AJ146" s="165">
        <f t="shared" si="22"/>
        <v>1</v>
      </c>
    </row>
    <row r="147" spans="1:36" x14ac:dyDescent="0.25">
      <c r="A147" s="177">
        <f t="shared" si="23"/>
        <v>46273</v>
      </c>
      <c r="B147" s="178" t="str">
        <f t="shared" si="17"/>
        <v>Tue</v>
      </c>
      <c r="C147" s="178" t="str">
        <f>'Pantry Inventory'!$A$34</f>
        <v>Sep Week 2</v>
      </c>
      <c r="D147" s="178" t="str">
        <f>IF('Pantry Inventory'!A47="","",'Pantry Inventory'!A47)</f>
        <v>Munchy</v>
      </c>
      <c r="E147" s="178" t="str">
        <f>IF('Pantry Inventory'!B47="","",'Pantry Inventory'!B47)</f>
        <v>Munchy Oat Krunch - Strawberry &amp; Blackcurrant</v>
      </c>
      <c r="F147" s="178" t="str">
        <f>IF(E147="","",IFERROR(IF(INDEX('Item Purchases'!$S$4:$S$30,MATCH(E147,'Item Purchases'!$B$4:$B$30,0))="","Uncategorised",INDEX('Item Purchases'!$S$4:$S$30,MATCH(E147,'Item Purchases'!$B$4:$B$30,0))),"Uncategorised"))</f>
        <v>Sweet</v>
      </c>
      <c r="G147" s="178">
        <f>IF(E147="",0,'Pantry Inventory'!D47)</f>
        <v>30</v>
      </c>
      <c r="H147" s="178">
        <f>IF(E147="","",IF('Pantry Inventory'!E47="","",'Pantry Inventory'!E47))</f>
        <v>59</v>
      </c>
      <c r="I147" s="178">
        <f>IF(H147="","",'Pantry Inventory'!F47)</f>
        <v>12</v>
      </c>
      <c r="J147" s="179">
        <f>IF(E147="",0,IFERROR(INDEX('Item Purchases'!$Q$4:$Q$30,MATCH(E147,'Item Purchases'!$B$4:$B$30,0)),0))</f>
        <v>0.73</v>
      </c>
      <c r="K147" s="180">
        <f t="shared" si="18"/>
        <v>8.76</v>
      </c>
      <c r="L147" s="178">
        <f t="shared" si="19"/>
        <v>1</v>
      </c>
      <c r="M147" s="178">
        <f>IF(E147="",0,IF(AND(OR(OR(Dashboard!$E$5="All",Dashboard!$E$5=""),AG147=Dashboard!$E$5),OR(OR(Dashboard!$H$5="All",Dashboard!$H$5=""),F147=Dashboard!$H$5),OR(OR(Dashboard!$B$5="All",Dashboard!$B$5=""),C147=Dashboard!$B$5),OR(OR(Dashboard!$K$5="All",Dashboard!$K$5=""),A147=Dashboard!$K$5),OR(OR(Dashboard!$N$5="All",Dashboard!$N$5=""),B147=Dashboard!$N$5),OR(OR(Dashboard!$Q$5="All",Dashboard!$Q$5=""),D147=Dashboard!$Q$5),OR(OR(Dashboard!$U$5="All",Dashboard!$U$5=""),E147=Dashboard!$U$5)),1,0))</f>
        <v>1</v>
      </c>
      <c r="N147" s="178">
        <f>IF(E147="",0,IF(AND(OR(OR(Dashboard!$E$5="All",Dashboard!$E$5=""),AG147=Dashboard!$E$5),OR(OR(Dashboard!$B$5="All",Dashboard!$B$5=""),C147=Dashboard!$B$5),OR(OR(Dashboard!$K$5="All",Dashboard!$K$5=""),A147=Dashboard!$K$5),OR(OR(Dashboard!$N$5="All",Dashboard!$N$5=""),B147=Dashboard!$N$5),OR(OR(Dashboard!$Q$5="All",Dashboard!$Q$5=""),D147=Dashboard!$Q$5),OR(OR(Dashboard!$U$5="All",Dashboard!$U$5=""),E147=Dashboard!$U$5)),1,0))</f>
        <v>1</v>
      </c>
      <c r="O147" s="165">
        <f t="shared" si="20"/>
        <v>144</v>
      </c>
      <c r="AG147" s="178" t="str">
        <f>IF(E147="","",IFERROR(IF(INDEX('Item Purchases'!$AM$4:$AM$30,MATCH(E147,'Item Purchases'!$B$4:$B$30,0))="","Uncategorised",INDEX('Item Purchases'!$AM$4:$AM$30,MATCH(E147,'Item Purchases'!$B$4:$B$30,0))),"Uncategorised"))</f>
        <v>Snacks</v>
      </c>
      <c r="AH147" s="165">
        <f>IF(AND(E147&lt;&gt;"",L147=1),COUNTIFS($E$2:E147,E147,$L$2:L147,1),0)</f>
        <v>6</v>
      </c>
      <c r="AI147" s="165">
        <f t="shared" si="21"/>
        <v>12</v>
      </c>
      <c r="AJ147" s="165">
        <f t="shared" si="22"/>
        <v>1</v>
      </c>
    </row>
    <row r="148" spans="1:36" x14ac:dyDescent="0.25">
      <c r="A148" s="177">
        <f t="shared" si="23"/>
        <v>46273</v>
      </c>
      <c r="B148" s="178" t="str">
        <f t="shared" si="17"/>
        <v>Tue</v>
      </c>
      <c r="C148" s="178" t="str">
        <f>'Pantry Inventory'!$A$34</f>
        <v>Sep Week 2</v>
      </c>
      <c r="D148" s="178" t="str">
        <f>IF('Pantry Inventory'!A48="","",'Pantry Inventory'!A48)</f>
        <v/>
      </c>
      <c r="E148" s="178" t="str">
        <f>IF('Pantry Inventory'!B48="","",'Pantry Inventory'!B48)</f>
        <v/>
      </c>
      <c r="F148" s="178" t="str">
        <f>IF(E148="","",IFERROR(IF(INDEX('Item Purchases'!$S$4:$S$30,MATCH(E148,'Item Purchases'!$B$4:$B$30,0))="","Uncategorised",INDEX('Item Purchases'!$S$4:$S$30,MATCH(E148,'Item Purchases'!$B$4:$B$30,0))),"Uncategorised"))</f>
        <v/>
      </c>
      <c r="G148" s="178">
        <f>IF(E148="",0,'Pantry Inventory'!D48)</f>
        <v>0</v>
      </c>
      <c r="H148" s="178" t="str">
        <f>IF(E148="","",IF('Pantry Inventory'!E48="","",'Pantry Inventory'!E48))</f>
        <v/>
      </c>
      <c r="I148" s="178" t="str">
        <f>IF(H148="","",'Pantry Inventory'!F48)</f>
        <v/>
      </c>
      <c r="J148" s="179">
        <f>IF(E148="",0,IFERROR(INDEX('Item Purchases'!$Q$4:$Q$30,MATCH(E148,'Item Purchases'!$B$4:$B$30,0)),0))</f>
        <v>0</v>
      </c>
      <c r="K148" s="180" t="str">
        <f t="shared" si="18"/>
        <v/>
      </c>
      <c r="L148" s="178">
        <f t="shared" si="19"/>
        <v>0</v>
      </c>
      <c r="M148" s="178">
        <f>IF(E148="",0,IF(AND(OR(OR(Dashboard!$E$5="All",Dashboard!$E$5=""),AG148=Dashboard!$E$5),OR(OR(Dashboard!$H$5="All",Dashboard!$H$5=""),F148=Dashboard!$H$5),OR(OR(Dashboard!$B$5="All",Dashboard!$B$5=""),C148=Dashboard!$B$5),OR(OR(Dashboard!$K$5="All",Dashboard!$K$5=""),A148=Dashboard!$K$5),OR(OR(Dashboard!$N$5="All",Dashboard!$N$5=""),B148=Dashboard!$N$5),OR(OR(Dashboard!$Q$5="All",Dashboard!$Q$5=""),D148=Dashboard!$Q$5),OR(OR(Dashboard!$U$5="All",Dashboard!$U$5=""),E148=Dashboard!$U$5)),1,0))</f>
        <v>0</v>
      </c>
      <c r="N148" s="178">
        <f>IF(E148="",0,IF(AND(OR(OR(Dashboard!$E$5="All",Dashboard!$E$5=""),AG148=Dashboard!$E$5),OR(OR(Dashboard!$B$5="All",Dashboard!$B$5=""),C148=Dashboard!$B$5),OR(OR(Dashboard!$K$5="All",Dashboard!$K$5=""),A148=Dashboard!$K$5),OR(OR(Dashboard!$N$5="All",Dashboard!$N$5=""),B148=Dashboard!$N$5),OR(OR(Dashboard!$Q$5="All",Dashboard!$Q$5=""),D148=Dashboard!$Q$5),OR(OR(Dashboard!$U$5="All",Dashboard!$U$5=""),E148=Dashboard!$U$5)),1,0))</f>
        <v>0</v>
      </c>
      <c r="O148" s="165">
        <f t="shared" si="20"/>
        <v>0</v>
      </c>
      <c r="AG148" s="178" t="str">
        <f>IF(E148="","",IFERROR(IF(INDEX('Item Purchases'!$AM$4:$AM$30,MATCH(E148,'Item Purchases'!$B$4:$B$30,0))="","Uncategorised",INDEX('Item Purchases'!$AM$4:$AM$30,MATCH(E148,'Item Purchases'!$B$4:$B$30,0))),"Uncategorised"))</f>
        <v/>
      </c>
      <c r="AH148" s="165">
        <f>IF(AND(E148&lt;&gt;"",L148=1),COUNTIFS($E$2:E148,E148,$L$2:L148,1),0)</f>
        <v>0</v>
      </c>
      <c r="AI148" s="165">
        <f t="shared" si="21"/>
        <v>0</v>
      </c>
      <c r="AJ148" s="165">
        <f t="shared" si="22"/>
        <v>0</v>
      </c>
    </row>
    <row r="149" spans="1:36" x14ac:dyDescent="0.25">
      <c r="A149" s="177">
        <f t="shared" si="23"/>
        <v>46273</v>
      </c>
      <c r="B149" s="178" t="str">
        <f t="shared" si="17"/>
        <v>Tue</v>
      </c>
      <c r="C149" s="178" t="str">
        <f>'Pantry Inventory'!$A$34</f>
        <v>Sep Week 2</v>
      </c>
      <c r="D149" s="178" t="str">
        <f>IF('Pantry Inventory'!A49="","",'Pantry Inventory'!A49)</f>
        <v>Nestle</v>
      </c>
      <c r="E149" s="178" t="str">
        <f>IF('Pantry Inventory'!B49="","",'Pantry Inventory'!B49)</f>
        <v>Milo 200ml</v>
      </c>
      <c r="F149" s="178" t="str">
        <f>IF(E149="","",IFERROR(IF(INDEX('Item Purchases'!$S$4:$S$30,MATCH(E149,'Item Purchases'!$B$4:$B$30,0))="","Uncategorised",INDEX('Item Purchases'!$S$4:$S$30,MATCH(E149,'Item Purchases'!$B$4:$B$30,0))),"Uncategorised"))</f>
        <v>Other</v>
      </c>
      <c r="G149" s="178">
        <f>IF(E149="",0,'Pantry Inventory'!D49)</f>
        <v>0</v>
      </c>
      <c r="H149" s="178">
        <f>IF(E149="","",IF('Pantry Inventory'!E49="","",'Pantry Inventory'!E49))</f>
        <v>36</v>
      </c>
      <c r="I149" s="178">
        <f>IF(H149="","",'Pantry Inventory'!F49)</f>
        <v>12</v>
      </c>
      <c r="J149" s="179">
        <f>IF(E149="",0,IFERROR(INDEX('Item Purchases'!$Q$4:$Q$30,MATCH(E149,'Item Purchases'!$B$4:$B$30,0)),0))</f>
        <v>2.37</v>
      </c>
      <c r="K149" s="180">
        <f t="shared" si="18"/>
        <v>28.44</v>
      </c>
      <c r="L149" s="178">
        <f t="shared" si="19"/>
        <v>1</v>
      </c>
      <c r="M149" s="178">
        <f>IF(E149="",0,IF(AND(OR(OR(Dashboard!$E$5="All",Dashboard!$E$5=""),AG149=Dashboard!$E$5),OR(OR(Dashboard!$H$5="All",Dashboard!$H$5=""),F149=Dashboard!$H$5),OR(OR(Dashboard!$B$5="All",Dashboard!$B$5=""),C149=Dashboard!$B$5),OR(OR(Dashboard!$K$5="All",Dashboard!$K$5=""),A149=Dashboard!$K$5),OR(OR(Dashboard!$N$5="All",Dashboard!$N$5=""),B149=Dashboard!$N$5),OR(OR(Dashboard!$Q$5="All",Dashboard!$Q$5=""),D149=Dashboard!$Q$5),OR(OR(Dashboard!$U$5="All",Dashboard!$U$5=""),E149=Dashboard!$U$5)),1,0))</f>
        <v>1</v>
      </c>
      <c r="N149" s="178">
        <f>IF(E149="",0,IF(AND(OR(OR(Dashboard!$E$5="All",Dashboard!$E$5=""),AG149=Dashboard!$E$5),OR(OR(Dashboard!$B$5="All",Dashboard!$B$5=""),C149=Dashboard!$B$5),OR(OR(Dashboard!$K$5="All",Dashboard!$K$5=""),A149=Dashboard!$K$5),OR(OR(Dashboard!$N$5="All",Dashboard!$N$5=""),B149=Dashboard!$N$5),OR(OR(Dashboard!$Q$5="All",Dashboard!$Q$5=""),D149=Dashboard!$Q$5),OR(OR(Dashboard!$U$5="All",Dashboard!$U$5=""),E149=Dashboard!$U$5)),1,0))</f>
        <v>1</v>
      </c>
      <c r="O149" s="165">
        <f t="shared" si="20"/>
        <v>144</v>
      </c>
      <c r="AG149" s="178" t="str">
        <f>IF(E149="","",IFERROR(IF(INDEX('Item Purchases'!$AM$4:$AM$30,MATCH(E149,'Item Purchases'!$B$4:$B$30,0))="","Uncategorised",INDEX('Item Purchases'!$AM$4:$AM$30,MATCH(E149,'Item Purchases'!$B$4:$B$30,0))),"Uncategorised"))</f>
        <v>Beverages</v>
      </c>
      <c r="AH149" s="165">
        <f>IF(AND(E149&lt;&gt;"",L149=1),COUNTIFS($E$2:E149,E149,$L$2:L149,1),0)</f>
        <v>6</v>
      </c>
      <c r="AI149" s="165">
        <f t="shared" si="21"/>
        <v>12</v>
      </c>
      <c r="AJ149" s="165">
        <f t="shared" si="22"/>
        <v>1</v>
      </c>
    </row>
    <row r="150" spans="1:36" x14ac:dyDescent="0.25">
      <c r="A150" s="177">
        <f t="shared" si="23"/>
        <v>46273</v>
      </c>
      <c r="B150" s="178" t="str">
        <f t="shared" si="17"/>
        <v>Tue</v>
      </c>
      <c r="C150" s="178" t="str">
        <f>'Pantry Inventory'!$A$34</f>
        <v>Sep Week 2</v>
      </c>
      <c r="D150" s="178" t="str">
        <f>IF('Pantry Inventory'!A50="","",'Pantry Inventory'!A50)</f>
        <v>Nestle</v>
      </c>
      <c r="E150" s="178" t="str">
        <f>IF('Pantry Inventory'!B50="","",'Pantry Inventory'!B50)</f>
        <v>Nescafe Latte 240ml</v>
      </c>
      <c r="F150" s="178" t="str">
        <f>IF(E150="","",IFERROR(IF(INDEX('Item Purchases'!$S$4:$S$30,MATCH(E150,'Item Purchases'!$B$4:$B$30,0))="","Uncategorised",INDEX('Item Purchases'!$S$4:$S$30,MATCH(E150,'Item Purchases'!$B$4:$B$30,0))),"Uncategorised"))</f>
        <v>Coffee</v>
      </c>
      <c r="G150" s="178">
        <f>IF(E150="",0,'Pantry Inventory'!D50)</f>
        <v>24</v>
      </c>
      <c r="H150" s="178">
        <f>IF(E150="","",IF('Pantry Inventory'!E50="","",'Pantry Inventory'!E50))</f>
        <v>40</v>
      </c>
      <c r="I150" s="178">
        <f>IF(H150="","",'Pantry Inventory'!F50)</f>
        <v>3</v>
      </c>
      <c r="J150" s="179">
        <f>IF(E150="",0,IFERROR(INDEX('Item Purchases'!$Q$4:$Q$30,MATCH(E150,'Item Purchases'!$B$4:$B$30,0)),0))</f>
        <v>2.1875</v>
      </c>
      <c r="K150" s="180">
        <f t="shared" si="18"/>
        <v>6.5625</v>
      </c>
      <c r="L150" s="178">
        <f t="shared" si="19"/>
        <v>1</v>
      </c>
      <c r="M150" s="178">
        <f>IF(E150="",0,IF(AND(OR(OR(Dashboard!$E$5="All",Dashboard!$E$5=""),AG150=Dashboard!$E$5),OR(OR(Dashboard!$H$5="All",Dashboard!$H$5=""),F150=Dashboard!$H$5),OR(OR(Dashboard!$B$5="All",Dashboard!$B$5=""),C150=Dashboard!$B$5),OR(OR(Dashboard!$K$5="All",Dashboard!$K$5=""),A150=Dashboard!$K$5),OR(OR(Dashboard!$N$5="All",Dashboard!$N$5=""),B150=Dashboard!$N$5),OR(OR(Dashboard!$Q$5="All",Dashboard!$Q$5=""),D150=Dashboard!$Q$5),OR(OR(Dashboard!$U$5="All",Dashboard!$U$5=""),E150=Dashboard!$U$5)),1,0))</f>
        <v>1</v>
      </c>
      <c r="N150" s="178">
        <f>IF(E150="",0,IF(AND(OR(OR(Dashboard!$E$5="All",Dashboard!$E$5=""),AG150=Dashboard!$E$5),OR(OR(Dashboard!$B$5="All",Dashboard!$B$5=""),C150=Dashboard!$B$5),OR(OR(Dashboard!$K$5="All",Dashboard!$K$5=""),A150=Dashboard!$K$5),OR(OR(Dashboard!$N$5="All",Dashboard!$N$5=""),B150=Dashboard!$N$5),OR(OR(Dashboard!$Q$5="All",Dashboard!$Q$5=""),D150=Dashboard!$Q$5),OR(OR(Dashboard!$U$5="All",Dashboard!$U$5=""),E150=Dashboard!$U$5)),1,0))</f>
        <v>1</v>
      </c>
      <c r="O150" s="165">
        <f t="shared" si="20"/>
        <v>9</v>
      </c>
      <c r="AG150" s="178" t="str">
        <f>IF(E150="","",IFERROR(IF(INDEX('Item Purchases'!$AM$4:$AM$30,MATCH(E150,'Item Purchases'!$B$4:$B$30,0))="","Uncategorised",INDEX('Item Purchases'!$AM$4:$AM$30,MATCH(E150,'Item Purchases'!$B$4:$B$30,0))),"Uncategorised"))</f>
        <v>Beverages</v>
      </c>
      <c r="AH150" s="165">
        <f>IF(AND(E150&lt;&gt;"",L150=1),COUNTIFS($E$2:E150,E150,$L$2:L150,1),0)</f>
        <v>6</v>
      </c>
      <c r="AI150" s="165">
        <f t="shared" si="21"/>
        <v>3</v>
      </c>
      <c r="AJ150" s="165">
        <f t="shared" si="22"/>
        <v>1</v>
      </c>
    </row>
    <row r="151" spans="1:36" x14ac:dyDescent="0.25">
      <c r="A151" s="177">
        <f t="shared" si="23"/>
        <v>46273</v>
      </c>
      <c r="B151" s="178" t="str">
        <f t="shared" si="17"/>
        <v>Tue</v>
      </c>
      <c r="C151" s="178" t="str">
        <f>'Pantry Inventory'!$A$34</f>
        <v>Sep Week 2</v>
      </c>
      <c r="D151" s="178" t="str">
        <f>IF('Pantry Inventory'!A51="","",'Pantry Inventory'!A51)</f>
        <v>Nestle</v>
      </c>
      <c r="E151" s="178" t="str">
        <f>IF('Pantry Inventory'!B51="","",'Pantry Inventory'!B51)</f>
        <v>Nescafe original 240ml</v>
      </c>
      <c r="F151" s="178" t="str">
        <f>IF(E151="","",IFERROR(IF(INDEX('Item Purchases'!$S$4:$S$30,MATCH(E151,'Item Purchases'!$B$4:$B$30,0))="","Uncategorised",INDEX('Item Purchases'!$S$4:$S$30,MATCH(E151,'Item Purchases'!$B$4:$B$30,0))),"Uncategorised"))</f>
        <v>Coffee</v>
      </c>
      <c r="G151" s="178">
        <f>IF(E151="",0,'Pantry Inventory'!D51)</f>
        <v>24</v>
      </c>
      <c r="H151" s="178">
        <f>IF(E151="","",IF('Pantry Inventory'!E51="","",'Pantry Inventory'!E51))</f>
        <v>35</v>
      </c>
      <c r="I151" s="178">
        <f>IF(H151="","",'Pantry Inventory'!F51)</f>
        <v>3</v>
      </c>
      <c r="J151" s="179">
        <f>IF(E151="",0,IFERROR(INDEX('Item Purchases'!$Q$4:$Q$30,MATCH(E151,'Item Purchases'!$B$4:$B$30,0)),0))</f>
        <v>2.1875</v>
      </c>
      <c r="K151" s="180">
        <f t="shared" si="18"/>
        <v>6.5625</v>
      </c>
      <c r="L151" s="178">
        <f t="shared" si="19"/>
        <v>1</v>
      </c>
      <c r="M151" s="178">
        <f>IF(E151="",0,IF(AND(OR(OR(Dashboard!$E$5="All",Dashboard!$E$5=""),AG151=Dashboard!$E$5),OR(OR(Dashboard!$H$5="All",Dashboard!$H$5=""),F151=Dashboard!$H$5),OR(OR(Dashboard!$B$5="All",Dashboard!$B$5=""),C151=Dashboard!$B$5),OR(OR(Dashboard!$K$5="All",Dashboard!$K$5=""),A151=Dashboard!$K$5),OR(OR(Dashboard!$N$5="All",Dashboard!$N$5=""),B151=Dashboard!$N$5),OR(OR(Dashboard!$Q$5="All",Dashboard!$Q$5=""),D151=Dashboard!$Q$5),OR(OR(Dashboard!$U$5="All",Dashboard!$U$5=""),E151=Dashboard!$U$5)),1,0))</f>
        <v>1</v>
      </c>
      <c r="N151" s="178">
        <f>IF(E151="",0,IF(AND(OR(OR(Dashboard!$E$5="All",Dashboard!$E$5=""),AG151=Dashboard!$E$5),OR(OR(Dashboard!$B$5="All",Dashboard!$B$5=""),C151=Dashboard!$B$5),OR(OR(Dashboard!$K$5="All",Dashboard!$K$5=""),A151=Dashboard!$K$5),OR(OR(Dashboard!$N$5="All",Dashboard!$N$5=""),B151=Dashboard!$N$5),OR(OR(Dashboard!$Q$5="All",Dashboard!$Q$5=""),D151=Dashboard!$Q$5),OR(OR(Dashboard!$U$5="All",Dashboard!$U$5=""),E151=Dashboard!$U$5)),1,0))</f>
        <v>1</v>
      </c>
      <c r="O151" s="165">
        <f t="shared" si="20"/>
        <v>9</v>
      </c>
      <c r="AG151" s="178" t="str">
        <f>IF(E151="","",IFERROR(IF(INDEX('Item Purchases'!$AM$4:$AM$30,MATCH(E151,'Item Purchases'!$B$4:$B$30,0))="","Uncategorised",INDEX('Item Purchases'!$AM$4:$AM$30,MATCH(E151,'Item Purchases'!$B$4:$B$30,0))),"Uncategorised"))</f>
        <v>Beverages</v>
      </c>
      <c r="AH151" s="165">
        <f>IF(AND(E151&lt;&gt;"",L151=1),COUNTIFS($E$2:E151,E151,$L$2:L151,1),0)</f>
        <v>6</v>
      </c>
      <c r="AI151" s="165">
        <f t="shared" si="21"/>
        <v>3</v>
      </c>
      <c r="AJ151" s="165">
        <f t="shared" si="22"/>
        <v>1</v>
      </c>
    </row>
    <row r="152" spans="1:36" x14ac:dyDescent="0.25">
      <c r="A152" s="177">
        <f t="shared" si="23"/>
        <v>46273</v>
      </c>
      <c r="B152" s="178" t="str">
        <f t="shared" si="17"/>
        <v>Tue</v>
      </c>
      <c r="C152" s="178" t="str">
        <f>'Pantry Inventory'!$A$34</f>
        <v>Sep Week 2</v>
      </c>
      <c r="D152" s="178" t="str">
        <f>IF('Pantry Inventory'!A52="","",'Pantry Inventory'!A52)</f>
        <v>COWA</v>
      </c>
      <c r="E152" s="178" t="str">
        <f>IF('Pantry Inventory'!B52="","",'Pantry Inventory'!B52)</f>
        <v>COWA Coconut Water 330 ml</v>
      </c>
      <c r="F152" s="178" t="str">
        <f>IF(E152="","",IFERROR(IF(INDEX('Item Purchases'!$S$4:$S$30,MATCH(E152,'Item Purchases'!$B$4:$B$30,0))="","Uncategorised",INDEX('Item Purchases'!$S$4:$S$30,MATCH(E152,'Item Purchases'!$B$4:$B$30,0))),"Uncategorised"))</f>
        <v>Other</v>
      </c>
      <c r="G152" s="178">
        <f>IF(E152="",0,'Pantry Inventory'!D52)</f>
        <v>48</v>
      </c>
      <c r="H152" s="178">
        <f>IF(E152="","",IF('Pantry Inventory'!E52="","",'Pantry Inventory'!E52))</f>
        <v>80</v>
      </c>
      <c r="I152" s="178">
        <f>IF(H152="","",'Pantry Inventory'!F52)</f>
        <v>4</v>
      </c>
      <c r="J152" s="179">
        <f>IF(E152="",0,IFERROR(INDEX('Item Purchases'!$Q$4:$Q$30,MATCH(E152,'Item Purchases'!$B$4:$B$30,0)),0))</f>
        <v>3</v>
      </c>
      <c r="K152" s="180">
        <f t="shared" si="18"/>
        <v>12</v>
      </c>
      <c r="L152" s="178">
        <f t="shared" si="19"/>
        <v>1</v>
      </c>
      <c r="M152" s="178">
        <f>IF(E152="",0,IF(AND(OR(OR(Dashboard!$E$5="All",Dashboard!$E$5=""),AG152=Dashboard!$E$5),OR(OR(Dashboard!$H$5="All",Dashboard!$H$5=""),F152=Dashboard!$H$5),OR(OR(Dashboard!$B$5="All",Dashboard!$B$5=""),C152=Dashboard!$B$5),OR(OR(Dashboard!$K$5="All",Dashboard!$K$5=""),A152=Dashboard!$K$5),OR(OR(Dashboard!$N$5="All",Dashboard!$N$5=""),B152=Dashboard!$N$5),OR(OR(Dashboard!$Q$5="All",Dashboard!$Q$5=""),D152=Dashboard!$Q$5),OR(OR(Dashboard!$U$5="All",Dashboard!$U$5=""),E152=Dashboard!$U$5)),1,0))</f>
        <v>1</v>
      </c>
      <c r="N152" s="178">
        <f>IF(E152="",0,IF(AND(OR(OR(Dashboard!$E$5="All",Dashboard!$E$5=""),AG152=Dashboard!$E$5),OR(OR(Dashboard!$B$5="All",Dashboard!$B$5=""),C152=Dashboard!$B$5),OR(OR(Dashboard!$K$5="All",Dashboard!$K$5=""),A152=Dashboard!$K$5),OR(OR(Dashboard!$N$5="All",Dashboard!$N$5=""),B152=Dashboard!$N$5),OR(OR(Dashboard!$Q$5="All",Dashboard!$Q$5=""),D152=Dashboard!$Q$5),OR(OR(Dashboard!$U$5="All",Dashboard!$U$5=""),E152=Dashboard!$U$5)),1,0))</f>
        <v>1</v>
      </c>
      <c r="O152" s="165">
        <f t="shared" si="20"/>
        <v>16</v>
      </c>
      <c r="AG152" s="178" t="str">
        <f>IF(E152="","",IFERROR(IF(INDEX('Item Purchases'!$AM$4:$AM$30,MATCH(E152,'Item Purchases'!$B$4:$B$30,0))="","Uncategorised",INDEX('Item Purchases'!$AM$4:$AM$30,MATCH(E152,'Item Purchases'!$B$4:$B$30,0))),"Uncategorised"))</f>
        <v>Beverages</v>
      </c>
      <c r="AH152" s="165">
        <f>IF(AND(E152&lt;&gt;"",L152=1),COUNTIFS($E$2:E152,E152,$L$2:L152,1),0)</f>
        <v>6</v>
      </c>
      <c r="AI152" s="165">
        <f t="shared" si="21"/>
        <v>4</v>
      </c>
      <c r="AJ152" s="165">
        <f t="shared" si="22"/>
        <v>1</v>
      </c>
    </row>
    <row r="153" spans="1:36" x14ac:dyDescent="0.25">
      <c r="A153" s="177">
        <f t="shared" si="23"/>
        <v>46273</v>
      </c>
      <c r="B153" s="178" t="str">
        <f t="shared" si="17"/>
        <v>Tue</v>
      </c>
      <c r="C153" s="178" t="str">
        <f>'Pantry Inventory'!$A$34</f>
        <v>Sep Week 2</v>
      </c>
      <c r="D153" s="178" t="str">
        <f>IF('Pantry Inventory'!A53="","",'Pantry Inventory'!A53)</f>
        <v>Coca Cola</v>
      </c>
      <c r="E153" s="178" t="str">
        <f>IF('Pantry Inventory'!B53="","",'Pantry Inventory'!B53)</f>
        <v>COKE ZERO  325ML</v>
      </c>
      <c r="F153" s="178" t="str">
        <f>IF(E153="","",IFERROR(IF(INDEX('Item Purchases'!$S$4:$S$30,MATCH(E153,'Item Purchases'!$B$4:$B$30,0))="","Uncategorised",INDEX('Item Purchases'!$S$4:$S$30,MATCH(E153,'Item Purchases'!$B$4:$B$30,0))),"Uncategorised"))</f>
        <v>Other</v>
      </c>
      <c r="G153" s="178">
        <f>IF(E153="",0,'Pantry Inventory'!D53)</f>
        <v>48</v>
      </c>
      <c r="H153" s="178">
        <f>IF(E153="","",IF('Pantry Inventory'!E53="","",'Pantry Inventory'!E53))</f>
        <v>48</v>
      </c>
      <c r="I153" s="178">
        <f>IF(H153="","",'Pantry Inventory'!F53)</f>
        <v>5</v>
      </c>
      <c r="J153" s="179">
        <f>IF(E153="",0,IFERROR(INDEX('Item Purchases'!$Q$4:$Q$30,MATCH(E153,'Item Purchases'!$B$4:$B$30,0)),0))</f>
        <v>1.83</v>
      </c>
      <c r="K153" s="180">
        <f t="shared" si="18"/>
        <v>9.15</v>
      </c>
      <c r="L153" s="178">
        <f t="shared" si="19"/>
        <v>1</v>
      </c>
      <c r="M153" s="178">
        <f>IF(E153="",0,IF(AND(OR(OR(Dashboard!$E$5="All",Dashboard!$E$5=""),AG153=Dashboard!$E$5),OR(OR(Dashboard!$H$5="All",Dashboard!$H$5=""),F153=Dashboard!$H$5),OR(OR(Dashboard!$B$5="All",Dashboard!$B$5=""),C153=Dashboard!$B$5),OR(OR(Dashboard!$K$5="All",Dashboard!$K$5=""),A153=Dashboard!$K$5),OR(OR(Dashboard!$N$5="All",Dashboard!$N$5=""),B153=Dashboard!$N$5),OR(OR(Dashboard!$Q$5="All",Dashboard!$Q$5=""),D153=Dashboard!$Q$5),OR(OR(Dashboard!$U$5="All",Dashboard!$U$5=""),E153=Dashboard!$U$5)),1,0))</f>
        <v>1</v>
      </c>
      <c r="N153" s="178">
        <f>IF(E153="",0,IF(AND(OR(OR(Dashboard!$E$5="All",Dashboard!$E$5=""),AG153=Dashboard!$E$5),OR(OR(Dashboard!$B$5="All",Dashboard!$B$5=""),C153=Dashboard!$B$5),OR(OR(Dashboard!$K$5="All",Dashboard!$K$5=""),A153=Dashboard!$K$5),OR(OR(Dashboard!$N$5="All",Dashboard!$N$5=""),B153=Dashboard!$N$5),OR(OR(Dashboard!$Q$5="All",Dashboard!$Q$5=""),D153=Dashboard!$Q$5),OR(OR(Dashboard!$U$5="All",Dashboard!$U$5=""),E153=Dashboard!$U$5)),1,0))</f>
        <v>1</v>
      </c>
      <c r="O153" s="165">
        <f t="shared" si="20"/>
        <v>25</v>
      </c>
      <c r="AG153" s="178" t="str">
        <f>IF(E153="","",IFERROR(IF(INDEX('Item Purchases'!$AM$4:$AM$30,MATCH(E153,'Item Purchases'!$B$4:$B$30,0))="","Uncategorised",INDEX('Item Purchases'!$AM$4:$AM$30,MATCH(E153,'Item Purchases'!$B$4:$B$30,0))),"Uncategorised"))</f>
        <v>Beverages</v>
      </c>
      <c r="AH153" s="165">
        <f>IF(AND(E153&lt;&gt;"",L153=1),COUNTIFS($E$2:E153,E153,$L$2:L153,1),0)</f>
        <v>6</v>
      </c>
      <c r="AI153" s="165">
        <f t="shared" si="21"/>
        <v>5</v>
      </c>
      <c r="AJ153" s="165">
        <f t="shared" si="22"/>
        <v>1</v>
      </c>
    </row>
    <row r="154" spans="1:36" x14ac:dyDescent="0.25">
      <c r="A154" s="177">
        <f t="shared" si="23"/>
        <v>46273</v>
      </c>
      <c r="B154" s="178" t="str">
        <f t="shared" si="17"/>
        <v>Tue</v>
      </c>
      <c r="C154" s="178" t="str">
        <f>'Pantry Inventory'!$A$34</f>
        <v>Sep Week 2</v>
      </c>
      <c r="D154" s="178" t="str">
        <f>IF('Pantry Inventory'!A54="","",'Pantry Inventory'!A54)</f>
        <v>Coca Cola</v>
      </c>
      <c r="E154" s="178" t="str">
        <f>IF('Pantry Inventory'!B54="","",'Pantry Inventory'!B54)</f>
        <v>Ayataka Tea 300ml</v>
      </c>
      <c r="F154" s="178" t="str">
        <f>IF(E154="","",IFERROR(IF(INDEX('Item Purchases'!$S$4:$S$30,MATCH(E154,'Item Purchases'!$B$4:$B$30,0))="","Uncategorised",INDEX('Item Purchases'!$S$4:$S$30,MATCH(E154,'Item Purchases'!$B$4:$B$30,0))),"Uncategorised"))</f>
        <v>Tea</v>
      </c>
      <c r="G154" s="178">
        <f>IF(E154="",0,'Pantry Inventory'!D54)</f>
        <v>36</v>
      </c>
      <c r="H154" s="178">
        <f>IF(E154="","",IF('Pantry Inventory'!E54="","",'Pantry Inventory'!E54))</f>
        <v>36</v>
      </c>
      <c r="I154" s="178">
        <f>IF(H154="","",'Pantry Inventory'!F54)</f>
        <v>0</v>
      </c>
      <c r="J154" s="179">
        <f>IF(E154="",0,IFERROR(INDEX('Item Purchases'!$Q$4:$Q$30,MATCH(E154,'Item Purchases'!$B$4:$B$30,0)),0))</f>
        <v>1.75</v>
      </c>
      <c r="K154" s="180">
        <f t="shared" si="18"/>
        <v>0</v>
      </c>
      <c r="L154" s="178">
        <f t="shared" si="19"/>
        <v>1</v>
      </c>
      <c r="M154" s="178">
        <f>IF(E154="",0,IF(AND(OR(OR(Dashboard!$E$5="All",Dashboard!$E$5=""),AG154=Dashboard!$E$5),OR(OR(Dashboard!$H$5="All",Dashboard!$H$5=""),F154=Dashboard!$H$5),OR(OR(Dashboard!$B$5="All",Dashboard!$B$5=""),C154=Dashboard!$B$5),OR(OR(Dashboard!$K$5="All",Dashboard!$K$5=""),A154=Dashboard!$K$5),OR(OR(Dashboard!$N$5="All",Dashboard!$N$5=""),B154=Dashboard!$N$5),OR(OR(Dashboard!$Q$5="All",Dashboard!$Q$5=""),D154=Dashboard!$Q$5),OR(OR(Dashboard!$U$5="All",Dashboard!$U$5=""),E154=Dashboard!$U$5)),1,0))</f>
        <v>1</v>
      </c>
      <c r="N154" s="178">
        <f>IF(E154="",0,IF(AND(OR(OR(Dashboard!$E$5="All",Dashboard!$E$5=""),AG154=Dashboard!$E$5),OR(OR(Dashboard!$B$5="All",Dashboard!$B$5=""),C154=Dashboard!$B$5),OR(OR(Dashboard!$K$5="All",Dashboard!$K$5=""),A154=Dashboard!$K$5),OR(OR(Dashboard!$N$5="All",Dashboard!$N$5=""),B154=Dashboard!$N$5),OR(OR(Dashboard!$Q$5="All",Dashboard!$Q$5=""),D154=Dashboard!$Q$5),OR(OR(Dashboard!$U$5="All",Dashboard!$U$5=""),E154=Dashboard!$U$5)),1,0))</f>
        <v>1</v>
      </c>
      <c r="O154" s="165">
        <f t="shared" si="20"/>
        <v>0</v>
      </c>
      <c r="AG154" s="178" t="str">
        <f>IF(E154="","",IFERROR(IF(INDEX('Item Purchases'!$AM$4:$AM$30,MATCH(E154,'Item Purchases'!$B$4:$B$30,0))="","Uncategorised",INDEX('Item Purchases'!$AM$4:$AM$30,MATCH(E154,'Item Purchases'!$B$4:$B$30,0))),"Uncategorised"))</f>
        <v>Beverages</v>
      </c>
      <c r="AH154" s="165">
        <f>IF(AND(E154&lt;&gt;"",L154=1),COUNTIFS($E$2:E154,E154,$L$2:L154,1),0)</f>
        <v>6</v>
      </c>
      <c r="AI154" s="165">
        <f t="shared" si="21"/>
        <v>0</v>
      </c>
      <c r="AJ154" s="165">
        <f t="shared" si="22"/>
        <v>1</v>
      </c>
    </row>
    <row r="155" spans="1:36" x14ac:dyDescent="0.25">
      <c r="A155" s="177">
        <f t="shared" si="23"/>
        <v>46273</v>
      </c>
      <c r="B155" s="178" t="str">
        <f t="shared" si="17"/>
        <v>Tue</v>
      </c>
      <c r="C155" s="178" t="str">
        <f>'Pantry Inventory'!$A$34</f>
        <v>Sep Week 2</v>
      </c>
      <c r="D155" s="178" t="str">
        <f>IF('Pantry Inventory'!A55="","",'Pantry Inventory'!A55)</f>
        <v>Coca Cola</v>
      </c>
      <c r="E155" s="178" t="str">
        <f>IF('Pantry Inventory'!B55="","",'Pantry Inventory'!B55)</f>
        <v>Oolong Tea 300ml</v>
      </c>
      <c r="F155" s="178" t="str">
        <f>IF(E155="","",IFERROR(IF(INDEX('Item Purchases'!$S$4:$S$30,MATCH(E155,'Item Purchases'!$B$4:$B$30,0))="","Uncategorised",INDEX('Item Purchases'!$S$4:$S$30,MATCH(E155,'Item Purchases'!$B$4:$B$30,0))),"Uncategorised"))</f>
        <v>Tea</v>
      </c>
      <c r="G155" s="178">
        <f>IF(E155="",0,'Pantry Inventory'!D55)</f>
        <v>36</v>
      </c>
      <c r="H155" s="178">
        <f>IF(E155="","",IF('Pantry Inventory'!E55="","",'Pantry Inventory'!E55))</f>
        <v>36</v>
      </c>
      <c r="I155" s="178">
        <f>IF(H155="","",'Pantry Inventory'!F55)</f>
        <v>0</v>
      </c>
      <c r="J155" s="179">
        <f>IF(E155="",0,IFERROR(INDEX('Item Purchases'!$Q$4:$Q$30,MATCH(E155,'Item Purchases'!$B$4:$B$30,0)),0))</f>
        <v>1.75</v>
      </c>
      <c r="K155" s="180">
        <f t="shared" si="18"/>
        <v>0</v>
      </c>
      <c r="L155" s="178">
        <f t="shared" si="19"/>
        <v>1</v>
      </c>
      <c r="M155" s="178">
        <f>IF(E155="",0,IF(AND(OR(OR(Dashboard!$E$5="All",Dashboard!$E$5=""),AG155=Dashboard!$E$5),OR(OR(Dashboard!$H$5="All",Dashboard!$H$5=""),F155=Dashboard!$H$5),OR(OR(Dashboard!$B$5="All",Dashboard!$B$5=""),C155=Dashboard!$B$5),OR(OR(Dashboard!$K$5="All",Dashboard!$K$5=""),A155=Dashboard!$K$5),OR(OR(Dashboard!$N$5="All",Dashboard!$N$5=""),B155=Dashboard!$N$5),OR(OR(Dashboard!$Q$5="All",Dashboard!$Q$5=""),D155=Dashboard!$Q$5),OR(OR(Dashboard!$U$5="All",Dashboard!$U$5=""),E155=Dashboard!$U$5)),1,0))</f>
        <v>1</v>
      </c>
      <c r="N155" s="178">
        <f>IF(E155="",0,IF(AND(OR(OR(Dashboard!$E$5="All",Dashboard!$E$5=""),AG155=Dashboard!$E$5),OR(OR(Dashboard!$B$5="All",Dashboard!$B$5=""),C155=Dashboard!$B$5),OR(OR(Dashboard!$K$5="All",Dashboard!$K$5=""),A155=Dashboard!$K$5),OR(OR(Dashboard!$N$5="All",Dashboard!$N$5=""),B155=Dashboard!$N$5),OR(OR(Dashboard!$Q$5="All",Dashboard!$Q$5=""),D155=Dashboard!$Q$5),OR(OR(Dashboard!$U$5="All",Dashboard!$U$5=""),E155=Dashboard!$U$5)),1,0))</f>
        <v>1</v>
      </c>
      <c r="O155" s="165">
        <f t="shared" si="20"/>
        <v>0</v>
      </c>
      <c r="AG155" s="178" t="str">
        <f>IF(E155="","",IFERROR(IF(INDEX('Item Purchases'!$AM$4:$AM$30,MATCH(E155,'Item Purchases'!$B$4:$B$30,0))="","Uncategorised",INDEX('Item Purchases'!$AM$4:$AM$30,MATCH(E155,'Item Purchases'!$B$4:$B$30,0))),"Uncategorised"))</f>
        <v>Beverages</v>
      </c>
      <c r="AH155" s="165">
        <f>IF(AND(E155&lt;&gt;"",L155=1),COUNTIFS($E$2:E155,E155,$L$2:L155,1),0)</f>
        <v>6</v>
      </c>
      <c r="AI155" s="165">
        <f t="shared" si="21"/>
        <v>0</v>
      </c>
      <c r="AJ155" s="165">
        <f t="shared" si="22"/>
        <v>1</v>
      </c>
    </row>
    <row r="156" spans="1:36" x14ac:dyDescent="0.25">
      <c r="A156" s="177">
        <f t="shared" si="23"/>
        <v>46273</v>
      </c>
      <c r="B156" s="178" t="str">
        <f t="shared" si="17"/>
        <v>Tue</v>
      </c>
      <c r="C156" s="178" t="str">
        <f>'Pantry Inventory'!$A$34</f>
        <v>Sep Week 2</v>
      </c>
      <c r="D156" s="178" t="str">
        <f>IF('Pantry Inventory'!A56="","",'Pantry Inventory'!A56)</f>
        <v>Vsoy</v>
      </c>
      <c r="E156" s="178" t="str">
        <f>IF('Pantry Inventory'!B56="","",'Pantry Inventory'!B56)</f>
        <v>Vsoy Soya Bean  250ml</v>
      </c>
      <c r="F156" s="178" t="str">
        <f>IF(E156="","",IFERROR(IF(INDEX('Item Purchases'!$S$4:$S$30,MATCH(E156,'Item Purchases'!$B$4:$B$30,0))="","Uncategorised",INDEX('Item Purchases'!$S$4:$S$30,MATCH(E156,'Item Purchases'!$B$4:$B$30,0))),"Uncategorised"))</f>
        <v>Other</v>
      </c>
      <c r="G156" s="178">
        <f>IF(E156="",0,'Pantry Inventory'!D56)</f>
        <v>0</v>
      </c>
      <c r="H156" s="178">
        <f>IF(E156="","",IF('Pantry Inventory'!E56="","",'Pantry Inventory'!E56))</f>
        <v>53</v>
      </c>
      <c r="I156" s="178">
        <f>IF(H156="","",'Pantry Inventory'!F56)</f>
        <v>13</v>
      </c>
      <c r="J156" s="179">
        <f>IF(E156="",0,IFERROR(INDEX('Item Purchases'!$Q$4:$Q$30,MATCH(E156,'Item Purchases'!$B$4:$B$30,0)),0))</f>
        <v>1.25</v>
      </c>
      <c r="K156" s="180">
        <f t="shared" si="18"/>
        <v>16.25</v>
      </c>
      <c r="L156" s="178">
        <f t="shared" si="19"/>
        <v>1</v>
      </c>
      <c r="M156" s="178">
        <f>IF(E156="",0,IF(AND(OR(OR(Dashboard!$E$5="All",Dashboard!$E$5=""),AG156=Dashboard!$E$5),OR(OR(Dashboard!$H$5="All",Dashboard!$H$5=""),F156=Dashboard!$H$5),OR(OR(Dashboard!$B$5="All",Dashboard!$B$5=""),C156=Dashboard!$B$5),OR(OR(Dashboard!$K$5="All",Dashboard!$K$5=""),A156=Dashboard!$K$5),OR(OR(Dashboard!$N$5="All",Dashboard!$N$5=""),B156=Dashboard!$N$5),OR(OR(Dashboard!$Q$5="All",Dashboard!$Q$5=""),D156=Dashboard!$Q$5),OR(OR(Dashboard!$U$5="All",Dashboard!$U$5=""),E156=Dashboard!$U$5)),1,0))</f>
        <v>1</v>
      </c>
      <c r="N156" s="178">
        <f>IF(E156="",0,IF(AND(OR(OR(Dashboard!$E$5="All",Dashboard!$E$5=""),AG156=Dashboard!$E$5),OR(OR(Dashboard!$B$5="All",Dashboard!$B$5=""),C156=Dashboard!$B$5),OR(OR(Dashboard!$K$5="All",Dashboard!$K$5=""),A156=Dashboard!$K$5),OR(OR(Dashboard!$N$5="All",Dashboard!$N$5=""),B156=Dashboard!$N$5),OR(OR(Dashboard!$Q$5="All",Dashboard!$Q$5=""),D156=Dashboard!$Q$5),OR(OR(Dashboard!$U$5="All",Dashboard!$U$5=""),E156=Dashboard!$U$5)),1,0))</f>
        <v>1</v>
      </c>
      <c r="O156" s="165">
        <f t="shared" si="20"/>
        <v>169</v>
      </c>
      <c r="AG156" s="178" t="str">
        <f>IF(E156="","",IFERROR(IF(INDEX('Item Purchases'!$AM$4:$AM$30,MATCH(E156,'Item Purchases'!$B$4:$B$30,0))="","Uncategorised",INDEX('Item Purchases'!$AM$4:$AM$30,MATCH(E156,'Item Purchases'!$B$4:$B$30,0))),"Uncategorised"))</f>
        <v>Beverages</v>
      </c>
      <c r="AH156" s="165">
        <f>IF(AND(E156&lt;&gt;"",L156=1),COUNTIFS($E$2:E156,E156,$L$2:L156,1),0)</f>
        <v>6</v>
      </c>
      <c r="AI156" s="165">
        <f t="shared" si="21"/>
        <v>13</v>
      </c>
      <c r="AJ156" s="165">
        <f t="shared" si="22"/>
        <v>1</v>
      </c>
    </row>
    <row r="157" spans="1:36" x14ac:dyDescent="0.25">
      <c r="A157" s="177">
        <f t="shared" si="23"/>
        <v>46273</v>
      </c>
      <c r="B157" s="178" t="str">
        <f t="shared" si="17"/>
        <v>Tue</v>
      </c>
      <c r="C157" s="178" t="str">
        <f>'Pantry Inventory'!$A$34</f>
        <v>Sep Week 2</v>
      </c>
      <c r="D157" s="178" t="str">
        <f>IF('Pantry Inventory'!A57="","",'Pantry Inventory'!A57)</f>
        <v>BingRae</v>
      </c>
      <c r="E157" s="178" t="str">
        <f>IF('Pantry Inventory'!B57="","",'Pantry Inventory'!B57)</f>
        <v>BingRae Banana Milk 200ml</v>
      </c>
      <c r="F157" s="178" t="str">
        <f>IF(E157="","",IFERROR(IF(INDEX('Item Purchases'!$S$4:$S$30,MATCH(E157,'Item Purchases'!$B$4:$B$30,0))="","Uncategorised",INDEX('Item Purchases'!$S$4:$S$30,MATCH(E157,'Item Purchases'!$B$4:$B$30,0))),"Uncategorised"))</f>
        <v>Other</v>
      </c>
      <c r="G157" s="178">
        <f>IF(E157="",0,'Pantry Inventory'!D57)</f>
        <v>72</v>
      </c>
      <c r="H157" s="178">
        <f>IF(E157="","",IF('Pantry Inventory'!E57="","",'Pantry Inventory'!E57))</f>
        <v>72</v>
      </c>
      <c r="I157" s="178">
        <f>IF(H157="","",'Pantry Inventory'!F57)</f>
        <v>0</v>
      </c>
      <c r="J157" s="179">
        <f>IF(E157="",0,IFERROR(INDEX('Item Purchases'!$Q$4:$Q$30,MATCH(E157,'Item Purchases'!$B$4:$B$30,0)),0))</f>
        <v>3.3159999999999998</v>
      </c>
      <c r="K157" s="180">
        <f t="shared" si="18"/>
        <v>0</v>
      </c>
      <c r="L157" s="178">
        <f t="shared" si="19"/>
        <v>1</v>
      </c>
      <c r="M157" s="178">
        <f>IF(E157="",0,IF(AND(OR(OR(Dashboard!$E$5="All",Dashboard!$E$5=""),AG157=Dashboard!$E$5),OR(OR(Dashboard!$H$5="All",Dashboard!$H$5=""),F157=Dashboard!$H$5),OR(OR(Dashboard!$B$5="All",Dashboard!$B$5=""),C157=Dashboard!$B$5),OR(OR(Dashboard!$K$5="All",Dashboard!$K$5=""),A157=Dashboard!$K$5),OR(OR(Dashboard!$N$5="All",Dashboard!$N$5=""),B157=Dashboard!$N$5),OR(OR(Dashboard!$Q$5="All",Dashboard!$Q$5=""),D157=Dashboard!$Q$5),OR(OR(Dashboard!$U$5="All",Dashboard!$U$5=""),E157=Dashboard!$U$5)),1,0))</f>
        <v>1</v>
      </c>
      <c r="N157" s="178">
        <f>IF(E157="",0,IF(AND(OR(OR(Dashboard!$E$5="All",Dashboard!$E$5=""),AG157=Dashboard!$E$5),OR(OR(Dashboard!$B$5="All",Dashboard!$B$5=""),C157=Dashboard!$B$5),OR(OR(Dashboard!$K$5="All",Dashboard!$K$5=""),A157=Dashboard!$K$5),OR(OR(Dashboard!$N$5="All",Dashboard!$N$5=""),B157=Dashboard!$N$5),OR(OR(Dashboard!$Q$5="All",Dashboard!$Q$5=""),D157=Dashboard!$Q$5),OR(OR(Dashboard!$U$5="All",Dashboard!$U$5=""),E157=Dashboard!$U$5)),1,0))</f>
        <v>1</v>
      </c>
      <c r="O157" s="165">
        <f t="shared" si="20"/>
        <v>0</v>
      </c>
      <c r="AG157" s="178" t="str">
        <f>IF(E157="","",IFERROR(IF(INDEX('Item Purchases'!$AM$4:$AM$30,MATCH(E157,'Item Purchases'!$B$4:$B$30,0))="","Uncategorised",INDEX('Item Purchases'!$AM$4:$AM$30,MATCH(E157,'Item Purchases'!$B$4:$B$30,0))),"Uncategorised"))</f>
        <v>Beverages</v>
      </c>
      <c r="AH157" s="165">
        <f>IF(AND(E157&lt;&gt;"",L157=1),COUNTIFS($E$2:E157,E157,$L$2:L157,1),0)</f>
        <v>6</v>
      </c>
      <c r="AI157" s="165">
        <f t="shared" si="21"/>
        <v>0</v>
      </c>
      <c r="AJ157" s="165">
        <f t="shared" si="22"/>
        <v>1</v>
      </c>
    </row>
    <row r="158" spans="1:36" x14ac:dyDescent="0.25">
      <c r="A158" s="177">
        <f t="shared" si="23"/>
        <v>46273</v>
      </c>
      <c r="B158" s="178" t="str">
        <f t="shared" si="17"/>
        <v>Tue</v>
      </c>
      <c r="C158" s="178" t="str">
        <f>'Pantry Inventory'!$A$34</f>
        <v>Sep Week 2</v>
      </c>
      <c r="D158" s="178" t="str">
        <f>IF('Pantry Inventory'!A58="","",'Pantry Inventory'!A58)</f>
        <v>Fuze Tea</v>
      </c>
      <c r="E158" s="178" t="str">
        <f>IF('Pantry Inventory'!B58="","",'Pantry Inventory'!B58)</f>
        <v>Fuze Tea by Heaven and Earth Jasmine Tea</v>
      </c>
      <c r="F158" s="178" t="str">
        <f>IF(E158="","",IFERROR(IF(INDEX('Item Purchases'!$S$4:$S$30,MATCH(E158,'Item Purchases'!$B$4:$B$30,0))="","Uncategorised",INDEX('Item Purchases'!$S$4:$S$30,MATCH(E158,'Item Purchases'!$B$4:$B$30,0))),"Uncategorised"))</f>
        <v>Tea</v>
      </c>
      <c r="G158" s="178">
        <f>IF(E158="",0,'Pantry Inventory'!D58)</f>
        <v>0</v>
      </c>
      <c r="H158" s="178">
        <f>IF(E158="","",IF('Pantry Inventory'!E58="","",'Pantry Inventory'!E58))</f>
        <v>0</v>
      </c>
      <c r="I158" s="178">
        <f>IF(H158="","",'Pantry Inventory'!F58)</f>
        <v>0</v>
      </c>
      <c r="J158" s="179">
        <f>IF(E158="",0,IFERROR(INDEX('Item Purchases'!$Q$4:$Q$30,MATCH(E158,'Item Purchases'!$B$4:$B$30,0)),0))</f>
        <v>1.167</v>
      </c>
      <c r="K158" s="180">
        <f t="shared" si="18"/>
        <v>0</v>
      </c>
      <c r="L158" s="178">
        <f t="shared" si="19"/>
        <v>1</v>
      </c>
      <c r="M158" s="178">
        <f>IF(E158="",0,IF(AND(OR(OR(Dashboard!$E$5="All",Dashboard!$E$5=""),AG158=Dashboard!$E$5),OR(OR(Dashboard!$H$5="All",Dashboard!$H$5=""),F158=Dashboard!$H$5),OR(OR(Dashboard!$B$5="All",Dashboard!$B$5=""),C158=Dashboard!$B$5),OR(OR(Dashboard!$K$5="All",Dashboard!$K$5=""),A158=Dashboard!$K$5),OR(OR(Dashboard!$N$5="All",Dashboard!$N$5=""),B158=Dashboard!$N$5),OR(OR(Dashboard!$Q$5="All",Dashboard!$Q$5=""),D158=Dashboard!$Q$5),OR(OR(Dashboard!$U$5="All",Dashboard!$U$5=""),E158=Dashboard!$U$5)),1,0))</f>
        <v>1</v>
      </c>
      <c r="N158" s="178">
        <f>IF(E158="",0,IF(AND(OR(OR(Dashboard!$E$5="All",Dashboard!$E$5=""),AG158=Dashboard!$E$5),OR(OR(Dashboard!$B$5="All",Dashboard!$B$5=""),C158=Dashboard!$B$5),OR(OR(Dashboard!$K$5="All",Dashboard!$K$5=""),A158=Dashboard!$K$5),OR(OR(Dashboard!$N$5="All",Dashboard!$N$5=""),B158=Dashboard!$N$5),OR(OR(Dashboard!$Q$5="All",Dashboard!$Q$5=""),D158=Dashboard!$Q$5),OR(OR(Dashboard!$U$5="All",Dashboard!$U$5=""),E158=Dashboard!$U$5)),1,0))</f>
        <v>1</v>
      </c>
      <c r="O158" s="165">
        <f t="shared" si="20"/>
        <v>0</v>
      </c>
      <c r="AG158" s="178" t="str">
        <f>IF(E158="","",IFERROR(IF(INDEX('Item Purchases'!$AM$4:$AM$30,MATCH(E158,'Item Purchases'!$B$4:$B$30,0))="","Uncategorised",INDEX('Item Purchases'!$AM$4:$AM$30,MATCH(E158,'Item Purchases'!$B$4:$B$30,0))),"Uncategorised"))</f>
        <v>Beverages</v>
      </c>
      <c r="AH158" s="165">
        <f>IF(AND(E158&lt;&gt;"",L158=1),COUNTIFS($E$2:E158,E158,$L$2:L158,1),0)</f>
        <v>6</v>
      </c>
      <c r="AI158" s="165">
        <f t="shared" si="21"/>
        <v>0</v>
      </c>
      <c r="AJ158" s="165">
        <f t="shared" si="22"/>
        <v>0</v>
      </c>
    </row>
    <row r="159" spans="1:36" x14ac:dyDescent="0.25">
      <c r="A159" s="177">
        <f t="shared" si="23"/>
        <v>46273</v>
      </c>
      <c r="B159" s="178" t="str">
        <f t="shared" si="17"/>
        <v>Tue</v>
      </c>
      <c r="C159" s="178" t="str">
        <f>'Pantry Inventory'!$A$34</f>
        <v>Sep Week 2</v>
      </c>
      <c r="D159" s="178" t="str">
        <f>IF('Pantry Inventory'!A59="","",'Pantry Inventory'!A59)</f>
        <v>F&amp;N</v>
      </c>
      <c r="E159" s="178" t="str">
        <f>IF('Pantry Inventory'!B59="","",'Pantry Inventory'!B59)</f>
        <v>FN 100 plus (original) 325ml</v>
      </c>
      <c r="F159" s="178" t="str">
        <f>IF(E159="","",IFERROR(IF(INDEX('Item Purchases'!$S$4:$S$30,MATCH(E159,'Item Purchases'!$B$4:$B$30,0))="","Uncategorised",INDEX('Item Purchases'!$S$4:$S$30,MATCH(E159,'Item Purchases'!$B$4:$B$30,0))),"Uncategorised"))</f>
        <v>Other</v>
      </c>
      <c r="G159" s="178">
        <f>IF(E159="",0,'Pantry Inventory'!D59)</f>
        <v>0</v>
      </c>
      <c r="H159" s="178">
        <f>IF(E159="","",IF('Pantry Inventory'!E59="","",'Pantry Inventory'!E59))</f>
        <v>54</v>
      </c>
      <c r="I159" s="178">
        <f>IF(H159="","",'Pantry Inventory'!F59)</f>
        <v>12</v>
      </c>
      <c r="J159" s="179">
        <f>IF(E159="",0,IFERROR(INDEX('Item Purchases'!$Q$4:$Q$30,MATCH(E159,'Item Purchases'!$B$4:$B$30,0)),0))</f>
        <v>1.58</v>
      </c>
      <c r="K159" s="180">
        <f t="shared" si="18"/>
        <v>18.96</v>
      </c>
      <c r="L159" s="178">
        <f t="shared" si="19"/>
        <v>1</v>
      </c>
      <c r="M159" s="178">
        <f>IF(E159="",0,IF(AND(OR(OR(Dashboard!$E$5="All",Dashboard!$E$5=""),AG159=Dashboard!$E$5),OR(OR(Dashboard!$H$5="All",Dashboard!$H$5=""),F159=Dashboard!$H$5),OR(OR(Dashboard!$B$5="All",Dashboard!$B$5=""),C159=Dashboard!$B$5),OR(OR(Dashboard!$K$5="All",Dashboard!$K$5=""),A159=Dashboard!$K$5),OR(OR(Dashboard!$N$5="All",Dashboard!$N$5=""),B159=Dashboard!$N$5),OR(OR(Dashboard!$Q$5="All",Dashboard!$Q$5=""),D159=Dashboard!$Q$5),OR(OR(Dashboard!$U$5="All",Dashboard!$U$5=""),E159=Dashboard!$U$5)),1,0))</f>
        <v>1</v>
      </c>
      <c r="N159" s="178">
        <f>IF(E159="",0,IF(AND(OR(OR(Dashboard!$E$5="All",Dashboard!$E$5=""),AG159=Dashboard!$E$5),OR(OR(Dashboard!$B$5="All",Dashboard!$B$5=""),C159=Dashboard!$B$5),OR(OR(Dashboard!$K$5="All",Dashboard!$K$5=""),A159=Dashboard!$K$5),OR(OR(Dashboard!$N$5="All",Dashboard!$N$5=""),B159=Dashboard!$N$5),OR(OR(Dashboard!$Q$5="All",Dashboard!$Q$5=""),D159=Dashboard!$Q$5),OR(OR(Dashboard!$U$5="All",Dashboard!$U$5=""),E159=Dashboard!$U$5)),1,0))</f>
        <v>1</v>
      </c>
      <c r="O159" s="165">
        <f t="shared" si="20"/>
        <v>144</v>
      </c>
      <c r="AG159" s="178" t="str">
        <f>IF(E159="","",IFERROR(IF(INDEX('Item Purchases'!$AM$4:$AM$30,MATCH(E159,'Item Purchases'!$B$4:$B$30,0))="","Uncategorised",INDEX('Item Purchases'!$AM$4:$AM$30,MATCH(E159,'Item Purchases'!$B$4:$B$30,0))),"Uncategorised"))</f>
        <v>Beverages</v>
      </c>
      <c r="AH159" s="165">
        <f>IF(AND(E159&lt;&gt;"",L159=1),COUNTIFS($E$2:E159,E159,$L$2:L159,1),0)</f>
        <v>6</v>
      </c>
      <c r="AI159" s="165">
        <f t="shared" si="21"/>
        <v>12</v>
      </c>
      <c r="AJ159" s="165">
        <f t="shared" si="22"/>
        <v>1</v>
      </c>
    </row>
    <row r="160" spans="1:36" x14ac:dyDescent="0.25">
      <c r="A160" s="177">
        <f t="shared" si="23"/>
        <v>46273</v>
      </c>
      <c r="B160" s="178" t="str">
        <f t="shared" si="17"/>
        <v>Tue</v>
      </c>
      <c r="C160" s="178" t="str">
        <f>'Pantry Inventory'!$A$34</f>
        <v>Sep Week 2</v>
      </c>
      <c r="D160" s="178" t="str">
        <f>IF('Pantry Inventory'!A60="","",'Pantry Inventory'!A60)</f>
        <v>Spritzer</v>
      </c>
      <c r="E160" s="178" t="str">
        <f>IF('Pantry Inventory'!B60="","",'Pantry Inventory'!B60)</f>
        <v>Spritzer sparkling water (original) 400ml</v>
      </c>
      <c r="F160" s="178" t="str">
        <f>IF(E160="","",IFERROR(IF(INDEX('Item Purchases'!$S$4:$S$30,MATCH(E160,'Item Purchases'!$B$4:$B$30,0))="","Uncategorised",INDEX('Item Purchases'!$S$4:$S$30,MATCH(E160,'Item Purchases'!$B$4:$B$30,0))),"Uncategorised"))</f>
        <v>Other</v>
      </c>
      <c r="G160" s="178">
        <f>IF(E160="",0,'Pantry Inventory'!D60)</f>
        <v>0</v>
      </c>
      <c r="H160" s="178">
        <f>IF(E160="","",IF('Pantry Inventory'!E60="","",'Pantry Inventory'!E60))</f>
        <v>18</v>
      </c>
      <c r="I160" s="178">
        <f>IF(H160="","",'Pantry Inventory'!F60)</f>
        <v>30</v>
      </c>
      <c r="J160" s="179">
        <f>IF(E160="",0,IFERROR(INDEX('Item Purchases'!$Q$4:$Q$30,MATCH(E160,'Item Purchases'!$B$4:$B$30,0)),0))</f>
        <v>1.616666666666666</v>
      </c>
      <c r="K160" s="180">
        <f t="shared" si="18"/>
        <v>48.499999999999979</v>
      </c>
      <c r="L160" s="178">
        <f t="shared" si="19"/>
        <v>1</v>
      </c>
      <c r="M160" s="178">
        <f>IF(E160="",0,IF(AND(OR(OR(Dashboard!$E$5="All",Dashboard!$E$5=""),AG160=Dashboard!$E$5),OR(OR(Dashboard!$H$5="All",Dashboard!$H$5=""),F160=Dashboard!$H$5),OR(OR(Dashboard!$B$5="All",Dashboard!$B$5=""),C160=Dashboard!$B$5),OR(OR(Dashboard!$K$5="All",Dashboard!$K$5=""),A160=Dashboard!$K$5),OR(OR(Dashboard!$N$5="All",Dashboard!$N$5=""),B160=Dashboard!$N$5),OR(OR(Dashboard!$Q$5="All",Dashboard!$Q$5=""),D160=Dashboard!$Q$5),OR(OR(Dashboard!$U$5="All",Dashboard!$U$5=""),E160=Dashboard!$U$5)),1,0))</f>
        <v>1</v>
      </c>
      <c r="N160" s="178">
        <f>IF(E160="",0,IF(AND(OR(OR(Dashboard!$E$5="All",Dashboard!$E$5=""),AG160=Dashboard!$E$5),OR(OR(Dashboard!$B$5="All",Dashboard!$B$5=""),C160=Dashboard!$B$5),OR(OR(Dashboard!$K$5="All",Dashboard!$K$5=""),A160=Dashboard!$K$5),OR(OR(Dashboard!$N$5="All",Dashboard!$N$5=""),B160=Dashboard!$N$5),OR(OR(Dashboard!$Q$5="All",Dashboard!$Q$5=""),D160=Dashboard!$Q$5),OR(OR(Dashboard!$U$5="All",Dashboard!$U$5=""),E160=Dashboard!$U$5)),1,0))</f>
        <v>1</v>
      </c>
      <c r="O160" s="165">
        <f t="shared" si="20"/>
        <v>900</v>
      </c>
      <c r="AG160" s="178" t="str">
        <f>IF(E160="","",IFERROR(IF(INDEX('Item Purchases'!$AM$4:$AM$30,MATCH(E160,'Item Purchases'!$B$4:$B$30,0))="","Uncategorised",INDEX('Item Purchases'!$AM$4:$AM$30,MATCH(E160,'Item Purchases'!$B$4:$B$30,0))),"Uncategorised"))</f>
        <v>Beverages</v>
      </c>
      <c r="AH160" s="165">
        <f>IF(AND(E160&lt;&gt;"",L160=1),COUNTIFS($E$2:E160,E160,$L$2:L160,1),0)</f>
        <v>6</v>
      </c>
      <c r="AI160" s="165">
        <f t="shared" si="21"/>
        <v>30</v>
      </c>
      <c r="AJ160" s="165">
        <f t="shared" si="22"/>
        <v>1</v>
      </c>
    </row>
    <row r="161" spans="1:36" x14ac:dyDescent="0.25">
      <c r="A161" s="177">
        <f t="shared" si="23"/>
        <v>46273</v>
      </c>
      <c r="B161" s="178" t="str">
        <f t="shared" si="17"/>
        <v>Tue</v>
      </c>
      <c r="C161" s="178" t="str">
        <f>'Pantry Inventory'!$A$34</f>
        <v>Sep Week 2</v>
      </c>
      <c r="D161" s="178" t="str">
        <f>IF('Pantry Inventory'!A61="","",'Pantry Inventory'!A61)</f>
        <v>Oat Side</v>
      </c>
      <c r="E161" s="178" t="str">
        <f>IF('Pantry Inventory'!B61="","",'Pantry Inventory'!B61)</f>
        <v>Oat Side Original 200ml</v>
      </c>
      <c r="F161" s="178" t="str">
        <f>IF(E161="","",IFERROR(IF(INDEX('Item Purchases'!$S$4:$S$30,MATCH(E161,'Item Purchases'!$B$4:$B$30,0))="","Uncategorised",INDEX('Item Purchases'!$S$4:$S$30,MATCH(E161,'Item Purchases'!$B$4:$B$30,0))),"Uncategorised"))</f>
        <v>Other</v>
      </c>
      <c r="G161" s="178">
        <f>IF(E161="",0,'Pantry Inventory'!D61)</f>
        <v>0</v>
      </c>
      <c r="H161" s="178">
        <f>IF(E161="","",IF('Pantry Inventory'!E61="","",'Pantry Inventory'!E61))</f>
        <v>28</v>
      </c>
      <c r="I161" s="178">
        <f>IF(H161="","",'Pantry Inventory'!F61)</f>
        <v>20</v>
      </c>
      <c r="J161" s="179">
        <f>IF(E161="",0,IFERROR(INDEX('Item Purchases'!$Q$4:$Q$30,MATCH(E161,'Item Purchases'!$B$4:$B$30,0)),0))</f>
        <v>3</v>
      </c>
      <c r="K161" s="180">
        <f t="shared" si="18"/>
        <v>60</v>
      </c>
      <c r="L161" s="178">
        <f t="shared" si="19"/>
        <v>1</v>
      </c>
      <c r="M161" s="178">
        <f>IF(E161="",0,IF(AND(OR(OR(Dashboard!$E$5="All",Dashboard!$E$5=""),AG161=Dashboard!$E$5),OR(OR(Dashboard!$H$5="All",Dashboard!$H$5=""),F161=Dashboard!$H$5),OR(OR(Dashboard!$B$5="All",Dashboard!$B$5=""),C161=Dashboard!$B$5),OR(OR(Dashboard!$K$5="All",Dashboard!$K$5=""),A161=Dashboard!$K$5),OR(OR(Dashboard!$N$5="All",Dashboard!$N$5=""),B161=Dashboard!$N$5),OR(OR(Dashboard!$Q$5="All",Dashboard!$Q$5=""),D161=Dashboard!$Q$5),OR(OR(Dashboard!$U$5="All",Dashboard!$U$5=""),E161=Dashboard!$U$5)),1,0))</f>
        <v>1</v>
      </c>
      <c r="N161" s="178">
        <f>IF(E161="",0,IF(AND(OR(OR(Dashboard!$E$5="All",Dashboard!$E$5=""),AG161=Dashboard!$E$5),OR(OR(Dashboard!$B$5="All",Dashboard!$B$5=""),C161=Dashboard!$B$5),OR(OR(Dashboard!$K$5="All",Dashboard!$K$5=""),A161=Dashboard!$K$5),OR(OR(Dashboard!$N$5="All",Dashboard!$N$5=""),B161=Dashboard!$N$5),OR(OR(Dashboard!$Q$5="All",Dashboard!$Q$5=""),D161=Dashboard!$Q$5),OR(OR(Dashboard!$U$5="All",Dashboard!$U$5=""),E161=Dashboard!$U$5)),1,0))</f>
        <v>1</v>
      </c>
      <c r="O161" s="165">
        <f t="shared" si="20"/>
        <v>400</v>
      </c>
      <c r="AG161" s="178" t="str">
        <f>IF(E161="","",IFERROR(IF(INDEX('Item Purchases'!$AM$4:$AM$30,MATCH(E161,'Item Purchases'!$B$4:$B$30,0))="","Uncategorised",INDEX('Item Purchases'!$AM$4:$AM$30,MATCH(E161,'Item Purchases'!$B$4:$B$30,0))),"Uncategorised"))</f>
        <v>Beverages</v>
      </c>
      <c r="AH161" s="165">
        <f>IF(AND(E161&lt;&gt;"",L161=1),COUNTIFS($E$2:E161,E161,$L$2:L161,1),0)</f>
        <v>6</v>
      </c>
      <c r="AI161" s="165">
        <f t="shared" si="21"/>
        <v>20</v>
      </c>
      <c r="AJ161" s="165">
        <f t="shared" si="22"/>
        <v>1</v>
      </c>
    </row>
    <row r="162" spans="1:36" x14ac:dyDescent="0.25">
      <c r="A162" s="177">
        <f t="shared" si="23"/>
        <v>46273</v>
      </c>
      <c r="B162" s="178" t="str">
        <f t="shared" si="17"/>
        <v>Tue</v>
      </c>
      <c r="C162" s="178" t="str">
        <f>'Pantry Inventory'!$A$34</f>
        <v>Sep Week 2</v>
      </c>
      <c r="D162" s="178" t="str">
        <f>IF('Pantry Inventory'!A62="","",'Pantry Inventory'!A62)</f>
        <v>Oat Side</v>
      </c>
      <c r="E162" s="178" t="str">
        <f>IF('Pantry Inventory'!B62="","",'Pantry Inventory'!B62)</f>
        <v>Oat Side Chocolate 200ml</v>
      </c>
      <c r="F162" s="178" t="str">
        <f>IF(E162="","",IFERROR(IF(INDEX('Item Purchases'!$S$4:$S$30,MATCH(E162,'Item Purchases'!$B$4:$B$30,0))="","Uncategorised",INDEX('Item Purchases'!$S$4:$S$30,MATCH(E162,'Item Purchases'!$B$4:$B$30,0))),"Uncategorised"))</f>
        <v>Other</v>
      </c>
      <c r="G162" s="178">
        <f>IF(E162="",0,'Pantry Inventory'!D62)</f>
        <v>0</v>
      </c>
      <c r="H162" s="178">
        <f>IF(E162="","",IF('Pantry Inventory'!E62="","",'Pantry Inventory'!E62))</f>
        <v>0</v>
      </c>
      <c r="I162" s="178">
        <f>IF(H162="","",'Pantry Inventory'!F62)</f>
        <v>0</v>
      </c>
      <c r="J162" s="179">
        <f>IF(E162="",0,IFERROR(INDEX('Item Purchases'!$Q$4:$Q$30,MATCH(E162,'Item Purchases'!$B$4:$B$30,0)),0))</f>
        <v>3</v>
      </c>
      <c r="K162" s="180">
        <f t="shared" si="18"/>
        <v>0</v>
      </c>
      <c r="L162" s="178">
        <f t="shared" si="19"/>
        <v>1</v>
      </c>
      <c r="M162" s="178">
        <f>IF(E162="",0,IF(AND(OR(OR(Dashboard!$E$5="All",Dashboard!$E$5=""),AG162=Dashboard!$E$5),OR(OR(Dashboard!$H$5="All",Dashboard!$H$5=""),F162=Dashboard!$H$5),OR(OR(Dashboard!$B$5="All",Dashboard!$B$5=""),C162=Dashboard!$B$5),OR(OR(Dashboard!$K$5="All",Dashboard!$K$5=""),A162=Dashboard!$K$5),OR(OR(Dashboard!$N$5="All",Dashboard!$N$5=""),B162=Dashboard!$N$5),OR(OR(Dashboard!$Q$5="All",Dashboard!$Q$5=""),D162=Dashboard!$Q$5),OR(OR(Dashboard!$U$5="All",Dashboard!$U$5=""),E162=Dashboard!$U$5)),1,0))</f>
        <v>1</v>
      </c>
      <c r="N162" s="178">
        <f>IF(E162="",0,IF(AND(OR(OR(Dashboard!$E$5="All",Dashboard!$E$5=""),AG162=Dashboard!$E$5),OR(OR(Dashboard!$B$5="All",Dashboard!$B$5=""),C162=Dashboard!$B$5),OR(OR(Dashboard!$K$5="All",Dashboard!$K$5=""),A162=Dashboard!$K$5),OR(OR(Dashboard!$N$5="All",Dashboard!$N$5=""),B162=Dashboard!$N$5),OR(OR(Dashboard!$Q$5="All",Dashboard!$Q$5=""),D162=Dashboard!$Q$5),OR(OR(Dashboard!$U$5="All",Dashboard!$U$5=""),E162=Dashboard!$U$5)),1,0))</f>
        <v>1</v>
      </c>
      <c r="O162" s="165">
        <f t="shared" si="20"/>
        <v>0</v>
      </c>
      <c r="AG162" s="178" t="str">
        <f>IF(E162="","",IFERROR(IF(INDEX('Item Purchases'!$AM$4:$AM$30,MATCH(E162,'Item Purchases'!$B$4:$B$30,0))="","Uncategorised",INDEX('Item Purchases'!$AM$4:$AM$30,MATCH(E162,'Item Purchases'!$B$4:$B$30,0))),"Uncategorised"))</f>
        <v>Beverages</v>
      </c>
      <c r="AH162" s="165">
        <f>IF(AND(E162&lt;&gt;"",L162=1),COUNTIFS($E$2:E162,E162,$L$2:L162,1),0)</f>
        <v>6</v>
      </c>
      <c r="AI162" s="165">
        <f t="shared" si="21"/>
        <v>0</v>
      </c>
      <c r="AJ162" s="165">
        <f t="shared" si="22"/>
        <v>0</v>
      </c>
    </row>
    <row r="163" spans="1:36" x14ac:dyDescent="0.25">
      <c r="A163" s="177">
        <f t="shared" si="23"/>
        <v>46273</v>
      </c>
      <c r="B163" s="178" t="str">
        <f t="shared" si="17"/>
        <v>Tue</v>
      </c>
      <c r="C163" s="178" t="str">
        <f>'Pantry Inventory'!$A$34</f>
        <v>Sep Week 2</v>
      </c>
      <c r="D163" s="178" t="str">
        <f>IF('Pantry Inventory'!A63="","",'Pantry Inventory'!A63)</f>
        <v/>
      </c>
      <c r="E163" s="178" t="str">
        <f>IF('Pantry Inventory'!B63="","",'Pantry Inventory'!B63)</f>
        <v/>
      </c>
      <c r="F163" s="178" t="str">
        <f>IF(E163="","",IFERROR(IF(INDEX('Item Purchases'!$S$4:$S$30,MATCH(E163,'Item Purchases'!$B$4:$B$30,0))="","Uncategorised",INDEX('Item Purchases'!$S$4:$S$30,MATCH(E163,'Item Purchases'!$B$4:$B$30,0))),"Uncategorised"))</f>
        <v/>
      </c>
      <c r="G163" s="178">
        <f>IF(E163="",0,'Pantry Inventory'!D63)</f>
        <v>0</v>
      </c>
      <c r="H163" s="178" t="str">
        <f>IF(E163="","",IF('Pantry Inventory'!E63="","",'Pantry Inventory'!E63))</f>
        <v/>
      </c>
      <c r="I163" s="178" t="str">
        <f>IF(H163="","",'Pantry Inventory'!F63)</f>
        <v/>
      </c>
      <c r="J163" s="179">
        <f>IF(E163="",0,IFERROR(INDEX('Item Purchases'!$Q$4:$Q$30,MATCH(E163,'Item Purchases'!$B$4:$B$30,0)),0))</f>
        <v>0</v>
      </c>
      <c r="K163" s="180" t="str">
        <f t="shared" si="18"/>
        <v/>
      </c>
      <c r="L163" s="178">
        <f t="shared" si="19"/>
        <v>0</v>
      </c>
      <c r="M163" s="178">
        <f>IF(E163="",0,IF(AND(OR(OR(Dashboard!$E$5="All",Dashboard!$E$5=""),AG163=Dashboard!$E$5),OR(OR(Dashboard!$H$5="All",Dashboard!$H$5=""),F163=Dashboard!$H$5),OR(OR(Dashboard!$B$5="All",Dashboard!$B$5=""),C163=Dashboard!$B$5),OR(OR(Dashboard!$K$5="All",Dashboard!$K$5=""),A163=Dashboard!$K$5),OR(OR(Dashboard!$N$5="All",Dashboard!$N$5=""),B163=Dashboard!$N$5),OR(OR(Dashboard!$Q$5="All",Dashboard!$Q$5=""),D163=Dashboard!$Q$5),OR(OR(Dashboard!$U$5="All",Dashboard!$U$5=""),E163=Dashboard!$U$5)),1,0))</f>
        <v>0</v>
      </c>
      <c r="N163" s="178">
        <f>IF(E163="",0,IF(AND(OR(OR(Dashboard!$E$5="All",Dashboard!$E$5=""),AG163=Dashboard!$E$5),OR(OR(Dashboard!$B$5="All",Dashboard!$B$5=""),C163=Dashboard!$B$5),OR(OR(Dashboard!$K$5="All",Dashboard!$K$5=""),A163=Dashboard!$K$5),OR(OR(Dashboard!$N$5="All",Dashboard!$N$5=""),B163=Dashboard!$N$5),OR(OR(Dashboard!$Q$5="All",Dashboard!$Q$5=""),D163=Dashboard!$Q$5),OR(OR(Dashboard!$U$5="All",Dashboard!$U$5=""),E163=Dashboard!$U$5)),1,0))</f>
        <v>0</v>
      </c>
      <c r="O163" s="165">
        <f t="shared" si="20"/>
        <v>0</v>
      </c>
      <c r="AG163" s="178" t="str">
        <f>IF(E163="","",IFERROR(IF(INDEX('Item Purchases'!$AM$4:$AM$30,MATCH(E163,'Item Purchases'!$B$4:$B$30,0))="","Uncategorised",INDEX('Item Purchases'!$AM$4:$AM$30,MATCH(E163,'Item Purchases'!$B$4:$B$30,0))),"Uncategorised"))</f>
        <v/>
      </c>
      <c r="AH163" s="165">
        <f>IF(AND(E163&lt;&gt;"",L163=1),COUNTIFS($E$2:E163,E163,$L$2:L163,1),0)</f>
        <v>0</v>
      </c>
      <c r="AI163" s="165">
        <f t="shared" si="21"/>
        <v>0</v>
      </c>
      <c r="AJ163" s="165">
        <f t="shared" si="22"/>
        <v>0</v>
      </c>
    </row>
    <row r="164" spans="1:36" x14ac:dyDescent="0.25">
      <c r="A164" s="177">
        <f t="shared" ref="A164:A190" si="24">IF($Z$8="",0,$Z$8)</f>
        <v>46274</v>
      </c>
      <c r="B164" s="178" t="str">
        <f t="shared" si="17"/>
        <v>Wed</v>
      </c>
      <c r="C164" s="178" t="str">
        <f>'Pantry Inventory'!$A$34</f>
        <v>Sep Week 2</v>
      </c>
      <c r="D164" s="178" t="str">
        <f>IF('Pantry Inventory'!A37="","",'Pantry Inventory'!A37)</f>
        <v>Julie's</v>
      </c>
      <c r="E164" s="178" t="str">
        <f>IF('Pantry Inventory'!B37="","",'Pantry Inventory'!B37)</f>
        <v>Julie's Peanut Butter Sandwich 360g (12pkts x 30g)</v>
      </c>
      <c r="F164" s="178" t="str">
        <f>IF(E164="","",IFERROR(IF(INDEX('Item Purchases'!$S$4:$S$30,MATCH(E164,'Item Purchases'!$B$4:$B$30,0))="","Uncategorised",INDEX('Item Purchases'!$S$4:$S$30,MATCH(E164,'Item Purchases'!$B$4:$B$30,0))),"Uncategorised"))</f>
        <v>Sweet</v>
      </c>
      <c r="G164" s="178">
        <f>IF(E164="",0,'Pantry Inventory'!G37)</f>
        <v>0</v>
      </c>
      <c r="H164" s="178">
        <f>IF(E164="","",IF('Pantry Inventory'!H37="","",'Pantry Inventory'!H37))</f>
        <v>44</v>
      </c>
      <c r="I164" s="178">
        <f>IF(H164="","",'Pantry Inventory'!I37)</f>
        <v>0</v>
      </c>
      <c r="J164" s="179">
        <f>IF(E164="",0,IFERROR(INDEX('Item Purchases'!$Q$4:$Q$30,MATCH(E164,'Item Purchases'!$B$4:$B$30,0)),0))</f>
        <v>1.083</v>
      </c>
      <c r="K164" s="180">
        <f t="shared" si="18"/>
        <v>0</v>
      </c>
      <c r="L164" s="178">
        <f t="shared" si="19"/>
        <v>1</v>
      </c>
      <c r="M164" s="178">
        <f>IF(E164="",0,IF(AND(OR(OR(Dashboard!$E$5="All",Dashboard!$E$5=""),AG164=Dashboard!$E$5),OR(OR(Dashboard!$H$5="All",Dashboard!$H$5=""),F164=Dashboard!$H$5),OR(OR(Dashboard!$B$5="All",Dashboard!$B$5=""),C164=Dashboard!$B$5),OR(OR(Dashboard!$K$5="All",Dashboard!$K$5=""),A164=Dashboard!$K$5),OR(OR(Dashboard!$N$5="All",Dashboard!$N$5=""),B164=Dashboard!$N$5),OR(OR(Dashboard!$Q$5="All",Dashboard!$Q$5=""),D164=Dashboard!$Q$5),OR(OR(Dashboard!$U$5="All",Dashboard!$U$5=""),E164=Dashboard!$U$5)),1,0))</f>
        <v>1</v>
      </c>
      <c r="N164" s="178">
        <f>IF(E164="",0,IF(AND(OR(OR(Dashboard!$E$5="All",Dashboard!$E$5=""),AG164=Dashboard!$E$5),OR(OR(Dashboard!$B$5="All",Dashboard!$B$5=""),C164=Dashboard!$B$5),OR(OR(Dashboard!$K$5="All",Dashboard!$K$5=""),A164=Dashboard!$K$5),OR(OR(Dashboard!$N$5="All",Dashboard!$N$5=""),B164=Dashboard!$N$5),OR(OR(Dashboard!$Q$5="All",Dashboard!$Q$5=""),D164=Dashboard!$Q$5),OR(OR(Dashboard!$U$5="All",Dashboard!$U$5=""),E164=Dashboard!$U$5)),1,0))</f>
        <v>1</v>
      </c>
      <c r="O164" s="165">
        <f t="shared" si="20"/>
        <v>0</v>
      </c>
      <c r="AG164" s="178" t="str">
        <f>IF(E164="","",IFERROR(IF(INDEX('Item Purchases'!$AM$4:$AM$30,MATCH(E164,'Item Purchases'!$B$4:$B$30,0))="","Uncategorised",INDEX('Item Purchases'!$AM$4:$AM$30,MATCH(E164,'Item Purchases'!$B$4:$B$30,0))),"Uncategorised"))</f>
        <v>Snacks</v>
      </c>
      <c r="AH164" s="165">
        <f>IF(AND(E164&lt;&gt;"",L164=1),COUNTIFS($E$2:E164,E164,$L$2:L164,1),0)</f>
        <v>7</v>
      </c>
      <c r="AI164" s="165">
        <f t="shared" si="21"/>
        <v>0</v>
      </c>
      <c r="AJ164" s="165">
        <f t="shared" si="22"/>
        <v>1</v>
      </c>
    </row>
    <row r="165" spans="1:36" x14ac:dyDescent="0.25">
      <c r="A165" s="177">
        <f t="shared" si="24"/>
        <v>46274</v>
      </c>
      <c r="B165" s="178" t="str">
        <f t="shared" si="17"/>
        <v>Wed</v>
      </c>
      <c r="C165" s="178" t="str">
        <f>'Pantry Inventory'!$A$34</f>
        <v>Sep Week 2</v>
      </c>
      <c r="D165" s="178" t="str">
        <f>IF('Pantry Inventory'!A38="","",'Pantry Inventory'!A38)</f>
        <v>Julie's</v>
      </c>
      <c r="E165" s="178" t="str">
        <f>IF('Pantry Inventory'!B38="","",'Pantry Inventory'!B38)</f>
        <v>Julies Butter Waffles</v>
      </c>
      <c r="F165" s="178" t="str">
        <f>IF(E165="","",IFERROR(IF(INDEX('Item Purchases'!$S$4:$S$30,MATCH(E165,'Item Purchases'!$B$4:$B$30,0))="","Uncategorised",INDEX('Item Purchases'!$S$4:$S$30,MATCH(E165,'Item Purchases'!$B$4:$B$30,0))),"Uncategorised"))</f>
        <v>Sweet</v>
      </c>
      <c r="G165" s="178">
        <f>IF(E165="",0,'Pantry Inventory'!G38)</f>
        <v>10</v>
      </c>
      <c r="H165" s="178">
        <f>IF(E165="","",IF('Pantry Inventory'!H38="","",'Pantry Inventory'!H38))</f>
        <v>15</v>
      </c>
      <c r="I165" s="178">
        <f>IF(H165="","",'Pantry Inventory'!I38)</f>
        <v>0</v>
      </c>
      <c r="J165" s="179">
        <f>IF(E165="",0,IFERROR(INDEX('Item Purchases'!$Q$4:$Q$30,MATCH(E165,'Item Purchases'!$B$4:$B$30,0)),0))</f>
        <v>5.15</v>
      </c>
      <c r="K165" s="180">
        <f t="shared" si="18"/>
        <v>0</v>
      </c>
      <c r="L165" s="178">
        <f t="shared" si="19"/>
        <v>1</v>
      </c>
      <c r="M165" s="178">
        <f>IF(E165="",0,IF(AND(OR(OR(Dashboard!$E$5="All",Dashboard!$E$5=""),AG165=Dashboard!$E$5),OR(OR(Dashboard!$H$5="All",Dashboard!$H$5=""),F165=Dashboard!$H$5),OR(OR(Dashboard!$B$5="All",Dashboard!$B$5=""),C165=Dashboard!$B$5),OR(OR(Dashboard!$K$5="All",Dashboard!$K$5=""),A165=Dashboard!$K$5),OR(OR(Dashboard!$N$5="All",Dashboard!$N$5=""),B165=Dashboard!$N$5),OR(OR(Dashboard!$Q$5="All",Dashboard!$Q$5=""),D165=Dashboard!$Q$5),OR(OR(Dashboard!$U$5="All",Dashboard!$U$5=""),E165=Dashboard!$U$5)),1,0))</f>
        <v>1</v>
      </c>
      <c r="N165" s="178">
        <f>IF(E165="",0,IF(AND(OR(OR(Dashboard!$E$5="All",Dashboard!$E$5=""),AG165=Dashboard!$E$5),OR(OR(Dashboard!$B$5="All",Dashboard!$B$5=""),C165=Dashboard!$B$5),OR(OR(Dashboard!$K$5="All",Dashboard!$K$5=""),A165=Dashboard!$K$5),OR(OR(Dashboard!$N$5="All",Dashboard!$N$5=""),B165=Dashboard!$N$5),OR(OR(Dashboard!$Q$5="All",Dashboard!$Q$5=""),D165=Dashboard!$Q$5),OR(OR(Dashboard!$U$5="All",Dashboard!$U$5=""),E165=Dashboard!$U$5)),1,0))</f>
        <v>1</v>
      </c>
      <c r="O165" s="165">
        <f t="shared" si="20"/>
        <v>0</v>
      </c>
      <c r="AG165" s="178" t="str">
        <f>IF(E165="","",IFERROR(IF(INDEX('Item Purchases'!$AM$4:$AM$30,MATCH(E165,'Item Purchases'!$B$4:$B$30,0))="","Uncategorised",INDEX('Item Purchases'!$AM$4:$AM$30,MATCH(E165,'Item Purchases'!$B$4:$B$30,0))),"Uncategorised"))</f>
        <v>Snacks</v>
      </c>
      <c r="AH165" s="165">
        <f>IF(AND(E165&lt;&gt;"",L165=1),COUNTIFS($E$2:E165,E165,$L$2:L165,1),0)</f>
        <v>7</v>
      </c>
      <c r="AI165" s="165">
        <f t="shared" si="21"/>
        <v>0</v>
      </c>
      <c r="AJ165" s="165">
        <f t="shared" si="22"/>
        <v>1</v>
      </c>
    </row>
    <row r="166" spans="1:36" x14ac:dyDescent="0.25">
      <c r="A166" s="177">
        <f t="shared" si="24"/>
        <v>46274</v>
      </c>
      <c r="B166" s="178" t="str">
        <f t="shared" si="17"/>
        <v>Wed</v>
      </c>
      <c r="C166" s="178" t="str">
        <f>'Pantry Inventory'!$A$34</f>
        <v>Sep Week 2</v>
      </c>
      <c r="D166" s="178" t="str">
        <f>IF('Pantry Inventory'!A39="","",'Pantry Inventory'!A39)</f>
        <v>Julie's</v>
      </c>
      <c r="E166" s="178" t="str">
        <f>IF('Pantry Inventory'!B39="","",'Pantry Inventory'!B39)</f>
        <v>Julies Choco More Sandwich (44G)</v>
      </c>
      <c r="F166" s="178" t="str">
        <f>IF(E166="","",IFERROR(IF(INDEX('Item Purchases'!$S$4:$S$30,MATCH(E166,'Item Purchases'!$B$4:$B$30,0))="","Uncategorised",INDEX('Item Purchases'!$S$4:$S$30,MATCH(E166,'Item Purchases'!$B$4:$B$30,0))),"Uncategorised"))</f>
        <v>Sweet</v>
      </c>
      <c r="G166" s="178">
        <f>IF(E166="",0,'Pantry Inventory'!G39)</f>
        <v>0</v>
      </c>
      <c r="H166" s="178">
        <f>IF(E166="","",IF('Pantry Inventory'!H39="","",'Pantry Inventory'!H39))</f>
        <v>0</v>
      </c>
      <c r="I166" s="178">
        <f>IF(H166="","",'Pantry Inventory'!I39)</f>
        <v>0</v>
      </c>
      <c r="J166" s="179">
        <f>IF(E166="",0,IFERROR(INDEX('Item Purchases'!$Q$4:$Q$30,MATCH(E166,'Item Purchases'!$B$4:$B$30,0)),0))</f>
        <v>1.2</v>
      </c>
      <c r="K166" s="180">
        <f t="shared" si="18"/>
        <v>0</v>
      </c>
      <c r="L166" s="178">
        <f t="shared" si="19"/>
        <v>1</v>
      </c>
      <c r="M166" s="178">
        <f>IF(E166="",0,IF(AND(OR(OR(Dashboard!$E$5="All",Dashboard!$E$5=""),AG166=Dashboard!$E$5),OR(OR(Dashboard!$H$5="All",Dashboard!$H$5=""),F166=Dashboard!$H$5),OR(OR(Dashboard!$B$5="All",Dashboard!$B$5=""),C166=Dashboard!$B$5),OR(OR(Dashboard!$K$5="All",Dashboard!$K$5=""),A166=Dashboard!$K$5),OR(OR(Dashboard!$N$5="All",Dashboard!$N$5=""),B166=Dashboard!$N$5),OR(OR(Dashboard!$Q$5="All",Dashboard!$Q$5=""),D166=Dashboard!$Q$5),OR(OR(Dashboard!$U$5="All",Dashboard!$U$5=""),E166=Dashboard!$U$5)),1,0))</f>
        <v>1</v>
      </c>
      <c r="N166" s="178">
        <f>IF(E166="",0,IF(AND(OR(OR(Dashboard!$E$5="All",Dashboard!$E$5=""),AG166=Dashboard!$E$5),OR(OR(Dashboard!$B$5="All",Dashboard!$B$5=""),C166=Dashboard!$B$5),OR(OR(Dashboard!$K$5="All",Dashboard!$K$5=""),A166=Dashboard!$K$5),OR(OR(Dashboard!$N$5="All",Dashboard!$N$5=""),B166=Dashboard!$N$5),OR(OR(Dashboard!$Q$5="All",Dashboard!$Q$5=""),D166=Dashboard!$Q$5),OR(OR(Dashboard!$U$5="All",Dashboard!$U$5=""),E166=Dashboard!$U$5)),1,0))</f>
        <v>1</v>
      </c>
      <c r="O166" s="165">
        <f t="shared" si="20"/>
        <v>0</v>
      </c>
      <c r="AG166" s="178" t="str">
        <f>IF(E166="","",IFERROR(IF(INDEX('Item Purchases'!$AM$4:$AM$30,MATCH(E166,'Item Purchases'!$B$4:$B$30,0))="","Uncategorised",INDEX('Item Purchases'!$AM$4:$AM$30,MATCH(E166,'Item Purchases'!$B$4:$B$30,0))),"Uncategorised"))</f>
        <v>Snacks</v>
      </c>
      <c r="AH166" s="165">
        <f>IF(AND(E166&lt;&gt;"",L166=1),COUNTIFS($E$2:E166,E166,$L$2:L166,1),0)</f>
        <v>7</v>
      </c>
      <c r="AI166" s="165">
        <f t="shared" si="21"/>
        <v>0</v>
      </c>
      <c r="AJ166" s="165">
        <f t="shared" si="22"/>
        <v>0</v>
      </c>
    </row>
    <row r="167" spans="1:36" x14ac:dyDescent="0.25">
      <c r="A167" s="177">
        <f t="shared" si="24"/>
        <v>46274</v>
      </c>
      <c r="B167" s="178" t="str">
        <f t="shared" si="17"/>
        <v>Wed</v>
      </c>
      <c r="C167" s="178" t="str">
        <f>'Pantry Inventory'!$A$34</f>
        <v>Sep Week 2</v>
      </c>
      <c r="D167" s="178" t="str">
        <f>IF('Pantry Inventory'!A40="","",'Pantry Inventory'!A40)</f>
        <v>Julie's</v>
      </c>
      <c r="E167" s="178" t="str">
        <f>IF('Pantry Inventory'!B40="","",'Pantry Inventory'!B40)</f>
        <v>Julies Cheese Sandwich (28G)</v>
      </c>
      <c r="F167" s="178" t="str">
        <f>IF(E167="","",IFERROR(IF(INDEX('Item Purchases'!$S$4:$S$30,MATCH(E167,'Item Purchases'!$B$4:$B$30,0))="","Uncategorised",INDEX('Item Purchases'!$S$4:$S$30,MATCH(E167,'Item Purchases'!$B$4:$B$30,0))),"Uncategorised"))</f>
        <v>Savoury</v>
      </c>
      <c r="G167" s="178">
        <f>IF(E167="",0,'Pantry Inventory'!G40)</f>
        <v>0</v>
      </c>
      <c r="H167" s="178">
        <f>IF(E167="","",IF('Pantry Inventory'!H40="","",'Pantry Inventory'!H40))</f>
        <v>39</v>
      </c>
      <c r="I167" s="178">
        <f>IF(H167="","",'Pantry Inventory'!I40)</f>
        <v>8</v>
      </c>
      <c r="J167" s="179">
        <f>IF(E167="",0,IFERROR(INDEX('Item Purchases'!$Q$4:$Q$30,MATCH(E167,'Item Purchases'!$B$4:$B$30,0)),0))</f>
        <v>1.1000000000000001</v>
      </c>
      <c r="K167" s="180">
        <f t="shared" si="18"/>
        <v>8.8000000000000007</v>
      </c>
      <c r="L167" s="178">
        <f t="shared" si="19"/>
        <v>1</v>
      </c>
      <c r="M167" s="178">
        <f>IF(E167="",0,IF(AND(OR(OR(Dashboard!$E$5="All",Dashboard!$E$5=""),AG167=Dashboard!$E$5),OR(OR(Dashboard!$H$5="All",Dashboard!$H$5=""),F167=Dashboard!$H$5),OR(OR(Dashboard!$B$5="All",Dashboard!$B$5=""),C167=Dashboard!$B$5),OR(OR(Dashboard!$K$5="All",Dashboard!$K$5=""),A167=Dashboard!$K$5),OR(OR(Dashboard!$N$5="All",Dashboard!$N$5=""),B167=Dashboard!$N$5),OR(OR(Dashboard!$Q$5="All",Dashboard!$Q$5=""),D167=Dashboard!$Q$5),OR(OR(Dashboard!$U$5="All",Dashboard!$U$5=""),E167=Dashboard!$U$5)),1,0))</f>
        <v>1</v>
      </c>
      <c r="N167" s="178">
        <f>IF(E167="",0,IF(AND(OR(OR(Dashboard!$E$5="All",Dashboard!$E$5=""),AG167=Dashboard!$E$5),OR(OR(Dashboard!$B$5="All",Dashboard!$B$5=""),C167=Dashboard!$B$5),OR(OR(Dashboard!$K$5="All",Dashboard!$K$5=""),A167=Dashboard!$K$5),OR(OR(Dashboard!$N$5="All",Dashboard!$N$5=""),B167=Dashboard!$N$5),OR(OR(Dashboard!$Q$5="All",Dashboard!$Q$5=""),D167=Dashboard!$Q$5),OR(OR(Dashboard!$U$5="All",Dashboard!$U$5=""),E167=Dashboard!$U$5)),1,0))</f>
        <v>1</v>
      </c>
      <c r="O167" s="165">
        <f t="shared" si="20"/>
        <v>64</v>
      </c>
      <c r="AG167" s="178" t="str">
        <f>IF(E167="","",IFERROR(IF(INDEX('Item Purchases'!$AM$4:$AM$30,MATCH(E167,'Item Purchases'!$B$4:$B$30,0))="","Uncategorised",INDEX('Item Purchases'!$AM$4:$AM$30,MATCH(E167,'Item Purchases'!$B$4:$B$30,0))),"Uncategorised"))</f>
        <v>Snacks</v>
      </c>
      <c r="AH167" s="165">
        <f>IF(AND(E167&lt;&gt;"",L167=1),COUNTIFS($E$2:E167,E167,$L$2:L167,1),0)</f>
        <v>7</v>
      </c>
      <c r="AI167" s="165">
        <f t="shared" si="21"/>
        <v>8</v>
      </c>
      <c r="AJ167" s="165">
        <f t="shared" si="22"/>
        <v>1</v>
      </c>
    </row>
    <row r="168" spans="1:36" x14ac:dyDescent="0.25">
      <c r="A168" s="177">
        <f t="shared" si="24"/>
        <v>46274</v>
      </c>
      <c r="B168" s="178" t="str">
        <f t="shared" si="17"/>
        <v>Wed</v>
      </c>
      <c r="C168" s="178" t="str">
        <f>'Pantry Inventory'!$A$34</f>
        <v>Sep Week 2</v>
      </c>
      <c r="D168" s="178" t="str">
        <f>IF('Pantry Inventory'!A41="","",'Pantry Inventory'!A41)</f>
        <v>Nature Valley</v>
      </c>
      <c r="E168" s="178" t="str">
        <f>IF('Pantry Inventory'!B41="","",'Pantry Inventory'!B41)</f>
        <v>NV OATS &amp; DARK CHOC 42GX5</v>
      </c>
      <c r="F168" s="178" t="str">
        <f>IF(E168="","",IFERROR(IF(INDEX('Item Purchases'!$S$4:$S$30,MATCH(E168,'Item Purchases'!$B$4:$B$30,0))="","Uncategorised",INDEX('Item Purchases'!$S$4:$S$30,MATCH(E168,'Item Purchases'!$B$4:$B$30,0))),"Uncategorised"))</f>
        <v>Sweet</v>
      </c>
      <c r="G168" s="178">
        <f>IF(E168="",0,'Pantry Inventory'!G41)</f>
        <v>0</v>
      </c>
      <c r="H168" s="178">
        <f>IF(E168="","",IF('Pantry Inventory'!H41="","",'Pantry Inventory'!H41))</f>
        <v>0</v>
      </c>
      <c r="I168" s="178">
        <f>IF(H168="","",'Pantry Inventory'!I41)</f>
        <v>0</v>
      </c>
      <c r="J168" s="179">
        <f>IF(E168="",0,IFERROR(INDEX('Item Purchases'!$Q$4:$Q$30,MATCH(E168,'Item Purchases'!$B$4:$B$30,0)),0))</f>
        <v>2.78</v>
      </c>
      <c r="K168" s="180">
        <f t="shared" si="18"/>
        <v>0</v>
      </c>
      <c r="L168" s="178">
        <f t="shared" si="19"/>
        <v>1</v>
      </c>
      <c r="M168" s="178">
        <f>IF(E168="",0,IF(AND(OR(OR(Dashboard!$E$5="All",Dashboard!$E$5=""),AG168=Dashboard!$E$5),OR(OR(Dashboard!$H$5="All",Dashboard!$H$5=""),F168=Dashboard!$H$5),OR(OR(Dashboard!$B$5="All",Dashboard!$B$5=""),C168=Dashboard!$B$5),OR(OR(Dashboard!$K$5="All",Dashboard!$K$5=""),A168=Dashboard!$K$5),OR(OR(Dashboard!$N$5="All",Dashboard!$N$5=""),B168=Dashboard!$N$5),OR(OR(Dashboard!$Q$5="All",Dashboard!$Q$5=""),D168=Dashboard!$Q$5),OR(OR(Dashboard!$U$5="All",Dashboard!$U$5=""),E168=Dashboard!$U$5)),1,0))</f>
        <v>1</v>
      </c>
      <c r="N168" s="178">
        <f>IF(E168="",0,IF(AND(OR(OR(Dashboard!$E$5="All",Dashboard!$E$5=""),AG168=Dashboard!$E$5),OR(OR(Dashboard!$B$5="All",Dashboard!$B$5=""),C168=Dashboard!$B$5),OR(OR(Dashboard!$K$5="All",Dashboard!$K$5=""),A168=Dashboard!$K$5),OR(OR(Dashboard!$N$5="All",Dashboard!$N$5=""),B168=Dashboard!$N$5),OR(OR(Dashboard!$Q$5="All",Dashboard!$Q$5=""),D168=Dashboard!$Q$5),OR(OR(Dashboard!$U$5="All",Dashboard!$U$5=""),E168=Dashboard!$U$5)),1,0))</f>
        <v>1</v>
      </c>
      <c r="O168" s="165">
        <f t="shared" si="20"/>
        <v>0</v>
      </c>
      <c r="AG168" s="178" t="str">
        <f>IF(E168="","",IFERROR(IF(INDEX('Item Purchases'!$AM$4:$AM$30,MATCH(E168,'Item Purchases'!$B$4:$B$30,0))="","Uncategorised",INDEX('Item Purchases'!$AM$4:$AM$30,MATCH(E168,'Item Purchases'!$B$4:$B$30,0))),"Uncategorised"))</f>
        <v>Snacks</v>
      </c>
      <c r="AH168" s="165">
        <f>IF(AND(E168&lt;&gt;"",L168=1),COUNTIFS($E$2:E168,E168,$L$2:L168,1),0)</f>
        <v>7</v>
      </c>
      <c r="AI168" s="165">
        <f t="shared" si="21"/>
        <v>0</v>
      </c>
      <c r="AJ168" s="165">
        <f t="shared" si="22"/>
        <v>0</v>
      </c>
    </row>
    <row r="169" spans="1:36" x14ac:dyDescent="0.25">
      <c r="A169" s="177">
        <f t="shared" si="24"/>
        <v>46274</v>
      </c>
      <c r="B169" s="178" t="str">
        <f t="shared" si="17"/>
        <v>Wed</v>
      </c>
      <c r="C169" s="178" t="str">
        <f>'Pantry Inventory'!$A$34</f>
        <v>Sep Week 2</v>
      </c>
      <c r="D169" s="178" t="str">
        <f>IF('Pantry Inventory'!A42="","",'Pantry Inventory'!A42)</f>
        <v>Nature Valley</v>
      </c>
      <c r="E169" s="178" t="str">
        <f>IF('Pantry Inventory'!B42="","",'Pantry Inventory'!B42)</f>
        <v xml:space="preserve">NV PROTEIN - SALTED CARAMEL 40G </v>
      </c>
      <c r="F169" s="178" t="str">
        <f>IF(E169="","",IFERROR(IF(INDEX('Item Purchases'!$S$4:$S$30,MATCH(E169,'Item Purchases'!$B$4:$B$30,0))="","Uncategorised",INDEX('Item Purchases'!$S$4:$S$30,MATCH(E169,'Item Purchases'!$B$4:$B$30,0))),"Uncategorised"))</f>
        <v>Sweet</v>
      </c>
      <c r="G169" s="178">
        <f>IF(E169="",0,'Pantry Inventory'!G42)</f>
        <v>0</v>
      </c>
      <c r="H169" s="178">
        <f>IF(E169="","",IF('Pantry Inventory'!H42="","",'Pantry Inventory'!H42))</f>
        <v>0</v>
      </c>
      <c r="I169" s="178">
        <f>IF(H169="","",'Pantry Inventory'!I42)</f>
        <v>0</v>
      </c>
      <c r="J169" s="179">
        <f>IF(E169="",0,IFERROR(INDEX('Item Purchases'!$Q$4:$Q$30,MATCH(E169,'Item Purchases'!$B$4:$B$30,0)),0))</f>
        <v>4.9000000000000004</v>
      </c>
      <c r="K169" s="180">
        <f t="shared" si="18"/>
        <v>0</v>
      </c>
      <c r="L169" s="178">
        <f t="shared" si="19"/>
        <v>1</v>
      </c>
      <c r="M169" s="178">
        <f>IF(E169="",0,IF(AND(OR(OR(Dashboard!$E$5="All",Dashboard!$E$5=""),AG169=Dashboard!$E$5),OR(OR(Dashboard!$H$5="All",Dashboard!$H$5=""),F169=Dashboard!$H$5),OR(OR(Dashboard!$B$5="All",Dashboard!$B$5=""),C169=Dashboard!$B$5),OR(OR(Dashboard!$K$5="All",Dashboard!$K$5=""),A169=Dashboard!$K$5),OR(OR(Dashboard!$N$5="All",Dashboard!$N$5=""),B169=Dashboard!$N$5),OR(OR(Dashboard!$Q$5="All",Dashboard!$Q$5=""),D169=Dashboard!$Q$5),OR(OR(Dashboard!$U$5="All",Dashboard!$U$5=""),E169=Dashboard!$U$5)),1,0))</f>
        <v>1</v>
      </c>
      <c r="N169" s="178">
        <f>IF(E169="",0,IF(AND(OR(OR(Dashboard!$E$5="All",Dashboard!$E$5=""),AG169=Dashboard!$E$5),OR(OR(Dashboard!$B$5="All",Dashboard!$B$5=""),C169=Dashboard!$B$5),OR(OR(Dashboard!$K$5="All",Dashboard!$K$5=""),A169=Dashboard!$K$5),OR(OR(Dashboard!$N$5="All",Dashboard!$N$5=""),B169=Dashboard!$N$5),OR(OR(Dashboard!$Q$5="All",Dashboard!$Q$5=""),D169=Dashboard!$Q$5),OR(OR(Dashboard!$U$5="All",Dashboard!$U$5=""),E169=Dashboard!$U$5)),1,0))</f>
        <v>1</v>
      </c>
      <c r="O169" s="165">
        <f t="shared" si="20"/>
        <v>0</v>
      </c>
      <c r="AG169" s="178" t="str">
        <f>IF(E169="","",IFERROR(IF(INDEX('Item Purchases'!$AM$4:$AM$30,MATCH(E169,'Item Purchases'!$B$4:$B$30,0))="","Uncategorised",INDEX('Item Purchases'!$AM$4:$AM$30,MATCH(E169,'Item Purchases'!$B$4:$B$30,0))),"Uncategorised"))</f>
        <v>Snacks</v>
      </c>
      <c r="AH169" s="165">
        <f>IF(AND(E169&lt;&gt;"",L169=1),COUNTIFS($E$2:E169,E169,$L$2:L169,1),0)</f>
        <v>7</v>
      </c>
      <c r="AI169" s="165">
        <f t="shared" si="21"/>
        <v>0</v>
      </c>
      <c r="AJ169" s="165">
        <f t="shared" si="22"/>
        <v>0</v>
      </c>
    </row>
    <row r="170" spans="1:36" x14ac:dyDescent="0.25">
      <c r="A170" s="177">
        <f t="shared" si="24"/>
        <v>46274</v>
      </c>
      <c r="B170" s="178" t="str">
        <f t="shared" si="17"/>
        <v>Wed</v>
      </c>
      <c r="C170" s="178" t="str">
        <f>'Pantry Inventory'!$A$34</f>
        <v>Sep Week 2</v>
      </c>
      <c r="D170" s="178" t="str">
        <f>IF('Pantry Inventory'!A43="","",'Pantry Inventory'!A43)</f>
        <v>BBMG</v>
      </c>
      <c r="E170" s="178" t="str">
        <f>IF('Pantry Inventory'!B43="","",'Pantry Inventory'!B43)</f>
        <v>BBMG 90G</v>
      </c>
      <c r="F170" s="178" t="str">
        <f>IF(E170="","",IFERROR(IF(INDEX('Item Purchases'!$S$4:$S$30,MATCH(E170,'Item Purchases'!$B$4:$B$30,0))="","Uncategorised",INDEX('Item Purchases'!$S$4:$S$30,MATCH(E170,'Item Purchases'!$B$4:$B$30,0))),"Uncategorised"))</f>
        <v>Savoury</v>
      </c>
      <c r="G170" s="178">
        <f>IF(E170="",0,'Pantry Inventory'!G43)</f>
        <v>0</v>
      </c>
      <c r="H170" s="178">
        <f>IF(E170="","",IF('Pantry Inventory'!H43="","",'Pantry Inventory'!H43))</f>
        <v>55</v>
      </c>
      <c r="I170" s="178">
        <f>IF(H170="","",'Pantry Inventory'!I43)</f>
        <v>41</v>
      </c>
      <c r="J170" s="179">
        <f>IF(E170="",0,IFERROR(INDEX('Item Purchases'!$Q$4:$Q$30,MATCH(E170,'Item Purchases'!$B$4:$B$30,0)),0))</f>
        <v>0.34300000000000003</v>
      </c>
      <c r="K170" s="180">
        <f t="shared" si="18"/>
        <v>14.063000000000001</v>
      </c>
      <c r="L170" s="178">
        <f t="shared" si="19"/>
        <v>1</v>
      </c>
      <c r="M170" s="178">
        <f>IF(E170="",0,IF(AND(OR(OR(Dashboard!$E$5="All",Dashboard!$E$5=""),AG170=Dashboard!$E$5),OR(OR(Dashboard!$H$5="All",Dashboard!$H$5=""),F170=Dashboard!$H$5),OR(OR(Dashboard!$B$5="All",Dashboard!$B$5=""),C170=Dashboard!$B$5),OR(OR(Dashboard!$K$5="All",Dashboard!$K$5=""),A170=Dashboard!$K$5),OR(OR(Dashboard!$N$5="All",Dashboard!$N$5=""),B170=Dashboard!$N$5),OR(OR(Dashboard!$Q$5="All",Dashboard!$Q$5=""),D170=Dashboard!$Q$5),OR(OR(Dashboard!$U$5="All",Dashboard!$U$5=""),E170=Dashboard!$U$5)),1,0))</f>
        <v>1</v>
      </c>
      <c r="N170" s="178">
        <f>IF(E170="",0,IF(AND(OR(OR(Dashboard!$E$5="All",Dashboard!$E$5=""),AG170=Dashboard!$E$5),OR(OR(Dashboard!$B$5="All",Dashboard!$B$5=""),C170=Dashboard!$B$5),OR(OR(Dashboard!$K$5="All",Dashboard!$K$5=""),A170=Dashboard!$K$5),OR(OR(Dashboard!$N$5="All",Dashboard!$N$5=""),B170=Dashboard!$N$5),OR(OR(Dashboard!$Q$5="All",Dashboard!$Q$5=""),D170=Dashboard!$Q$5),OR(OR(Dashboard!$U$5="All",Dashboard!$U$5=""),E170=Dashboard!$U$5)),1,0))</f>
        <v>1</v>
      </c>
      <c r="O170" s="165">
        <f t="shared" si="20"/>
        <v>1681</v>
      </c>
      <c r="AG170" s="178" t="str">
        <f>IF(E170="","",IFERROR(IF(INDEX('Item Purchases'!$AM$4:$AM$30,MATCH(E170,'Item Purchases'!$B$4:$B$30,0))="","Uncategorised",INDEX('Item Purchases'!$AM$4:$AM$30,MATCH(E170,'Item Purchases'!$B$4:$B$30,0))),"Uncategorised"))</f>
        <v>Snacks</v>
      </c>
      <c r="AH170" s="165">
        <f>IF(AND(E170&lt;&gt;"",L170=1),COUNTIFS($E$2:E170,E170,$L$2:L170,1),0)</f>
        <v>7</v>
      </c>
      <c r="AI170" s="165">
        <f t="shared" si="21"/>
        <v>41</v>
      </c>
      <c r="AJ170" s="165">
        <f t="shared" si="22"/>
        <v>1</v>
      </c>
    </row>
    <row r="171" spans="1:36" x14ac:dyDescent="0.25">
      <c r="A171" s="177">
        <f t="shared" si="24"/>
        <v>46274</v>
      </c>
      <c r="B171" s="178" t="str">
        <f t="shared" si="17"/>
        <v>Wed</v>
      </c>
      <c r="C171" s="178" t="str">
        <f>'Pantry Inventory'!$A$34</f>
        <v>Sep Week 2</v>
      </c>
      <c r="D171" s="178" t="str">
        <f>IF('Pantry Inventory'!A44="","",'Pantry Inventory'!A44)</f>
        <v>Lays</v>
      </c>
      <c r="E171" s="178" t="str">
        <f>IF('Pantry Inventory'!B44="","",'Pantry Inventory'!B44)</f>
        <v>Lays Potato Chips (Original) 50g</v>
      </c>
      <c r="F171" s="178" t="str">
        <f>IF(E171="","",IFERROR(IF(INDEX('Item Purchases'!$S$4:$S$30,MATCH(E171,'Item Purchases'!$B$4:$B$30,0))="","Uncategorised",INDEX('Item Purchases'!$S$4:$S$30,MATCH(E171,'Item Purchases'!$B$4:$B$30,0))),"Uncategorised"))</f>
        <v>Savoury</v>
      </c>
      <c r="G171" s="178">
        <f>IF(E171="",0,'Pantry Inventory'!G44)</f>
        <v>0</v>
      </c>
      <c r="H171" s="178">
        <f>IF(E171="","",IF('Pantry Inventory'!H44="","",'Pantry Inventory'!H44))</f>
        <v>20</v>
      </c>
      <c r="I171" s="178">
        <f>IF(H171="","",'Pantry Inventory'!I44)</f>
        <v>2</v>
      </c>
      <c r="J171" s="179">
        <f>IF(E171="",0,IFERROR(INDEX('Item Purchases'!$Q$4:$Q$30,MATCH(E171,'Item Purchases'!$B$4:$B$30,0)),0))</f>
        <v>3.4580000000000002</v>
      </c>
      <c r="K171" s="180">
        <f t="shared" si="18"/>
        <v>6.9160000000000004</v>
      </c>
      <c r="L171" s="178">
        <f t="shared" si="19"/>
        <v>1</v>
      </c>
      <c r="M171" s="178">
        <f>IF(E171="",0,IF(AND(OR(OR(Dashboard!$E$5="All",Dashboard!$E$5=""),AG171=Dashboard!$E$5),OR(OR(Dashboard!$H$5="All",Dashboard!$H$5=""),F171=Dashboard!$H$5),OR(OR(Dashboard!$B$5="All",Dashboard!$B$5=""),C171=Dashboard!$B$5),OR(OR(Dashboard!$K$5="All",Dashboard!$K$5=""),A171=Dashboard!$K$5),OR(OR(Dashboard!$N$5="All",Dashboard!$N$5=""),B171=Dashboard!$N$5),OR(OR(Dashboard!$Q$5="All",Dashboard!$Q$5=""),D171=Dashboard!$Q$5),OR(OR(Dashboard!$U$5="All",Dashboard!$U$5=""),E171=Dashboard!$U$5)),1,0))</f>
        <v>1</v>
      </c>
      <c r="N171" s="178">
        <f>IF(E171="",0,IF(AND(OR(OR(Dashboard!$E$5="All",Dashboard!$E$5=""),AG171=Dashboard!$E$5),OR(OR(Dashboard!$B$5="All",Dashboard!$B$5=""),C171=Dashboard!$B$5),OR(OR(Dashboard!$K$5="All",Dashboard!$K$5=""),A171=Dashboard!$K$5),OR(OR(Dashboard!$N$5="All",Dashboard!$N$5=""),B171=Dashboard!$N$5),OR(OR(Dashboard!$Q$5="All",Dashboard!$Q$5=""),D171=Dashboard!$Q$5),OR(OR(Dashboard!$U$5="All",Dashboard!$U$5=""),E171=Dashboard!$U$5)),1,0))</f>
        <v>1</v>
      </c>
      <c r="O171" s="165">
        <f t="shared" si="20"/>
        <v>4</v>
      </c>
      <c r="AG171" s="178" t="str">
        <f>IF(E171="","",IFERROR(IF(INDEX('Item Purchases'!$AM$4:$AM$30,MATCH(E171,'Item Purchases'!$B$4:$B$30,0))="","Uncategorised",INDEX('Item Purchases'!$AM$4:$AM$30,MATCH(E171,'Item Purchases'!$B$4:$B$30,0))),"Uncategorised"))</f>
        <v>Snacks</v>
      </c>
      <c r="AH171" s="165">
        <f>IF(AND(E171&lt;&gt;"",L171=1),COUNTIFS($E$2:E171,E171,$L$2:L171,1),0)</f>
        <v>7</v>
      </c>
      <c r="AI171" s="165">
        <f t="shared" si="21"/>
        <v>2</v>
      </c>
      <c r="AJ171" s="165">
        <f t="shared" si="22"/>
        <v>1</v>
      </c>
    </row>
    <row r="172" spans="1:36" x14ac:dyDescent="0.25">
      <c r="A172" s="177">
        <f t="shared" si="24"/>
        <v>46274</v>
      </c>
      <c r="B172" s="178" t="str">
        <f t="shared" si="17"/>
        <v>Wed</v>
      </c>
      <c r="C172" s="178" t="str">
        <f>'Pantry Inventory'!$A$34</f>
        <v>Sep Week 2</v>
      </c>
      <c r="D172" s="178" t="str">
        <f>IF('Pantry Inventory'!A45="","",'Pantry Inventory'!A45)</f>
        <v>Lays</v>
      </c>
      <c r="E172" s="178" t="str">
        <f>IF('Pantry Inventory'!B45="","",'Pantry Inventory'!B45)</f>
        <v xml:space="preserve">Lays Double Crunch - Seaweed Flav (50g) </v>
      </c>
      <c r="F172" s="178" t="str">
        <f>IF(E172="","",IFERROR(IF(INDEX('Item Purchases'!$S$4:$S$30,MATCH(E172,'Item Purchases'!$B$4:$B$30,0))="","Uncategorised",INDEX('Item Purchases'!$S$4:$S$30,MATCH(E172,'Item Purchases'!$B$4:$B$30,0))),"Uncategorised"))</f>
        <v>Savoury</v>
      </c>
      <c r="G172" s="178">
        <f>IF(E172="",0,'Pantry Inventory'!G45)</f>
        <v>24</v>
      </c>
      <c r="H172" s="178">
        <f>IF(E172="","",IF('Pantry Inventory'!H45="","",'Pantry Inventory'!H45))</f>
        <v>26</v>
      </c>
      <c r="I172" s="178">
        <f>IF(H172="","",'Pantry Inventory'!I45)</f>
        <v>22</v>
      </c>
      <c r="J172" s="179">
        <f>IF(E172="",0,IFERROR(INDEX('Item Purchases'!$Q$4:$Q$30,MATCH(E172,'Item Purchases'!$B$4:$B$30,0)),0))</f>
        <v>4</v>
      </c>
      <c r="K172" s="180">
        <f t="shared" si="18"/>
        <v>88</v>
      </c>
      <c r="L172" s="178">
        <f t="shared" si="19"/>
        <v>1</v>
      </c>
      <c r="M172" s="178">
        <f>IF(E172="",0,IF(AND(OR(OR(Dashboard!$E$5="All",Dashboard!$E$5=""),AG172=Dashboard!$E$5),OR(OR(Dashboard!$H$5="All",Dashboard!$H$5=""),F172=Dashboard!$H$5),OR(OR(Dashboard!$B$5="All",Dashboard!$B$5=""),C172=Dashboard!$B$5),OR(OR(Dashboard!$K$5="All",Dashboard!$K$5=""),A172=Dashboard!$K$5),OR(OR(Dashboard!$N$5="All",Dashboard!$N$5=""),B172=Dashboard!$N$5),OR(OR(Dashboard!$Q$5="All",Dashboard!$Q$5=""),D172=Dashboard!$Q$5),OR(OR(Dashboard!$U$5="All",Dashboard!$U$5=""),E172=Dashboard!$U$5)),1,0))</f>
        <v>1</v>
      </c>
      <c r="N172" s="178">
        <f>IF(E172="",0,IF(AND(OR(OR(Dashboard!$E$5="All",Dashboard!$E$5=""),AG172=Dashboard!$E$5),OR(OR(Dashboard!$B$5="All",Dashboard!$B$5=""),C172=Dashboard!$B$5),OR(OR(Dashboard!$K$5="All",Dashboard!$K$5=""),A172=Dashboard!$K$5),OR(OR(Dashboard!$N$5="All",Dashboard!$N$5=""),B172=Dashboard!$N$5),OR(OR(Dashboard!$Q$5="All",Dashboard!$Q$5=""),D172=Dashboard!$Q$5),OR(OR(Dashboard!$U$5="All",Dashboard!$U$5=""),E172=Dashboard!$U$5)),1,0))</f>
        <v>1</v>
      </c>
      <c r="O172" s="165">
        <f t="shared" si="20"/>
        <v>484</v>
      </c>
      <c r="AG172" s="178" t="str">
        <f>IF(E172="","",IFERROR(IF(INDEX('Item Purchases'!$AM$4:$AM$30,MATCH(E172,'Item Purchases'!$B$4:$B$30,0))="","Uncategorised",INDEX('Item Purchases'!$AM$4:$AM$30,MATCH(E172,'Item Purchases'!$B$4:$B$30,0))),"Uncategorised"))</f>
        <v>Snacks</v>
      </c>
      <c r="AH172" s="165">
        <f>IF(AND(E172&lt;&gt;"",L172=1),COUNTIFS($E$2:E172,E172,$L$2:L172,1),0)</f>
        <v>7</v>
      </c>
      <c r="AI172" s="165">
        <f t="shared" si="21"/>
        <v>22</v>
      </c>
      <c r="AJ172" s="165">
        <f t="shared" si="22"/>
        <v>1</v>
      </c>
    </row>
    <row r="173" spans="1:36" x14ac:dyDescent="0.25">
      <c r="A173" s="177">
        <f t="shared" si="24"/>
        <v>46274</v>
      </c>
      <c r="B173" s="178" t="str">
        <f t="shared" si="17"/>
        <v>Wed</v>
      </c>
      <c r="C173" s="178" t="str">
        <f>'Pantry Inventory'!$A$34</f>
        <v>Sep Week 2</v>
      </c>
      <c r="D173" s="178" t="str">
        <f>IF('Pantry Inventory'!A46="","",'Pantry Inventory'!A46)</f>
        <v>Munchy</v>
      </c>
      <c r="E173" s="178" t="str">
        <f>IF('Pantry Inventory'!B46="","",'Pantry Inventory'!B46)</f>
        <v>Munchy Oat Krunch - Dark Choco</v>
      </c>
      <c r="F173" s="178" t="str">
        <f>IF(E173="","",IFERROR(IF(INDEX('Item Purchases'!$S$4:$S$30,MATCH(E173,'Item Purchases'!$B$4:$B$30,0))="","Uncategorised",INDEX('Item Purchases'!$S$4:$S$30,MATCH(E173,'Item Purchases'!$B$4:$B$30,0))),"Uncategorised"))</f>
        <v>Sweet</v>
      </c>
      <c r="G173" s="178">
        <f>IF(E173="",0,'Pantry Inventory'!G46)</f>
        <v>0</v>
      </c>
      <c r="H173" s="178">
        <f>IF(E173="","",IF('Pantry Inventory'!H46="","",'Pantry Inventory'!H46))</f>
        <v>15</v>
      </c>
      <c r="I173" s="178">
        <f>IF(H173="","",'Pantry Inventory'!I46)</f>
        <v>30</v>
      </c>
      <c r="J173" s="179">
        <f>IF(E173="",0,IFERROR(INDEX('Item Purchases'!$Q$4:$Q$30,MATCH(E173,'Item Purchases'!$B$4:$B$30,0)),0))</f>
        <v>0.73</v>
      </c>
      <c r="K173" s="180">
        <f t="shared" si="18"/>
        <v>21.9</v>
      </c>
      <c r="L173" s="178">
        <f t="shared" si="19"/>
        <v>1</v>
      </c>
      <c r="M173" s="178">
        <f>IF(E173="",0,IF(AND(OR(OR(Dashboard!$E$5="All",Dashboard!$E$5=""),AG173=Dashboard!$E$5),OR(OR(Dashboard!$H$5="All",Dashboard!$H$5=""),F173=Dashboard!$H$5),OR(OR(Dashboard!$B$5="All",Dashboard!$B$5=""),C173=Dashboard!$B$5),OR(OR(Dashboard!$K$5="All",Dashboard!$K$5=""),A173=Dashboard!$K$5),OR(OR(Dashboard!$N$5="All",Dashboard!$N$5=""),B173=Dashboard!$N$5),OR(OR(Dashboard!$Q$5="All",Dashboard!$Q$5=""),D173=Dashboard!$Q$5),OR(OR(Dashboard!$U$5="All",Dashboard!$U$5=""),E173=Dashboard!$U$5)),1,0))</f>
        <v>1</v>
      </c>
      <c r="N173" s="178">
        <f>IF(E173="",0,IF(AND(OR(OR(Dashboard!$E$5="All",Dashboard!$E$5=""),AG173=Dashboard!$E$5),OR(OR(Dashboard!$B$5="All",Dashboard!$B$5=""),C173=Dashboard!$B$5),OR(OR(Dashboard!$K$5="All",Dashboard!$K$5=""),A173=Dashboard!$K$5),OR(OR(Dashboard!$N$5="All",Dashboard!$N$5=""),B173=Dashboard!$N$5),OR(OR(Dashboard!$Q$5="All",Dashboard!$Q$5=""),D173=Dashboard!$Q$5),OR(OR(Dashboard!$U$5="All",Dashboard!$U$5=""),E173=Dashboard!$U$5)),1,0))</f>
        <v>1</v>
      </c>
      <c r="O173" s="165">
        <f t="shared" si="20"/>
        <v>900</v>
      </c>
      <c r="AG173" s="178" t="str">
        <f>IF(E173="","",IFERROR(IF(INDEX('Item Purchases'!$AM$4:$AM$30,MATCH(E173,'Item Purchases'!$B$4:$B$30,0))="","Uncategorised",INDEX('Item Purchases'!$AM$4:$AM$30,MATCH(E173,'Item Purchases'!$B$4:$B$30,0))),"Uncategorised"))</f>
        <v>Snacks</v>
      </c>
      <c r="AH173" s="165">
        <f>IF(AND(E173&lt;&gt;"",L173=1),COUNTIFS($E$2:E173,E173,$L$2:L173,1),0)</f>
        <v>7</v>
      </c>
      <c r="AI173" s="165">
        <f t="shared" si="21"/>
        <v>30</v>
      </c>
      <c r="AJ173" s="165">
        <f t="shared" si="22"/>
        <v>1</v>
      </c>
    </row>
    <row r="174" spans="1:36" x14ac:dyDescent="0.25">
      <c r="A174" s="177">
        <f t="shared" si="24"/>
        <v>46274</v>
      </c>
      <c r="B174" s="178" t="str">
        <f t="shared" si="17"/>
        <v>Wed</v>
      </c>
      <c r="C174" s="178" t="str">
        <f>'Pantry Inventory'!$A$34</f>
        <v>Sep Week 2</v>
      </c>
      <c r="D174" s="178" t="str">
        <f>IF('Pantry Inventory'!A47="","",'Pantry Inventory'!A47)</f>
        <v>Munchy</v>
      </c>
      <c r="E174" s="178" t="str">
        <f>IF('Pantry Inventory'!B47="","",'Pantry Inventory'!B47)</f>
        <v>Munchy Oat Krunch - Strawberry &amp; Blackcurrant</v>
      </c>
      <c r="F174" s="178" t="str">
        <f>IF(E174="","",IFERROR(IF(INDEX('Item Purchases'!$S$4:$S$30,MATCH(E174,'Item Purchases'!$B$4:$B$30,0))="","Uncategorised",INDEX('Item Purchases'!$S$4:$S$30,MATCH(E174,'Item Purchases'!$B$4:$B$30,0))),"Uncategorised"))</f>
        <v>Sweet</v>
      </c>
      <c r="G174" s="178">
        <f>IF(E174="",0,'Pantry Inventory'!G47)</f>
        <v>0</v>
      </c>
      <c r="H174" s="178">
        <f>IF(E174="","",IF('Pantry Inventory'!H47="","",'Pantry Inventory'!H47))</f>
        <v>50</v>
      </c>
      <c r="I174" s="178">
        <f>IF(H174="","",'Pantry Inventory'!I47)</f>
        <v>9</v>
      </c>
      <c r="J174" s="179">
        <f>IF(E174="",0,IFERROR(INDEX('Item Purchases'!$Q$4:$Q$30,MATCH(E174,'Item Purchases'!$B$4:$B$30,0)),0))</f>
        <v>0.73</v>
      </c>
      <c r="K174" s="180">
        <f t="shared" si="18"/>
        <v>6.57</v>
      </c>
      <c r="L174" s="178">
        <f t="shared" si="19"/>
        <v>1</v>
      </c>
      <c r="M174" s="178">
        <f>IF(E174="",0,IF(AND(OR(OR(Dashboard!$E$5="All",Dashboard!$E$5=""),AG174=Dashboard!$E$5),OR(OR(Dashboard!$H$5="All",Dashboard!$H$5=""),F174=Dashboard!$H$5),OR(OR(Dashboard!$B$5="All",Dashboard!$B$5=""),C174=Dashboard!$B$5),OR(OR(Dashboard!$K$5="All",Dashboard!$K$5=""),A174=Dashboard!$K$5),OR(OR(Dashboard!$N$5="All",Dashboard!$N$5=""),B174=Dashboard!$N$5),OR(OR(Dashboard!$Q$5="All",Dashboard!$Q$5=""),D174=Dashboard!$Q$5),OR(OR(Dashboard!$U$5="All",Dashboard!$U$5=""),E174=Dashboard!$U$5)),1,0))</f>
        <v>1</v>
      </c>
      <c r="N174" s="178">
        <f>IF(E174="",0,IF(AND(OR(OR(Dashboard!$E$5="All",Dashboard!$E$5=""),AG174=Dashboard!$E$5),OR(OR(Dashboard!$B$5="All",Dashboard!$B$5=""),C174=Dashboard!$B$5),OR(OR(Dashboard!$K$5="All",Dashboard!$K$5=""),A174=Dashboard!$K$5),OR(OR(Dashboard!$N$5="All",Dashboard!$N$5=""),B174=Dashboard!$N$5),OR(OR(Dashboard!$Q$5="All",Dashboard!$Q$5=""),D174=Dashboard!$Q$5),OR(OR(Dashboard!$U$5="All",Dashboard!$U$5=""),E174=Dashboard!$U$5)),1,0))</f>
        <v>1</v>
      </c>
      <c r="O174" s="165">
        <f t="shared" si="20"/>
        <v>81</v>
      </c>
      <c r="AG174" s="178" t="str">
        <f>IF(E174="","",IFERROR(IF(INDEX('Item Purchases'!$AM$4:$AM$30,MATCH(E174,'Item Purchases'!$B$4:$B$30,0))="","Uncategorised",INDEX('Item Purchases'!$AM$4:$AM$30,MATCH(E174,'Item Purchases'!$B$4:$B$30,0))),"Uncategorised"))</f>
        <v>Snacks</v>
      </c>
      <c r="AH174" s="165">
        <f>IF(AND(E174&lt;&gt;"",L174=1),COUNTIFS($E$2:E174,E174,$L$2:L174,1),0)</f>
        <v>7</v>
      </c>
      <c r="AI174" s="165">
        <f t="shared" si="21"/>
        <v>9</v>
      </c>
      <c r="AJ174" s="165">
        <f t="shared" si="22"/>
        <v>1</v>
      </c>
    </row>
    <row r="175" spans="1:36" x14ac:dyDescent="0.25">
      <c r="A175" s="177">
        <f t="shared" si="24"/>
        <v>46274</v>
      </c>
      <c r="B175" s="178" t="str">
        <f t="shared" si="17"/>
        <v>Wed</v>
      </c>
      <c r="C175" s="178" t="str">
        <f>'Pantry Inventory'!$A$34</f>
        <v>Sep Week 2</v>
      </c>
      <c r="D175" s="178" t="str">
        <f>IF('Pantry Inventory'!A48="","",'Pantry Inventory'!A48)</f>
        <v/>
      </c>
      <c r="E175" s="178" t="str">
        <f>IF('Pantry Inventory'!B48="","",'Pantry Inventory'!B48)</f>
        <v/>
      </c>
      <c r="F175" s="178" t="str">
        <f>IF(E175="","",IFERROR(IF(INDEX('Item Purchases'!$S$4:$S$30,MATCH(E175,'Item Purchases'!$B$4:$B$30,0))="","Uncategorised",INDEX('Item Purchases'!$S$4:$S$30,MATCH(E175,'Item Purchases'!$B$4:$B$30,0))),"Uncategorised"))</f>
        <v/>
      </c>
      <c r="G175" s="178">
        <f>IF(E175="",0,'Pantry Inventory'!G48)</f>
        <v>0</v>
      </c>
      <c r="H175" s="178" t="str">
        <f>IF(E175="","",IF('Pantry Inventory'!H48="","",'Pantry Inventory'!H48))</f>
        <v/>
      </c>
      <c r="I175" s="178" t="str">
        <f>IF(H175="","",'Pantry Inventory'!I48)</f>
        <v/>
      </c>
      <c r="J175" s="179">
        <f>IF(E175="",0,IFERROR(INDEX('Item Purchases'!$Q$4:$Q$30,MATCH(E175,'Item Purchases'!$B$4:$B$30,0)),0))</f>
        <v>0</v>
      </c>
      <c r="K175" s="180" t="str">
        <f t="shared" si="18"/>
        <v/>
      </c>
      <c r="L175" s="178">
        <f t="shared" si="19"/>
        <v>0</v>
      </c>
      <c r="M175" s="178">
        <f>IF(E175="",0,IF(AND(OR(OR(Dashboard!$E$5="All",Dashboard!$E$5=""),AG175=Dashboard!$E$5),OR(OR(Dashboard!$H$5="All",Dashboard!$H$5=""),F175=Dashboard!$H$5),OR(OR(Dashboard!$B$5="All",Dashboard!$B$5=""),C175=Dashboard!$B$5),OR(OR(Dashboard!$K$5="All",Dashboard!$K$5=""),A175=Dashboard!$K$5),OR(OR(Dashboard!$N$5="All",Dashboard!$N$5=""),B175=Dashboard!$N$5),OR(OR(Dashboard!$Q$5="All",Dashboard!$Q$5=""),D175=Dashboard!$Q$5),OR(OR(Dashboard!$U$5="All",Dashboard!$U$5=""),E175=Dashboard!$U$5)),1,0))</f>
        <v>0</v>
      </c>
      <c r="N175" s="178">
        <f>IF(E175="",0,IF(AND(OR(OR(Dashboard!$E$5="All",Dashboard!$E$5=""),AG175=Dashboard!$E$5),OR(OR(Dashboard!$B$5="All",Dashboard!$B$5=""),C175=Dashboard!$B$5),OR(OR(Dashboard!$K$5="All",Dashboard!$K$5=""),A175=Dashboard!$K$5),OR(OR(Dashboard!$N$5="All",Dashboard!$N$5=""),B175=Dashboard!$N$5),OR(OR(Dashboard!$Q$5="All",Dashboard!$Q$5=""),D175=Dashboard!$Q$5),OR(OR(Dashboard!$U$5="All",Dashboard!$U$5=""),E175=Dashboard!$U$5)),1,0))</f>
        <v>0</v>
      </c>
      <c r="O175" s="165">
        <f t="shared" si="20"/>
        <v>0</v>
      </c>
      <c r="AG175" s="178" t="str">
        <f>IF(E175="","",IFERROR(IF(INDEX('Item Purchases'!$AM$4:$AM$30,MATCH(E175,'Item Purchases'!$B$4:$B$30,0))="","Uncategorised",INDEX('Item Purchases'!$AM$4:$AM$30,MATCH(E175,'Item Purchases'!$B$4:$B$30,0))),"Uncategorised"))</f>
        <v/>
      </c>
      <c r="AH175" s="165">
        <f>IF(AND(E175&lt;&gt;"",L175=1),COUNTIFS($E$2:E175,E175,$L$2:L175,1),0)</f>
        <v>0</v>
      </c>
      <c r="AI175" s="165">
        <f t="shared" si="21"/>
        <v>0</v>
      </c>
      <c r="AJ175" s="165">
        <f t="shared" si="22"/>
        <v>0</v>
      </c>
    </row>
    <row r="176" spans="1:36" x14ac:dyDescent="0.25">
      <c r="A176" s="177">
        <f t="shared" si="24"/>
        <v>46274</v>
      </c>
      <c r="B176" s="178" t="str">
        <f t="shared" si="17"/>
        <v>Wed</v>
      </c>
      <c r="C176" s="178" t="str">
        <f>'Pantry Inventory'!$A$34</f>
        <v>Sep Week 2</v>
      </c>
      <c r="D176" s="178" t="str">
        <f>IF('Pantry Inventory'!A49="","",'Pantry Inventory'!A49)</f>
        <v>Nestle</v>
      </c>
      <c r="E176" s="178" t="str">
        <f>IF('Pantry Inventory'!B49="","",'Pantry Inventory'!B49)</f>
        <v>Milo 200ml</v>
      </c>
      <c r="F176" s="178" t="str">
        <f>IF(E176="","",IFERROR(IF(INDEX('Item Purchases'!$S$4:$S$30,MATCH(E176,'Item Purchases'!$B$4:$B$30,0))="","Uncategorised",INDEX('Item Purchases'!$S$4:$S$30,MATCH(E176,'Item Purchases'!$B$4:$B$30,0))),"Uncategorised"))</f>
        <v>Other</v>
      </c>
      <c r="G176" s="178">
        <f>IF(E176="",0,'Pantry Inventory'!G49)</f>
        <v>48</v>
      </c>
      <c r="H176" s="178">
        <f>IF(E176="","",IF('Pantry Inventory'!H49="","",'Pantry Inventory'!H49))</f>
        <v>63</v>
      </c>
      <c r="I176" s="178">
        <f>IF(H176="","",'Pantry Inventory'!I49)</f>
        <v>21</v>
      </c>
      <c r="J176" s="179">
        <f>IF(E176="",0,IFERROR(INDEX('Item Purchases'!$Q$4:$Q$30,MATCH(E176,'Item Purchases'!$B$4:$B$30,0)),0))</f>
        <v>2.37</v>
      </c>
      <c r="K176" s="180">
        <f t="shared" si="18"/>
        <v>49.77</v>
      </c>
      <c r="L176" s="178">
        <f t="shared" si="19"/>
        <v>1</v>
      </c>
      <c r="M176" s="178">
        <f>IF(E176="",0,IF(AND(OR(OR(Dashboard!$E$5="All",Dashboard!$E$5=""),AG176=Dashboard!$E$5),OR(OR(Dashboard!$H$5="All",Dashboard!$H$5=""),F176=Dashboard!$H$5),OR(OR(Dashboard!$B$5="All",Dashboard!$B$5=""),C176=Dashboard!$B$5),OR(OR(Dashboard!$K$5="All",Dashboard!$K$5=""),A176=Dashboard!$K$5),OR(OR(Dashboard!$N$5="All",Dashboard!$N$5=""),B176=Dashboard!$N$5),OR(OR(Dashboard!$Q$5="All",Dashboard!$Q$5=""),D176=Dashboard!$Q$5),OR(OR(Dashboard!$U$5="All",Dashboard!$U$5=""),E176=Dashboard!$U$5)),1,0))</f>
        <v>1</v>
      </c>
      <c r="N176" s="178">
        <f>IF(E176="",0,IF(AND(OR(OR(Dashboard!$E$5="All",Dashboard!$E$5=""),AG176=Dashboard!$E$5),OR(OR(Dashboard!$B$5="All",Dashboard!$B$5=""),C176=Dashboard!$B$5),OR(OR(Dashboard!$K$5="All",Dashboard!$K$5=""),A176=Dashboard!$K$5),OR(OR(Dashboard!$N$5="All",Dashboard!$N$5=""),B176=Dashboard!$N$5),OR(OR(Dashboard!$Q$5="All",Dashboard!$Q$5=""),D176=Dashboard!$Q$5),OR(OR(Dashboard!$U$5="All",Dashboard!$U$5=""),E176=Dashboard!$U$5)),1,0))</f>
        <v>1</v>
      </c>
      <c r="O176" s="165">
        <f t="shared" si="20"/>
        <v>441</v>
      </c>
      <c r="AG176" s="178" t="str">
        <f>IF(E176="","",IFERROR(IF(INDEX('Item Purchases'!$AM$4:$AM$30,MATCH(E176,'Item Purchases'!$B$4:$B$30,0))="","Uncategorised",INDEX('Item Purchases'!$AM$4:$AM$30,MATCH(E176,'Item Purchases'!$B$4:$B$30,0))),"Uncategorised"))</f>
        <v>Beverages</v>
      </c>
      <c r="AH176" s="165">
        <f>IF(AND(E176&lt;&gt;"",L176=1),COUNTIFS($E$2:E176,E176,$L$2:L176,1),0)</f>
        <v>7</v>
      </c>
      <c r="AI176" s="165">
        <f t="shared" si="21"/>
        <v>21</v>
      </c>
      <c r="AJ176" s="165">
        <f t="shared" si="22"/>
        <v>1</v>
      </c>
    </row>
    <row r="177" spans="1:36" x14ac:dyDescent="0.25">
      <c r="A177" s="177">
        <f t="shared" si="24"/>
        <v>46274</v>
      </c>
      <c r="B177" s="178" t="str">
        <f t="shared" si="17"/>
        <v>Wed</v>
      </c>
      <c r="C177" s="178" t="str">
        <f>'Pantry Inventory'!$A$34</f>
        <v>Sep Week 2</v>
      </c>
      <c r="D177" s="178" t="str">
        <f>IF('Pantry Inventory'!A50="","",'Pantry Inventory'!A50)</f>
        <v>Nestle</v>
      </c>
      <c r="E177" s="178" t="str">
        <f>IF('Pantry Inventory'!B50="","",'Pantry Inventory'!B50)</f>
        <v>Nescafe Latte 240ml</v>
      </c>
      <c r="F177" s="178" t="str">
        <f>IF(E177="","",IFERROR(IF(INDEX('Item Purchases'!$S$4:$S$30,MATCH(E177,'Item Purchases'!$B$4:$B$30,0))="","Uncategorised",INDEX('Item Purchases'!$S$4:$S$30,MATCH(E177,'Item Purchases'!$B$4:$B$30,0))),"Uncategorised"))</f>
        <v>Coffee</v>
      </c>
      <c r="G177" s="178">
        <f>IF(E177="",0,'Pantry Inventory'!G50)</f>
        <v>0</v>
      </c>
      <c r="H177" s="178">
        <f>IF(E177="","",IF('Pantry Inventory'!H50="","",'Pantry Inventory'!H50))</f>
        <v>39</v>
      </c>
      <c r="I177" s="178">
        <f>IF(H177="","",'Pantry Inventory'!I50)</f>
        <v>1</v>
      </c>
      <c r="J177" s="179">
        <f>IF(E177="",0,IFERROR(INDEX('Item Purchases'!$Q$4:$Q$30,MATCH(E177,'Item Purchases'!$B$4:$B$30,0)),0))</f>
        <v>2.1875</v>
      </c>
      <c r="K177" s="180">
        <f t="shared" si="18"/>
        <v>2.1875</v>
      </c>
      <c r="L177" s="178">
        <f t="shared" si="19"/>
        <v>1</v>
      </c>
      <c r="M177" s="178">
        <f>IF(E177="",0,IF(AND(OR(OR(Dashboard!$E$5="All",Dashboard!$E$5=""),AG177=Dashboard!$E$5),OR(OR(Dashboard!$H$5="All",Dashboard!$H$5=""),F177=Dashboard!$H$5),OR(OR(Dashboard!$B$5="All",Dashboard!$B$5=""),C177=Dashboard!$B$5),OR(OR(Dashboard!$K$5="All",Dashboard!$K$5=""),A177=Dashboard!$K$5),OR(OR(Dashboard!$N$5="All",Dashboard!$N$5=""),B177=Dashboard!$N$5),OR(OR(Dashboard!$Q$5="All",Dashboard!$Q$5=""),D177=Dashboard!$Q$5),OR(OR(Dashboard!$U$5="All",Dashboard!$U$5=""),E177=Dashboard!$U$5)),1,0))</f>
        <v>1</v>
      </c>
      <c r="N177" s="178">
        <f>IF(E177="",0,IF(AND(OR(OR(Dashboard!$E$5="All",Dashboard!$E$5=""),AG177=Dashboard!$E$5),OR(OR(Dashboard!$B$5="All",Dashboard!$B$5=""),C177=Dashboard!$B$5),OR(OR(Dashboard!$K$5="All",Dashboard!$K$5=""),A177=Dashboard!$K$5),OR(OR(Dashboard!$N$5="All",Dashboard!$N$5=""),B177=Dashboard!$N$5),OR(OR(Dashboard!$Q$5="All",Dashboard!$Q$5=""),D177=Dashboard!$Q$5),OR(OR(Dashboard!$U$5="All",Dashboard!$U$5=""),E177=Dashboard!$U$5)),1,0))</f>
        <v>1</v>
      </c>
      <c r="O177" s="165">
        <f t="shared" si="20"/>
        <v>1</v>
      </c>
      <c r="AG177" s="178" t="str">
        <f>IF(E177="","",IFERROR(IF(INDEX('Item Purchases'!$AM$4:$AM$30,MATCH(E177,'Item Purchases'!$B$4:$B$30,0))="","Uncategorised",INDEX('Item Purchases'!$AM$4:$AM$30,MATCH(E177,'Item Purchases'!$B$4:$B$30,0))),"Uncategorised"))</f>
        <v>Beverages</v>
      </c>
      <c r="AH177" s="165">
        <f>IF(AND(E177&lt;&gt;"",L177=1),COUNTIFS($E$2:E177,E177,$L$2:L177,1),0)</f>
        <v>7</v>
      </c>
      <c r="AI177" s="165">
        <f t="shared" si="21"/>
        <v>1</v>
      </c>
      <c r="AJ177" s="165">
        <f t="shared" si="22"/>
        <v>1</v>
      </c>
    </row>
    <row r="178" spans="1:36" x14ac:dyDescent="0.25">
      <c r="A178" s="177">
        <f t="shared" si="24"/>
        <v>46274</v>
      </c>
      <c r="B178" s="178" t="str">
        <f t="shared" si="17"/>
        <v>Wed</v>
      </c>
      <c r="C178" s="178" t="str">
        <f>'Pantry Inventory'!$A$34</f>
        <v>Sep Week 2</v>
      </c>
      <c r="D178" s="178" t="str">
        <f>IF('Pantry Inventory'!A51="","",'Pantry Inventory'!A51)</f>
        <v>Nestle</v>
      </c>
      <c r="E178" s="178" t="str">
        <f>IF('Pantry Inventory'!B51="","",'Pantry Inventory'!B51)</f>
        <v>Nescafe original 240ml</v>
      </c>
      <c r="F178" s="178" t="str">
        <f>IF(E178="","",IFERROR(IF(INDEX('Item Purchases'!$S$4:$S$30,MATCH(E178,'Item Purchases'!$B$4:$B$30,0))="","Uncategorised",INDEX('Item Purchases'!$S$4:$S$30,MATCH(E178,'Item Purchases'!$B$4:$B$30,0))),"Uncategorised"))</f>
        <v>Coffee</v>
      </c>
      <c r="G178" s="178">
        <f>IF(E178="",0,'Pantry Inventory'!G51)</f>
        <v>0</v>
      </c>
      <c r="H178" s="178">
        <f>IF(E178="","",IF('Pantry Inventory'!H51="","",'Pantry Inventory'!H51))</f>
        <v>33</v>
      </c>
      <c r="I178" s="178">
        <f>IF(H178="","",'Pantry Inventory'!I51)</f>
        <v>2</v>
      </c>
      <c r="J178" s="179">
        <f>IF(E178="",0,IFERROR(INDEX('Item Purchases'!$Q$4:$Q$30,MATCH(E178,'Item Purchases'!$B$4:$B$30,0)),0))</f>
        <v>2.1875</v>
      </c>
      <c r="K178" s="180">
        <f t="shared" si="18"/>
        <v>4.375</v>
      </c>
      <c r="L178" s="178">
        <f t="shared" si="19"/>
        <v>1</v>
      </c>
      <c r="M178" s="178">
        <f>IF(E178="",0,IF(AND(OR(OR(Dashboard!$E$5="All",Dashboard!$E$5=""),AG178=Dashboard!$E$5),OR(OR(Dashboard!$H$5="All",Dashboard!$H$5=""),F178=Dashboard!$H$5),OR(OR(Dashboard!$B$5="All",Dashboard!$B$5=""),C178=Dashboard!$B$5),OR(OR(Dashboard!$K$5="All",Dashboard!$K$5=""),A178=Dashboard!$K$5),OR(OR(Dashboard!$N$5="All",Dashboard!$N$5=""),B178=Dashboard!$N$5),OR(OR(Dashboard!$Q$5="All",Dashboard!$Q$5=""),D178=Dashboard!$Q$5),OR(OR(Dashboard!$U$5="All",Dashboard!$U$5=""),E178=Dashboard!$U$5)),1,0))</f>
        <v>1</v>
      </c>
      <c r="N178" s="178">
        <f>IF(E178="",0,IF(AND(OR(OR(Dashboard!$E$5="All",Dashboard!$E$5=""),AG178=Dashboard!$E$5),OR(OR(Dashboard!$B$5="All",Dashboard!$B$5=""),C178=Dashboard!$B$5),OR(OR(Dashboard!$K$5="All",Dashboard!$K$5=""),A178=Dashboard!$K$5),OR(OR(Dashboard!$N$5="All",Dashboard!$N$5=""),B178=Dashboard!$N$5),OR(OR(Dashboard!$Q$5="All",Dashboard!$Q$5=""),D178=Dashboard!$Q$5),OR(OR(Dashboard!$U$5="All",Dashboard!$U$5=""),E178=Dashboard!$U$5)),1,0))</f>
        <v>1</v>
      </c>
      <c r="O178" s="165">
        <f t="shared" si="20"/>
        <v>4</v>
      </c>
      <c r="AG178" s="178" t="str">
        <f>IF(E178="","",IFERROR(IF(INDEX('Item Purchases'!$AM$4:$AM$30,MATCH(E178,'Item Purchases'!$B$4:$B$30,0))="","Uncategorised",INDEX('Item Purchases'!$AM$4:$AM$30,MATCH(E178,'Item Purchases'!$B$4:$B$30,0))),"Uncategorised"))</f>
        <v>Beverages</v>
      </c>
      <c r="AH178" s="165">
        <f>IF(AND(E178&lt;&gt;"",L178=1),COUNTIFS($E$2:E178,E178,$L$2:L178,1),0)</f>
        <v>7</v>
      </c>
      <c r="AI178" s="165">
        <f t="shared" si="21"/>
        <v>2</v>
      </c>
      <c r="AJ178" s="165">
        <f t="shared" si="22"/>
        <v>1</v>
      </c>
    </row>
    <row r="179" spans="1:36" x14ac:dyDescent="0.25">
      <c r="A179" s="177">
        <f t="shared" si="24"/>
        <v>46274</v>
      </c>
      <c r="B179" s="178" t="str">
        <f t="shared" si="17"/>
        <v>Wed</v>
      </c>
      <c r="C179" s="178" t="str">
        <f>'Pantry Inventory'!$A$34</f>
        <v>Sep Week 2</v>
      </c>
      <c r="D179" s="178" t="str">
        <f>IF('Pantry Inventory'!A52="","",'Pantry Inventory'!A52)</f>
        <v>COWA</v>
      </c>
      <c r="E179" s="178" t="str">
        <f>IF('Pantry Inventory'!B52="","",'Pantry Inventory'!B52)</f>
        <v>COWA Coconut Water 330 ml</v>
      </c>
      <c r="F179" s="178" t="str">
        <f>IF(E179="","",IFERROR(IF(INDEX('Item Purchases'!$S$4:$S$30,MATCH(E179,'Item Purchases'!$B$4:$B$30,0))="","Uncategorised",INDEX('Item Purchases'!$S$4:$S$30,MATCH(E179,'Item Purchases'!$B$4:$B$30,0))),"Uncategorised"))</f>
        <v>Other</v>
      </c>
      <c r="G179" s="178">
        <f>IF(E179="",0,'Pantry Inventory'!G52)</f>
        <v>48</v>
      </c>
      <c r="H179" s="178">
        <f>IF(E179="","",IF('Pantry Inventory'!H52="","",'Pantry Inventory'!H52))</f>
        <v>93</v>
      </c>
      <c r="I179" s="178">
        <f>IF(H179="","",'Pantry Inventory'!I52)</f>
        <v>35</v>
      </c>
      <c r="J179" s="179">
        <f>IF(E179="",0,IFERROR(INDEX('Item Purchases'!$Q$4:$Q$30,MATCH(E179,'Item Purchases'!$B$4:$B$30,0)),0))</f>
        <v>3</v>
      </c>
      <c r="K179" s="180">
        <f t="shared" si="18"/>
        <v>105</v>
      </c>
      <c r="L179" s="178">
        <f t="shared" si="19"/>
        <v>1</v>
      </c>
      <c r="M179" s="178">
        <f>IF(E179="",0,IF(AND(OR(OR(Dashboard!$E$5="All",Dashboard!$E$5=""),AG179=Dashboard!$E$5),OR(OR(Dashboard!$H$5="All",Dashboard!$H$5=""),F179=Dashboard!$H$5),OR(OR(Dashboard!$B$5="All",Dashboard!$B$5=""),C179=Dashboard!$B$5),OR(OR(Dashboard!$K$5="All",Dashboard!$K$5=""),A179=Dashboard!$K$5),OR(OR(Dashboard!$N$5="All",Dashboard!$N$5=""),B179=Dashboard!$N$5),OR(OR(Dashboard!$Q$5="All",Dashboard!$Q$5=""),D179=Dashboard!$Q$5),OR(OR(Dashboard!$U$5="All",Dashboard!$U$5=""),E179=Dashboard!$U$5)),1,0))</f>
        <v>1</v>
      </c>
      <c r="N179" s="178">
        <f>IF(E179="",0,IF(AND(OR(OR(Dashboard!$E$5="All",Dashboard!$E$5=""),AG179=Dashboard!$E$5),OR(OR(Dashboard!$B$5="All",Dashboard!$B$5=""),C179=Dashboard!$B$5),OR(OR(Dashboard!$K$5="All",Dashboard!$K$5=""),A179=Dashboard!$K$5),OR(OR(Dashboard!$N$5="All",Dashboard!$N$5=""),B179=Dashboard!$N$5),OR(OR(Dashboard!$Q$5="All",Dashboard!$Q$5=""),D179=Dashboard!$Q$5),OR(OR(Dashboard!$U$5="All",Dashboard!$U$5=""),E179=Dashboard!$U$5)),1,0))</f>
        <v>1</v>
      </c>
      <c r="O179" s="165">
        <f t="shared" si="20"/>
        <v>1225</v>
      </c>
      <c r="AG179" s="178" t="str">
        <f>IF(E179="","",IFERROR(IF(INDEX('Item Purchases'!$AM$4:$AM$30,MATCH(E179,'Item Purchases'!$B$4:$B$30,0))="","Uncategorised",INDEX('Item Purchases'!$AM$4:$AM$30,MATCH(E179,'Item Purchases'!$B$4:$B$30,0))),"Uncategorised"))</f>
        <v>Beverages</v>
      </c>
      <c r="AH179" s="165">
        <f>IF(AND(E179&lt;&gt;"",L179=1),COUNTIFS($E$2:E179,E179,$L$2:L179,1),0)</f>
        <v>7</v>
      </c>
      <c r="AI179" s="165">
        <f t="shared" si="21"/>
        <v>35</v>
      </c>
      <c r="AJ179" s="165">
        <f t="shared" si="22"/>
        <v>1</v>
      </c>
    </row>
    <row r="180" spans="1:36" x14ac:dyDescent="0.25">
      <c r="A180" s="177">
        <f t="shared" si="24"/>
        <v>46274</v>
      </c>
      <c r="B180" s="178" t="str">
        <f t="shared" si="17"/>
        <v>Wed</v>
      </c>
      <c r="C180" s="178" t="str">
        <f>'Pantry Inventory'!$A$34</f>
        <v>Sep Week 2</v>
      </c>
      <c r="D180" s="178" t="str">
        <f>IF('Pantry Inventory'!A53="","",'Pantry Inventory'!A53)</f>
        <v>Coca Cola</v>
      </c>
      <c r="E180" s="178" t="str">
        <f>IF('Pantry Inventory'!B53="","",'Pantry Inventory'!B53)</f>
        <v>COKE ZERO  325ML</v>
      </c>
      <c r="F180" s="178" t="str">
        <f>IF(E180="","",IFERROR(IF(INDEX('Item Purchases'!$S$4:$S$30,MATCH(E180,'Item Purchases'!$B$4:$B$30,0))="","Uncategorised",INDEX('Item Purchases'!$S$4:$S$30,MATCH(E180,'Item Purchases'!$B$4:$B$30,0))),"Uncategorised"))</f>
        <v>Other</v>
      </c>
      <c r="G180" s="178">
        <f>IF(E180="",0,'Pantry Inventory'!G53)</f>
        <v>0</v>
      </c>
      <c r="H180" s="178">
        <f>IF(E180="","",IF('Pantry Inventory'!H53="","",'Pantry Inventory'!H53))</f>
        <v>39</v>
      </c>
      <c r="I180" s="178">
        <f>IF(H180="","",'Pantry Inventory'!I53)</f>
        <v>9</v>
      </c>
      <c r="J180" s="179">
        <f>IF(E180="",0,IFERROR(INDEX('Item Purchases'!$Q$4:$Q$30,MATCH(E180,'Item Purchases'!$B$4:$B$30,0)),0))</f>
        <v>1.83</v>
      </c>
      <c r="K180" s="180">
        <f t="shared" si="18"/>
        <v>16.47</v>
      </c>
      <c r="L180" s="178">
        <f t="shared" si="19"/>
        <v>1</v>
      </c>
      <c r="M180" s="178">
        <f>IF(E180="",0,IF(AND(OR(OR(Dashboard!$E$5="All",Dashboard!$E$5=""),AG180=Dashboard!$E$5),OR(OR(Dashboard!$H$5="All",Dashboard!$H$5=""),F180=Dashboard!$H$5),OR(OR(Dashboard!$B$5="All",Dashboard!$B$5=""),C180=Dashboard!$B$5),OR(OR(Dashboard!$K$5="All",Dashboard!$K$5=""),A180=Dashboard!$K$5),OR(OR(Dashboard!$N$5="All",Dashboard!$N$5=""),B180=Dashboard!$N$5),OR(OR(Dashboard!$Q$5="All",Dashboard!$Q$5=""),D180=Dashboard!$Q$5),OR(OR(Dashboard!$U$5="All",Dashboard!$U$5=""),E180=Dashboard!$U$5)),1,0))</f>
        <v>1</v>
      </c>
      <c r="N180" s="178">
        <f>IF(E180="",0,IF(AND(OR(OR(Dashboard!$E$5="All",Dashboard!$E$5=""),AG180=Dashboard!$E$5),OR(OR(Dashboard!$B$5="All",Dashboard!$B$5=""),C180=Dashboard!$B$5),OR(OR(Dashboard!$K$5="All",Dashboard!$K$5=""),A180=Dashboard!$K$5),OR(OR(Dashboard!$N$5="All",Dashboard!$N$5=""),B180=Dashboard!$N$5),OR(OR(Dashboard!$Q$5="All",Dashboard!$Q$5=""),D180=Dashboard!$Q$5),OR(OR(Dashboard!$U$5="All",Dashboard!$U$5=""),E180=Dashboard!$U$5)),1,0))</f>
        <v>1</v>
      </c>
      <c r="O180" s="165">
        <f t="shared" si="20"/>
        <v>81</v>
      </c>
      <c r="AG180" s="178" t="str">
        <f>IF(E180="","",IFERROR(IF(INDEX('Item Purchases'!$AM$4:$AM$30,MATCH(E180,'Item Purchases'!$B$4:$B$30,0))="","Uncategorised",INDEX('Item Purchases'!$AM$4:$AM$30,MATCH(E180,'Item Purchases'!$B$4:$B$30,0))),"Uncategorised"))</f>
        <v>Beverages</v>
      </c>
      <c r="AH180" s="165">
        <f>IF(AND(E180&lt;&gt;"",L180=1),COUNTIFS($E$2:E180,E180,$L$2:L180,1),0)</f>
        <v>7</v>
      </c>
      <c r="AI180" s="165">
        <f t="shared" si="21"/>
        <v>9</v>
      </c>
      <c r="AJ180" s="165">
        <f t="shared" si="22"/>
        <v>1</v>
      </c>
    </row>
    <row r="181" spans="1:36" x14ac:dyDescent="0.25">
      <c r="A181" s="177">
        <f t="shared" si="24"/>
        <v>46274</v>
      </c>
      <c r="B181" s="178" t="str">
        <f t="shared" si="17"/>
        <v>Wed</v>
      </c>
      <c r="C181" s="178" t="str">
        <f>'Pantry Inventory'!$A$34</f>
        <v>Sep Week 2</v>
      </c>
      <c r="D181" s="178" t="str">
        <f>IF('Pantry Inventory'!A54="","",'Pantry Inventory'!A54)</f>
        <v>Coca Cola</v>
      </c>
      <c r="E181" s="178" t="str">
        <f>IF('Pantry Inventory'!B54="","",'Pantry Inventory'!B54)</f>
        <v>Ayataka Tea 300ml</v>
      </c>
      <c r="F181" s="178" t="str">
        <f>IF(E181="","",IFERROR(IF(INDEX('Item Purchases'!$S$4:$S$30,MATCH(E181,'Item Purchases'!$B$4:$B$30,0))="","Uncategorised",INDEX('Item Purchases'!$S$4:$S$30,MATCH(E181,'Item Purchases'!$B$4:$B$30,0))),"Uncategorised"))</f>
        <v>Tea</v>
      </c>
      <c r="G181" s="178">
        <f>IF(E181="",0,'Pantry Inventory'!G54)</f>
        <v>24</v>
      </c>
      <c r="H181" s="178">
        <f>IF(E181="","",IF('Pantry Inventory'!H54="","",'Pantry Inventory'!H54))</f>
        <v>24</v>
      </c>
      <c r="I181" s="178">
        <f>IF(H181="","",'Pantry Inventory'!I54)</f>
        <v>36</v>
      </c>
      <c r="J181" s="179">
        <f>IF(E181="",0,IFERROR(INDEX('Item Purchases'!$Q$4:$Q$30,MATCH(E181,'Item Purchases'!$B$4:$B$30,0)),0))</f>
        <v>1.75</v>
      </c>
      <c r="K181" s="180">
        <f t="shared" si="18"/>
        <v>63</v>
      </c>
      <c r="L181" s="178">
        <f t="shared" si="19"/>
        <v>1</v>
      </c>
      <c r="M181" s="178">
        <f>IF(E181="",0,IF(AND(OR(OR(Dashboard!$E$5="All",Dashboard!$E$5=""),AG181=Dashboard!$E$5),OR(OR(Dashboard!$H$5="All",Dashboard!$H$5=""),F181=Dashboard!$H$5),OR(OR(Dashboard!$B$5="All",Dashboard!$B$5=""),C181=Dashboard!$B$5),OR(OR(Dashboard!$K$5="All",Dashboard!$K$5=""),A181=Dashboard!$K$5),OR(OR(Dashboard!$N$5="All",Dashboard!$N$5=""),B181=Dashboard!$N$5),OR(OR(Dashboard!$Q$5="All",Dashboard!$Q$5=""),D181=Dashboard!$Q$5),OR(OR(Dashboard!$U$5="All",Dashboard!$U$5=""),E181=Dashboard!$U$5)),1,0))</f>
        <v>1</v>
      </c>
      <c r="N181" s="178">
        <f>IF(E181="",0,IF(AND(OR(OR(Dashboard!$E$5="All",Dashboard!$E$5=""),AG181=Dashboard!$E$5),OR(OR(Dashboard!$B$5="All",Dashboard!$B$5=""),C181=Dashboard!$B$5),OR(OR(Dashboard!$K$5="All",Dashboard!$K$5=""),A181=Dashboard!$K$5),OR(OR(Dashboard!$N$5="All",Dashboard!$N$5=""),B181=Dashboard!$N$5),OR(OR(Dashboard!$Q$5="All",Dashboard!$Q$5=""),D181=Dashboard!$Q$5),OR(OR(Dashboard!$U$5="All",Dashboard!$U$5=""),E181=Dashboard!$U$5)),1,0))</f>
        <v>1</v>
      </c>
      <c r="O181" s="165">
        <f t="shared" si="20"/>
        <v>1296</v>
      </c>
      <c r="AG181" s="178" t="str">
        <f>IF(E181="","",IFERROR(IF(INDEX('Item Purchases'!$AM$4:$AM$30,MATCH(E181,'Item Purchases'!$B$4:$B$30,0))="","Uncategorised",INDEX('Item Purchases'!$AM$4:$AM$30,MATCH(E181,'Item Purchases'!$B$4:$B$30,0))),"Uncategorised"))</f>
        <v>Beverages</v>
      </c>
      <c r="AH181" s="165">
        <f>IF(AND(E181&lt;&gt;"",L181=1),COUNTIFS($E$2:E181,E181,$L$2:L181,1),0)</f>
        <v>7</v>
      </c>
      <c r="AI181" s="165">
        <f t="shared" si="21"/>
        <v>36</v>
      </c>
      <c r="AJ181" s="165">
        <f t="shared" si="22"/>
        <v>1</v>
      </c>
    </row>
    <row r="182" spans="1:36" x14ac:dyDescent="0.25">
      <c r="A182" s="177">
        <f t="shared" si="24"/>
        <v>46274</v>
      </c>
      <c r="B182" s="178" t="str">
        <f t="shared" si="17"/>
        <v>Wed</v>
      </c>
      <c r="C182" s="178" t="str">
        <f>'Pantry Inventory'!$A$34</f>
        <v>Sep Week 2</v>
      </c>
      <c r="D182" s="178" t="str">
        <f>IF('Pantry Inventory'!A55="","",'Pantry Inventory'!A55)</f>
        <v>Coca Cola</v>
      </c>
      <c r="E182" s="178" t="str">
        <f>IF('Pantry Inventory'!B55="","",'Pantry Inventory'!B55)</f>
        <v>Oolong Tea 300ml</v>
      </c>
      <c r="F182" s="178" t="str">
        <f>IF(E182="","",IFERROR(IF(INDEX('Item Purchases'!$S$4:$S$30,MATCH(E182,'Item Purchases'!$B$4:$B$30,0))="","Uncategorised",INDEX('Item Purchases'!$S$4:$S$30,MATCH(E182,'Item Purchases'!$B$4:$B$30,0))),"Uncategorised"))</f>
        <v>Tea</v>
      </c>
      <c r="G182" s="178">
        <f>IF(E182="",0,'Pantry Inventory'!G55)</f>
        <v>24</v>
      </c>
      <c r="H182" s="178">
        <f>IF(E182="","",IF('Pantry Inventory'!H55="","",'Pantry Inventory'!H55))</f>
        <v>24</v>
      </c>
      <c r="I182" s="178">
        <f>IF(H182="","",'Pantry Inventory'!I55)</f>
        <v>36</v>
      </c>
      <c r="J182" s="179">
        <f>IF(E182="",0,IFERROR(INDEX('Item Purchases'!$Q$4:$Q$30,MATCH(E182,'Item Purchases'!$B$4:$B$30,0)),0))</f>
        <v>1.75</v>
      </c>
      <c r="K182" s="180">
        <f t="shared" si="18"/>
        <v>63</v>
      </c>
      <c r="L182" s="178">
        <f t="shared" si="19"/>
        <v>1</v>
      </c>
      <c r="M182" s="178">
        <f>IF(E182="",0,IF(AND(OR(OR(Dashboard!$E$5="All",Dashboard!$E$5=""),AG182=Dashboard!$E$5),OR(OR(Dashboard!$H$5="All",Dashboard!$H$5=""),F182=Dashboard!$H$5),OR(OR(Dashboard!$B$5="All",Dashboard!$B$5=""),C182=Dashboard!$B$5),OR(OR(Dashboard!$K$5="All",Dashboard!$K$5=""),A182=Dashboard!$K$5),OR(OR(Dashboard!$N$5="All",Dashboard!$N$5=""),B182=Dashboard!$N$5),OR(OR(Dashboard!$Q$5="All",Dashboard!$Q$5=""),D182=Dashboard!$Q$5),OR(OR(Dashboard!$U$5="All",Dashboard!$U$5=""),E182=Dashboard!$U$5)),1,0))</f>
        <v>1</v>
      </c>
      <c r="N182" s="178">
        <f>IF(E182="",0,IF(AND(OR(OR(Dashboard!$E$5="All",Dashboard!$E$5=""),AG182=Dashboard!$E$5),OR(OR(Dashboard!$B$5="All",Dashboard!$B$5=""),C182=Dashboard!$B$5),OR(OR(Dashboard!$K$5="All",Dashboard!$K$5=""),A182=Dashboard!$K$5),OR(OR(Dashboard!$N$5="All",Dashboard!$N$5=""),B182=Dashboard!$N$5),OR(OR(Dashboard!$Q$5="All",Dashboard!$Q$5=""),D182=Dashboard!$Q$5),OR(OR(Dashboard!$U$5="All",Dashboard!$U$5=""),E182=Dashboard!$U$5)),1,0))</f>
        <v>1</v>
      </c>
      <c r="O182" s="165">
        <f t="shared" si="20"/>
        <v>1296</v>
      </c>
      <c r="AG182" s="178" t="str">
        <f>IF(E182="","",IFERROR(IF(INDEX('Item Purchases'!$AM$4:$AM$30,MATCH(E182,'Item Purchases'!$B$4:$B$30,0))="","Uncategorised",INDEX('Item Purchases'!$AM$4:$AM$30,MATCH(E182,'Item Purchases'!$B$4:$B$30,0))),"Uncategorised"))</f>
        <v>Beverages</v>
      </c>
      <c r="AH182" s="165">
        <f>IF(AND(E182&lt;&gt;"",L182=1),COUNTIFS($E$2:E182,E182,$L$2:L182,1),0)</f>
        <v>7</v>
      </c>
      <c r="AI182" s="165">
        <f t="shared" si="21"/>
        <v>36</v>
      </c>
      <c r="AJ182" s="165">
        <f t="shared" si="22"/>
        <v>1</v>
      </c>
    </row>
    <row r="183" spans="1:36" x14ac:dyDescent="0.25">
      <c r="A183" s="177">
        <f t="shared" si="24"/>
        <v>46274</v>
      </c>
      <c r="B183" s="178" t="str">
        <f t="shared" si="17"/>
        <v>Wed</v>
      </c>
      <c r="C183" s="178" t="str">
        <f>'Pantry Inventory'!$A$34</f>
        <v>Sep Week 2</v>
      </c>
      <c r="D183" s="178" t="str">
        <f>IF('Pantry Inventory'!A56="","",'Pantry Inventory'!A56)</f>
        <v>Vsoy</v>
      </c>
      <c r="E183" s="178" t="str">
        <f>IF('Pantry Inventory'!B56="","",'Pantry Inventory'!B56)</f>
        <v>Vsoy Soya Bean  250ml</v>
      </c>
      <c r="F183" s="178" t="str">
        <f>IF(E183="","",IFERROR(IF(INDEX('Item Purchases'!$S$4:$S$30,MATCH(E183,'Item Purchases'!$B$4:$B$30,0))="","Uncategorised",INDEX('Item Purchases'!$S$4:$S$30,MATCH(E183,'Item Purchases'!$B$4:$B$30,0))),"Uncategorised"))</f>
        <v>Other</v>
      </c>
      <c r="G183" s="178">
        <f>IF(E183="",0,'Pantry Inventory'!G56)</f>
        <v>0</v>
      </c>
      <c r="H183" s="178">
        <f>IF(E183="","",IF('Pantry Inventory'!H56="","",'Pantry Inventory'!H56))</f>
        <v>32</v>
      </c>
      <c r="I183" s="178">
        <f>IF(H183="","",'Pantry Inventory'!I56)</f>
        <v>21</v>
      </c>
      <c r="J183" s="179">
        <f>IF(E183="",0,IFERROR(INDEX('Item Purchases'!$Q$4:$Q$30,MATCH(E183,'Item Purchases'!$B$4:$B$30,0)),0))</f>
        <v>1.25</v>
      </c>
      <c r="K183" s="180">
        <f t="shared" si="18"/>
        <v>26.25</v>
      </c>
      <c r="L183" s="178">
        <f t="shared" si="19"/>
        <v>1</v>
      </c>
      <c r="M183" s="178">
        <f>IF(E183="",0,IF(AND(OR(OR(Dashboard!$E$5="All",Dashboard!$E$5=""),AG183=Dashboard!$E$5),OR(OR(Dashboard!$H$5="All",Dashboard!$H$5=""),F183=Dashboard!$H$5),OR(OR(Dashboard!$B$5="All",Dashboard!$B$5=""),C183=Dashboard!$B$5),OR(OR(Dashboard!$K$5="All",Dashboard!$K$5=""),A183=Dashboard!$K$5),OR(OR(Dashboard!$N$5="All",Dashboard!$N$5=""),B183=Dashboard!$N$5),OR(OR(Dashboard!$Q$5="All",Dashboard!$Q$5=""),D183=Dashboard!$Q$5),OR(OR(Dashboard!$U$5="All",Dashboard!$U$5=""),E183=Dashboard!$U$5)),1,0))</f>
        <v>1</v>
      </c>
      <c r="N183" s="178">
        <f>IF(E183="",0,IF(AND(OR(OR(Dashboard!$E$5="All",Dashboard!$E$5=""),AG183=Dashboard!$E$5),OR(OR(Dashboard!$B$5="All",Dashboard!$B$5=""),C183=Dashboard!$B$5),OR(OR(Dashboard!$K$5="All",Dashboard!$K$5=""),A183=Dashboard!$K$5),OR(OR(Dashboard!$N$5="All",Dashboard!$N$5=""),B183=Dashboard!$N$5),OR(OR(Dashboard!$Q$5="All",Dashboard!$Q$5=""),D183=Dashboard!$Q$5),OR(OR(Dashboard!$U$5="All",Dashboard!$U$5=""),E183=Dashboard!$U$5)),1,0))</f>
        <v>1</v>
      </c>
      <c r="O183" s="165">
        <f t="shared" si="20"/>
        <v>441</v>
      </c>
      <c r="AG183" s="178" t="str">
        <f>IF(E183="","",IFERROR(IF(INDEX('Item Purchases'!$AM$4:$AM$30,MATCH(E183,'Item Purchases'!$B$4:$B$30,0))="","Uncategorised",INDEX('Item Purchases'!$AM$4:$AM$30,MATCH(E183,'Item Purchases'!$B$4:$B$30,0))),"Uncategorised"))</f>
        <v>Beverages</v>
      </c>
      <c r="AH183" s="165">
        <f>IF(AND(E183&lt;&gt;"",L183=1),COUNTIFS($E$2:E183,E183,$L$2:L183,1),0)</f>
        <v>7</v>
      </c>
      <c r="AI183" s="165">
        <f t="shared" si="21"/>
        <v>21</v>
      </c>
      <c r="AJ183" s="165">
        <f t="shared" si="22"/>
        <v>1</v>
      </c>
    </row>
    <row r="184" spans="1:36" x14ac:dyDescent="0.25">
      <c r="A184" s="177">
        <f t="shared" si="24"/>
        <v>46274</v>
      </c>
      <c r="B184" s="178" t="str">
        <f t="shared" si="17"/>
        <v>Wed</v>
      </c>
      <c r="C184" s="178" t="str">
        <f>'Pantry Inventory'!$A$34</f>
        <v>Sep Week 2</v>
      </c>
      <c r="D184" s="178" t="str">
        <f>IF('Pantry Inventory'!A57="","",'Pantry Inventory'!A57)</f>
        <v>BingRae</v>
      </c>
      <c r="E184" s="178" t="str">
        <f>IF('Pantry Inventory'!B57="","",'Pantry Inventory'!B57)</f>
        <v>BingRae Banana Milk 200ml</v>
      </c>
      <c r="F184" s="178" t="str">
        <f>IF(E184="","",IFERROR(IF(INDEX('Item Purchases'!$S$4:$S$30,MATCH(E184,'Item Purchases'!$B$4:$B$30,0))="","Uncategorised",INDEX('Item Purchases'!$S$4:$S$30,MATCH(E184,'Item Purchases'!$B$4:$B$30,0))),"Uncategorised"))</f>
        <v>Other</v>
      </c>
      <c r="G184" s="178">
        <f>IF(E184="",0,'Pantry Inventory'!G57)</f>
        <v>0</v>
      </c>
      <c r="H184" s="178">
        <f>IF(E184="","",IF('Pantry Inventory'!H57="","",'Pantry Inventory'!H57))</f>
        <v>65</v>
      </c>
      <c r="I184" s="178">
        <f>IF(H184="","",'Pantry Inventory'!I57)</f>
        <v>7</v>
      </c>
      <c r="J184" s="179">
        <f>IF(E184="",0,IFERROR(INDEX('Item Purchases'!$Q$4:$Q$30,MATCH(E184,'Item Purchases'!$B$4:$B$30,0)),0))</f>
        <v>3.3159999999999998</v>
      </c>
      <c r="K184" s="180">
        <f t="shared" si="18"/>
        <v>23.212</v>
      </c>
      <c r="L184" s="178">
        <f t="shared" si="19"/>
        <v>1</v>
      </c>
      <c r="M184" s="178">
        <f>IF(E184="",0,IF(AND(OR(OR(Dashboard!$E$5="All",Dashboard!$E$5=""),AG184=Dashboard!$E$5),OR(OR(Dashboard!$H$5="All",Dashboard!$H$5=""),F184=Dashboard!$H$5),OR(OR(Dashboard!$B$5="All",Dashboard!$B$5=""),C184=Dashboard!$B$5),OR(OR(Dashboard!$K$5="All",Dashboard!$K$5=""),A184=Dashboard!$K$5),OR(OR(Dashboard!$N$5="All",Dashboard!$N$5=""),B184=Dashboard!$N$5),OR(OR(Dashboard!$Q$5="All",Dashboard!$Q$5=""),D184=Dashboard!$Q$5),OR(OR(Dashboard!$U$5="All",Dashboard!$U$5=""),E184=Dashboard!$U$5)),1,0))</f>
        <v>1</v>
      </c>
      <c r="N184" s="178">
        <f>IF(E184="",0,IF(AND(OR(OR(Dashboard!$E$5="All",Dashboard!$E$5=""),AG184=Dashboard!$E$5),OR(OR(Dashboard!$B$5="All",Dashboard!$B$5=""),C184=Dashboard!$B$5),OR(OR(Dashboard!$K$5="All",Dashboard!$K$5=""),A184=Dashboard!$K$5),OR(OR(Dashboard!$N$5="All",Dashboard!$N$5=""),B184=Dashboard!$N$5),OR(OR(Dashboard!$Q$5="All",Dashboard!$Q$5=""),D184=Dashboard!$Q$5),OR(OR(Dashboard!$U$5="All",Dashboard!$U$5=""),E184=Dashboard!$U$5)),1,0))</f>
        <v>1</v>
      </c>
      <c r="O184" s="165">
        <f t="shared" si="20"/>
        <v>49</v>
      </c>
      <c r="AG184" s="178" t="str">
        <f>IF(E184="","",IFERROR(IF(INDEX('Item Purchases'!$AM$4:$AM$30,MATCH(E184,'Item Purchases'!$B$4:$B$30,0))="","Uncategorised",INDEX('Item Purchases'!$AM$4:$AM$30,MATCH(E184,'Item Purchases'!$B$4:$B$30,0))),"Uncategorised"))</f>
        <v>Beverages</v>
      </c>
      <c r="AH184" s="165">
        <f>IF(AND(E184&lt;&gt;"",L184=1),COUNTIFS($E$2:E184,E184,$L$2:L184,1),0)</f>
        <v>7</v>
      </c>
      <c r="AI184" s="165">
        <f t="shared" si="21"/>
        <v>7</v>
      </c>
      <c r="AJ184" s="165">
        <f t="shared" si="22"/>
        <v>1</v>
      </c>
    </row>
    <row r="185" spans="1:36" x14ac:dyDescent="0.25">
      <c r="A185" s="177">
        <f t="shared" si="24"/>
        <v>46274</v>
      </c>
      <c r="B185" s="178" t="str">
        <f t="shared" si="17"/>
        <v>Wed</v>
      </c>
      <c r="C185" s="178" t="str">
        <f>'Pantry Inventory'!$A$34</f>
        <v>Sep Week 2</v>
      </c>
      <c r="D185" s="178" t="str">
        <f>IF('Pantry Inventory'!A58="","",'Pantry Inventory'!A58)</f>
        <v>Fuze Tea</v>
      </c>
      <c r="E185" s="178" t="str">
        <f>IF('Pantry Inventory'!B58="","",'Pantry Inventory'!B58)</f>
        <v>Fuze Tea by Heaven and Earth Jasmine Tea</v>
      </c>
      <c r="F185" s="178" t="str">
        <f>IF(E185="","",IFERROR(IF(INDEX('Item Purchases'!$S$4:$S$30,MATCH(E185,'Item Purchases'!$B$4:$B$30,0))="","Uncategorised",INDEX('Item Purchases'!$S$4:$S$30,MATCH(E185,'Item Purchases'!$B$4:$B$30,0))),"Uncategorised"))</f>
        <v>Tea</v>
      </c>
      <c r="G185" s="178">
        <f>IF(E185="",0,'Pantry Inventory'!G58)</f>
        <v>0</v>
      </c>
      <c r="H185" s="178">
        <f>IF(E185="","",IF('Pantry Inventory'!H58="","",'Pantry Inventory'!H58))</f>
        <v>0</v>
      </c>
      <c r="I185" s="178">
        <f>IF(H185="","",'Pantry Inventory'!I58)</f>
        <v>0</v>
      </c>
      <c r="J185" s="179">
        <f>IF(E185="",0,IFERROR(INDEX('Item Purchases'!$Q$4:$Q$30,MATCH(E185,'Item Purchases'!$B$4:$B$30,0)),0))</f>
        <v>1.167</v>
      </c>
      <c r="K185" s="180">
        <f t="shared" si="18"/>
        <v>0</v>
      </c>
      <c r="L185" s="178">
        <f t="shared" si="19"/>
        <v>1</v>
      </c>
      <c r="M185" s="178">
        <f>IF(E185="",0,IF(AND(OR(OR(Dashboard!$E$5="All",Dashboard!$E$5=""),AG185=Dashboard!$E$5),OR(OR(Dashboard!$H$5="All",Dashboard!$H$5=""),F185=Dashboard!$H$5),OR(OR(Dashboard!$B$5="All",Dashboard!$B$5=""),C185=Dashboard!$B$5),OR(OR(Dashboard!$K$5="All",Dashboard!$K$5=""),A185=Dashboard!$K$5),OR(OR(Dashboard!$N$5="All",Dashboard!$N$5=""),B185=Dashboard!$N$5),OR(OR(Dashboard!$Q$5="All",Dashboard!$Q$5=""),D185=Dashboard!$Q$5),OR(OR(Dashboard!$U$5="All",Dashboard!$U$5=""),E185=Dashboard!$U$5)),1,0))</f>
        <v>1</v>
      </c>
      <c r="N185" s="178">
        <f>IF(E185="",0,IF(AND(OR(OR(Dashboard!$E$5="All",Dashboard!$E$5=""),AG185=Dashboard!$E$5),OR(OR(Dashboard!$B$5="All",Dashboard!$B$5=""),C185=Dashboard!$B$5),OR(OR(Dashboard!$K$5="All",Dashboard!$K$5=""),A185=Dashboard!$K$5),OR(OR(Dashboard!$N$5="All",Dashboard!$N$5=""),B185=Dashboard!$N$5),OR(OR(Dashboard!$Q$5="All",Dashboard!$Q$5=""),D185=Dashboard!$Q$5),OR(OR(Dashboard!$U$5="All",Dashboard!$U$5=""),E185=Dashboard!$U$5)),1,0))</f>
        <v>1</v>
      </c>
      <c r="O185" s="165">
        <f t="shared" si="20"/>
        <v>0</v>
      </c>
      <c r="AG185" s="178" t="str">
        <f>IF(E185="","",IFERROR(IF(INDEX('Item Purchases'!$AM$4:$AM$30,MATCH(E185,'Item Purchases'!$B$4:$B$30,0))="","Uncategorised",INDEX('Item Purchases'!$AM$4:$AM$30,MATCH(E185,'Item Purchases'!$B$4:$B$30,0))),"Uncategorised"))</f>
        <v>Beverages</v>
      </c>
      <c r="AH185" s="165">
        <f>IF(AND(E185&lt;&gt;"",L185=1),COUNTIFS($E$2:E185,E185,$L$2:L185,1),0)</f>
        <v>7</v>
      </c>
      <c r="AI185" s="165">
        <f t="shared" si="21"/>
        <v>0</v>
      </c>
      <c r="AJ185" s="165">
        <f t="shared" si="22"/>
        <v>0</v>
      </c>
    </row>
    <row r="186" spans="1:36" x14ac:dyDescent="0.25">
      <c r="A186" s="177">
        <f t="shared" si="24"/>
        <v>46274</v>
      </c>
      <c r="B186" s="178" t="str">
        <f t="shared" si="17"/>
        <v>Wed</v>
      </c>
      <c r="C186" s="178" t="str">
        <f>'Pantry Inventory'!$A$34</f>
        <v>Sep Week 2</v>
      </c>
      <c r="D186" s="178" t="str">
        <f>IF('Pantry Inventory'!A59="","",'Pantry Inventory'!A59)</f>
        <v>F&amp;N</v>
      </c>
      <c r="E186" s="178" t="str">
        <f>IF('Pantry Inventory'!B59="","",'Pantry Inventory'!B59)</f>
        <v>FN 100 plus (original) 325ml</v>
      </c>
      <c r="F186" s="178" t="str">
        <f>IF(E186="","",IFERROR(IF(INDEX('Item Purchases'!$S$4:$S$30,MATCH(E186,'Item Purchases'!$B$4:$B$30,0))="","Uncategorised",INDEX('Item Purchases'!$S$4:$S$30,MATCH(E186,'Item Purchases'!$B$4:$B$30,0))),"Uncategorised"))</f>
        <v>Other</v>
      </c>
      <c r="G186" s="178">
        <f>IF(E186="",0,'Pantry Inventory'!G59)</f>
        <v>0</v>
      </c>
      <c r="H186" s="178">
        <f>IF(E186="","",IF('Pantry Inventory'!H59="","",'Pantry Inventory'!H59))</f>
        <v>44</v>
      </c>
      <c r="I186" s="178">
        <f>IF(H186="","",'Pantry Inventory'!I59)</f>
        <v>10</v>
      </c>
      <c r="J186" s="179">
        <f>IF(E186="",0,IFERROR(INDEX('Item Purchases'!$Q$4:$Q$30,MATCH(E186,'Item Purchases'!$B$4:$B$30,0)),0))</f>
        <v>1.58</v>
      </c>
      <c r="K186" s="180">
        <f t="shared" si="18"/>
        <v>15.8</v>
      </c>
      <c r="L186" s="178">
        <f t="shared" si="19"/>
        <v>1</v>
      </c>
      <c r="M186" s="178">
        <f>IF(E186="",0,IF(AND(OR(OR(Dashboard!$E$5="All",Dashboard!$E$5=""),AG186=Dashboard!$E$5),OR(OR(Dashboard!$H$5="All",Dashboard!$H$5=""),F186=Dashboard!$H$5),OR(OR(Dashboard!$B$5="All",Dashboard!$B$5=""),C186=Dashboard!$B$5),OR(OR(Dashboard!$K$5="All",Dashboard!$K$5=""),A186=Dashboard!$K$5),OR(OR(Dashboard!$N$5="All",Dashboard!$N$5=""),B186=Dashboard!$N$5),OR(OR(Dashboard!$Q$5="All",Dashboard!$Q$5=""),D186=Dashboard!$Q$5),OR(OR(Dashboard!$U$5="All",Dashboard!$U$5=""),E186=Dashboard!$U$5)),1,0))</f>
        <v>1</v>
      </c>
      <c r="N186" s="178">
        <f>IF(E186="",0,IF(AND(OR(OR(Dashboard!$E$5="All",Dashboard!$E$5=""),AG186=Dashboard!$E$5),OR(OR(Dashboard!$B$5="All",Dashboard!$B$5=""),C186=Dashboard!$B$5),OR(OR(Dashboard!$K$5="All",Dashboard!$K$5=""),A186=Dashboard!$K$5),OR(OR(Dashboard!$N$5="All",Dashboard!$N$5=""),B186=Dashboard!$N$5),OR(OR(Dashboard!$Q$5="All",Dashboard!$Q$5=""),D186=Dashboard!$Q$5),OR(OR(Dashboard!$U$5="All",Dashboard!$U$5=""),E186=Dashboard!$U$5)),1,0))</f>
        <v>1</v>
      </c>
      <c r="O186" s="165">
        <f t="shared" si="20"/>
        <v>100</v>
      </c>
      <c r="AG186" s="178" t="str">
        <f>IF(E186="","",IFERROR(IF(INDEX('Item Purchases'!$AM$4:$AM$30,MATCH(E186,'Item Purchases'!$B$4:$B$30,0))="","Uncategorised",INDEX('Item Purchases'!$AM$4:$AM$30,MATCH(E186,'Item Purchases'!$B$4:$B$30,0))),"Uncategorised"))</f>
        <v>Beverages</v>
      </c>
      <c r="AH186" s="165">
        <f>IF(AND(E186&lt;&gt;"",L186=1),COUNTIFS($E$2:E186,E186,$L$2:L186,1),0)</f>
        <v>7</v>
      </c>
      <c r="AI186" s="165">
        <f t="shared" si="21"/>
        <v>10</v>
      </c>
      <c r="AJ186" s="165">
        <f t="shared" si="22"/>
        <v>1</v>
      </c>
    </row>
    <row r="187" spans="1:36" x14ac:dyDescent="0.25">
      <c r="A187" s="177">
        <f t="shared" si="24"/>
        <v>46274</v>
      </c>
      <c r="B187" s="178" t="str">
        <f t="shared" si="17"/>
        <v>Wed</v>
      </c>
      <c r="C187" s="178" t="str">
        <f>'Pantry Inventory'!$A$34</f>
        <v>Sep Week 2</v>
      </c>
      <c r="D187" s="178" t="str">
        <f>IF('Pantry Inventory'!A60="","",'Pantry Inventory'!A60)</f>
        <v>Spritzer</v>
      </c>
      <c r="E187" s="178" t="str">
        <f>IF('Pantry Inventory'!B60="","",'Pantry Inventory'!B60)</f>
        <v>Spritzer sparkling water (original) 400ml</v>
      </c>
      <c r="F187" s="178" t="str">
        <f>IF(E187="","",IFERROR(IF(INDEX('Item Purchases'!$S$4:$S$30,MATCH(E187,'Item Purchases'!$B$4:$B$30,0))="","Uncategorised",INDEX('Item Purchases'!$S$4:$S$30,MATCH(E187,'Item Purchases'!$B$4:$B$30,0))),"Uncategorised"))</f>
        <v>Other</v>
      </c>
      <c r="G187" s="178">
        <f>IF(E187="",0,'Pantry Inventory'!G60)</f>
        <v>24</v>
      </c>
      <c r="H187" s="178">
        <f>IF(E187="","",IF('Pantry Inventory'!H60="","",'Pantry Inventory'!H60))</f>
        <v>24</v>
      </c>
      <c r="I187" s="178">
        <f>IF(H187="","",'Pantry Inventory'!I60)</f>
        <v>18</v>
      </c>
      <c r="J187" s="179">
        <f>IF(E187="",0,IFERROR(INDEX('Item Purchases'!$Q$4:$Q$30,MATCH(E187,'Item Purchases'!$B$4:$B$30,0)),0))</f>
        <v>1.616666666666666</v>
      </c>
      <c r="K187" s="180">
        <f t="shared" si="18"/>
        <v>29.099999999999987</v>
      </c>
      <c r="L187" s="178">
        <f t="shared" si="19"/>
        <v>1</v>
      </c>
      <c r="M187" s="178">
        <f>IF(E187="",0,IF(AND(OR(OR(Dashboard!$E$5="All",Dashboard!$E$5=""),AG187=Dashboard!$E$5),OR(OR(Dashboard!$H$5="All",Dashboard!$H$5=""),F187=Dashboard!$H$5),OR(OR(Dashboard!$B$5="All",Dashboard!$B$5=""),C187=Dashboard!$B$5),OR(OR(Dashboard!$K$5="All",Dashboard!$K$5=""),A187=Dashboard!$K$5),OR(OR(Dashboard!$N$5="All",Dashboard!$N$5=""),B187=Dashboard!$N$5),OR(OR(Dashboard!$Q$5="All",Dashboard!$Q$5=""),D187=Dashboard!$Q$5),OR(OR(Dashboard!$U$5="All",Dashboard!$U$5=""),E187=Dashboard!$U$5)),1,0))</f>
        <v>1</v>
      </c>
      <c r="N187" s="178">
        <f>IF(E187="",0,IF(AND(OR(OR(Dashboard!$E$5="All",Dashboard!$E$5=""),AG187=Dashboard!$E$5),OR(OR(Dashboard!$B$5="All",Dashboard!$B$5=""),C187=Dashboard!$B$5),OR(OR(Dashboard!$K$5="All",Dashboard!$K$5=""),A187=Dashboard!$K$5),OR(OR(Dashboard!$N$5="All",Dashboard!$N$5=""),B187=Dashboard!$N$5),OR(OR(Dashboard!$Q$5="All",Dashboard!$Q$5=""),D187=Dashboard!$Q$5),OR(OR(Dashboard!$U$5="All",Dashboard!$U$5=""),E187=Dashboard!$U$5)),1,0))</f>
        <v>1</v>
      </c>
      <c r="O187" s="165">
        <f t="shared" si="20"/>
        <v>324</v>
      </c>
      <c r="AG187" s="178" t="str">
        <f>IF(E187="","",IFERROR(IF(INDEX('Item Purchases'!$AM$4:$AM$30,MATCH(E187,'Item Purchases'!$B$4:$B$30,0))="","Uncategorised",INDEX('Item Purchases'!$AM$4:$AM$30,MATCH(E187,'Item Purchases'!$B$4:$B$30,0))),"Uncategorised"))</f>
        <v>Beverages</v>
      </c>
      <c r="AH187" s="165">
        <f>IF(AND(E187&lt;&gt;"",L187=1),COUNTIFS($E$2:E187,E187,$L$2:L187,1),0)</f>
        <v>7</v>
      </c>
      <c r="AI187" s="165">
        <f t="shared" si="21"/>
        <v>18</v>
      </c>
      <c r="AJ187" s="165">
        <f t="shared" si="22"/>
        <v>1</v>
      </c>
    </row>
    <row r="188" spans="1:36" x14ac:dyDescent="0.25">
      <c r="A188" s="177">
        <f t="shared" si="24"/>
        <v>46274</v>
      </c>
      <c r="B188" s="178" t="str">
        <f t="shared" si="17"/>
        <v>Wed</v>
      </c>
      <c r="C188" s="178" t="str">
        <f>'Pantry Inventory'!$A$34</f>
        <v>Sep Week 2</v>
      </c>
      <c r="D188" s="178" t="str">
        <f>IF('Pantry Inventory'!A61="","",'Pantry Inventory'!A61)</f>
        <v>Oat Side</v>
      </c>
      <c r="E188" s="178" t="str">
        <f>IF('Pantry Inventory'!B61="","",'Pantry Inventory'!B61)</f>
        <v>Oat Side Original 200ml</v>
      </c>
      <c r="F188" s="178" t="str">
        <f>IF(E188="","",IFERROR(IF(INDEX('Item Purchases'!$S$4:$S$30,MATCH(E188,'Item Purchases'!$B$4:$B$30,0))="","Uncategorised",INDEX('Item Purchases'!$S$4:$S$30,MATCH(E188,'Item Purchases'!$B$4:$B$30,0))),"Uncategorised"))</f>
        <v>Other</v>
      </c>
      <c r="G188" s="178">
        <f>IF(E188="",0,'Pantry Inventory'!G61)</f>
        <v>24</v>
      </c>
      <c r="H188" s="178">
        <f>IF(E188="","",IF('Pantry Inventory'!H61="","",'Pantry Inventory'!H61))</f>
        <v>33</v>
      </c>
      <c r="I188" s="178">
        <f>IF(H188="","",'Pantry Inventory'!I61)</f>
        <v>19</v>
      </c>
      <c r="J188" s="179">
        <f>IF(E188="",0,IFERROR(INDEX('Item Purchases'!$Q$4:$Q$30,MATCH(E188,'Item Purchases'!$B$4:$B$30,0)),0))</f>
        <v>3</v>
      </c>
      <c r="K188" s="180">
        <f t="shared" si="18"/>
        <v>57</v>
      </c>
      <c r="L188" s="178">
        <f t="shared" si="19"/>
        <v>1</v>
      </c>
      <c r="M188" s="178">
        <f>IF(E188="",0,IF(AND(OR(OR(Dashboard!$E$5="All",Dashboard!$E$5=""),AG188=Dashboard!$E$5),OR(OR(Dashboard!$H$5="All",Dashboard!$H$5=""),F188=Dashboard!$H$5),OR(OR(Dashboard!$B$5="All",Dashboard!$B$5=""),C188=Dashboard!$B$5),OR(OR(Dashboard!$K$5="All",Dashboard!$K$5=""),A188=Dashboard!$K$5),OR(OR(Dashboard!$N$5="All",Dashboard!$N$5=""),B188=Dashboard!$N$5),OR(OR(Dashboard!$Q$5="All",Dashboard!$Q$5=""),D188=Dashboard!$Q$5),OR(OR(Dashboard!$U$5="All",Dashboard!$U$5=""),E188=Dashboard!$U$5)),1,0))</f>
        <v>1</v>
      </c>
      <c r="N188" s="178">
        <f>IF(E188="",0,IF(AND(OR(OR(Dashboard!$E$5="All",Dashboard!$E$5=""),AG188=Dashboard!$E$5),OR(OR(Dashboard!$B$5="All",Dashboard!$B$5=""),C188=Dashboard!$B$5),OR(OR(Dashboard!$K$5="All",Dashboard!$K$5=""),A188=Dashboard!$K$5),OR(OR(Dashboard!$N$5="All",Dashboard!$N$5=""),B188=Dashboard!$N$5),OR(OR(Dashboard!$Q$5="All",Dashboard!$Q$5=""),D188=Dashboard!$Q$5),OR(OR(Dashboard!$U$5="All",Dashboard!$U$5=""),E188=Dashboard!$U$5)),1,0))</f>
        <v>1</v>
      </c>
      <c r="O188" s="165">
        <f t="shared" si="20"/>
        <v>361</v>
      </c>
      <c r="AG188" s="178" t="str">
        <f>IF(E188="","",IFERROR(IF(INDEX('Item Purchases'!$AM$4:$AM$30,MATCH(E188,'Item Purchases'!$B$4:$B$30,0))="","Uncategorised",INDEX('Item Purchases'!$AM$4:$AM$30,MATCH(E188,'Item Purchases'!$B$4:$B$30,0))),"Uncategorised"))</f>
        <v>Beverages</v>
      </c>
      <c r="AH188" s="165">
        <f>IF(AND(E188&lt;&gt;"",L188=1),COUNTIFS($E$2:E188,E188,$L$2:L188,1),0)</f>
        <v>7</v>
      </c>
      <c r="AI188" s="165">
        <f t="shared" si="21"/>
        <v>19</v>
      </c>
      <c r="AJ188" s="165">
        <f t="shared" si="22"/>
        <v>1</v>
      </c>
    </row>
    <row r="189" spans="1:36" x14ac:dyDescent="0.25">
      <c r="A189" s="177">
        <f t="shared" si="24"/>
        <v>46274</v>
      </c>
      <c r="B189" s="178" t="str">
        <f t="shared" si="17"/>
        <v>Wed</v>
      </c>
      <c r="C189" s="178" t="str">
        <f>'Pantry Inventory'!$A$34</f>
        <v>Sep Week 2</v>
      </c>
      <c r="D189" s="178" t="str">
        <f>IF('Pantry Inventory'!A62="","",'Pantry Inventory'!A62)</f>
        <v>Oat Side</v>
      </c>
      <c r="E189" s="178" t="str">
        <f>IF('Pantry Inventory'!B62="","",'Pantry Inventory'!B62)</f>
        <v>Oat Side Chocolate 200ml</v>
      </c>
      <c r="F189" s="178" t="str">
        <f>IF(E189="","",IFERROR(IF(INDEX('Item Purchases'!$S$4:$S$30,MATCH(E189,'Item Purchases'!$B$4:$B$30,0))="","Uncategorised",INDEX('Item Purchases'!$S$4:$S$30,MATCH(E189,'Item Purchases'!$B$4:$B$30,0))),"Uncategorised"))</f>
        <v>Other</v>
      </c>
      <c r="G189" s="178">
        <f>IF(E189="",0,'Pantry Inventory'!G62)</f>
        <v>48</v>
      </c>
      <c r="H189" s="178">
        <f>IF(E189="","",IF('Pantry Inventory'!H62="","",'Pantry Inventory'!H62))</f>
        <v>48</v>
      </c>
      <c r="I189" s="178">
        <f>IF(H189="","",'Pantry Inventory'!I62)</f>
        <v>0</v>
      </c>
      <c r="J189" s="179">
        <f>IF(E189="",0,IFERROR(INDEX('Item Purchases'!$Q$4:$Q$30,MATCH(E189,'Item Purchases'!$B$4:$B$30,0)),0))</f>
        <v>3</v>
      </c>
      <c r="K189" s="180">
        <f t="shared" si="18"/>
        <v>0</v>
      </c>
      <c r="L189" s="178">
        <f t="shared" si="19"/>
        <v>1</v>
      </c>
      <c r="M189" s="178">
        <f>IF(E189="",0,IF(AND(OR(OR(Dashboard!$E$5="All",Dashboard!$E$5=""),AG189=Dashboard!$E$5),OR(OR(Dashboard!$H$5="All",Dashboard!$H$5=""),F189=Dashboard!$H$5),OR(OR(Dashboard!$B$5="All",Dashboard!$B$5=""),C189=Dashboard!$B$5),OR(OR(Dashboard!$K$5="All",Dashboard!$K$5=""),A189=Dashboard!$K$5),OR(OR(Dashboard!$N$5="All",Dashboard!$N$5=""),B189=Dashboard!$N$5),OR(OR(Dashboard!$Q$5="All",Dashboard!$Q$5=""),D189=Dashboard!$Q$5),OR(OR(Dashboard!$U$5="All",Dashboard!$U$5=""),E189=Dashboard!$U$5)),1,0))</f>
        <v>1</v>
      </c>
      <c r="N189" s="178">
        <f>IF(E189="",0,IF(AND(OR(OR(Dashboard!$E$5="All",Dashboard!$E$5=""),AG189=Dashboard!$E$5),OR(OR(Dashboard!$B$5="All",Dashboard!$B$5=""),C189=Dashboard!$B$5),OR(OR(Dashboard!$K$5="All",Dashboard!$K$5=""),A189=Dashboard!$K$5),OR(OR(Dashboard!$N$5="All",Dashboard!$N$5=""),B189=Dashboard!$N$5),OR(OR(Dashboard!$Q$5="All",Dashboard!$Q$5=""),D189=Dashboard!$Q$5),OR(OR(Dashboard!$U$5="All",Dashboard!$U$5=""),E189=Dashboard!$U$5)),1,0))</f>
        <v>1</v>
      </c>
      <c r="O189" s="165">
        <f t="shared" si="20"/>
        <v>0</v>
      </c>
      <c r="AG189" s="178" t="str">
        <f>IF(E189="","",IFERROR(IF(INDEX('Item Purchases'!$AM$4:$AM$30,MATCH(E189,'Item Purchases'!$B$4:$B$30,0))="","Uncategorised",INDEX('Item Purchases'!$AM$4:$AM$30,MATCH(E189,'Item Purchases'!$B$4:$B$30,0))),"Uncategorised"))</f>
        <v>Beverages</v>
      </c>
      <c r="AH189" s="165">
        <f>IF(AND(E189&lt;&gt;"",L189=1),COUNTIFS($E$2:E189,E189,$L$2:L189,1),0)</f>
        <v>7</v>
      </c>
      <c r="AI189" s="165">
        <f t="shared" si="21"/>
        <v>0</v>
      </c>
      <c r="AJ189" s="165">
        <f t="shared" si="22"/>
        <v>1</v>
      </c>
    </row>
    <row r="190" spans="1:36" x14ac:dyDescent="0.25">
      <c r="A190" s="177">
        <f t="shared" si="24"/>
        <v>46274</v>
      </c>
      <c r="B190" s="178" t="str">
        <f t="shared" si="17"/>
        <v>Wed</v>
      </c>
      <c r="C190" s="178" t="str">
        <f>'Pantry Inventory'!$A$34</f>
        <v>Sep Week 2</v>
      </c>
      <c r="D190" s="178" t="str">
        <f>IF('Pantry Inventory'!A63="","",'Pantry Inventory'!A63)</f>
        <v/>
      </c>
      <c r="E190" s="178" t="str">
        <f>IF('Pantry Inventory'!B63="","",'Pantry Inventory'!B63)</f>
        <v/>
      </c>
      <c r="F190" s="178" t="str">
        <f>IF(E190="","",IFERROR(IF(INDEX('Item Purchases'!$S$4:$S$30,MATCH(E190,'Item Purchases'!$B$4:$B$30,0))="","Uncategorised",INDEX('Item Purchases'!$S$4:$S$30,MATCH(E190,'Item Purchases'!$B$4:$B$30,0))),"Uncategorised"))</f>
        <v/>
      </c>
      <c r="G190" s="178">
        <f>IF(E190="",0,'Pantry Inventory'!G63)</f>
        <v>0</v>
      </c>
      <c r="H190" s="178" t="str">
        <f>IF(E190="","",IF('Pantry Inventory'!H63="","",'Pantry Inventory'!H63))</f>
        <v/>
      </c>
      <c r="I190" s="178" t="str">
        <f>IF(H190="","",'Pantry Inventory'!I63)</f>
        <v/>
      </c>
      <c r="J190" s="179">
        <f>IF(E190="",0,IFERROR(INDEX('Item Purchases'!$Q$4:$Q$30,MATCH(E190,'Item Purchases'!$B$4:$B$30,0)),0))</f>
        <v>0</v>
      </c>
      <c r="K190" s="180" t="str">
        <f t="shared" si="18"/>
        <v/>
      </c>
      <c r="L190" s="178">
        <f t="shared" si="19"/>
        <v>0</v>
      </c>
      <c r="M190" s="178">
        <f>IF(E190="",0,IF(AND(OR(OR(Dashboard!$E$5="All",Dashboard!$E$5=""),AG190=Dashboard!$E$5),OR(OR(Dashboard!$H$5="All",Dashboard!$H$5=""),F190=Dashboard!$H$5),OR(OR(Dashboard!$B$5="All",Dashboard!$B$5=""),C190=Dashboard!$B$5),OR(OR(Dashboard!$K$5="All",Dashboard!$K$5=""),A190=Dashboard!$K$5),OR(OR(Dashboard!$N$5="All",Dashboard!$N$5=""),B190=Dashboard!$N$5),OR(OR(Dashboard!$Q$5="All",Dashboard!$Q$5=""),D190=Dashboard!$Q$5),OR(OR(Dashboard!$U$5="All",Dashboard!$U$5=""),E190=Dashboard!$U$5)),1,0))</f>
        <v>0</v>
      </c>
      <c r="N190" s="178">
        <f>IF(E190="",0,IF(AND(OR(OR(Dashboard!$E$5="All",Dashboard!$E$5=""),AG190=Dashboard!$E$5),OR(OR(Dashboard!$B$5="All",Dashboard!$B$5=""),C190=Dashboard!$B$5),OR(OR(Dashboard!$K$5="All",Dashboard!$K$5=""),A190=Dashboard!$K$5),OR(OR(Dashboard!$N$5="All",Dashboard!$N$5=""),B190=Dashboard!$N$5),OR(OR(Dashboard!$Q$5="All",Dashboard!$Q$5=""),D190=Dashboard!$Q$5),OR(OR(Dashboard!$U$5="All",Dashboard!$U$5=""),E190=Dashboard!$U$5)),1,0))</f>
        <v>0</v>
      </c>
      <c r="O190" s="165">
        <f t="shared" si="20"/>
        <v>0</v>
      </c>
      <c r="AG190" s="178" t="str">
        <f>IF(E190="","",IFERROR(IF(INDEX('Item Purchases'!$AM$4:$AM$30,MATCH(E190,'Item Purchases'!$B$4:$B$30,0))="","Uncategorised",INDEX('Item Purchases'!$AM$4:$AM$30,MATCH(E190,'Item Purchases'!$B$4:$B$30,0))),"Uncategorised"))</f>
        <v/>
      </c>
      <c r="AH190" s="165">
        <f>IF(AND(E190&lt;&gt;"",L190=1),COUNTIFS($E$2:E190,E190,$L$2:L190,1),0)</f>
        <v>0</v>
      </c>
      <c r="AI190" s="165">
        <f t="shared" si="21"/>
        <v>0</v>
      </c>
      <c r="AJ190" s="165">
        <f t="shared" si="22"/>
        <v>0</v>
      </c>
    </row>
    <row r="191" spans="1:36" x14ac:dyDescent="0.25">
      <c r="A191" s="177">
        <f t="shared" ref="A191:A217" si="25">IF($Z$9="",0,$Z$9)</f>
        <v>46275</v>
      </c>
      <c r="B191" s="178" t="str">
        <f t="shared" si="17"/>
        <v>Thu</v>
      </c>
      <c r="C191" s="178" t="str">
        <f>'Pantry Inventory'!$A$34</f>
        <v>Sep Week 2</v>
      </c>
      <c r="D191" s="178" t="str">
        <f>IF('Pantry Inventory'!A37="","",'Pantry Inventory'!A37)</f>
        <v>Julie's</v>
      </c>
      <c r="E191" s="178" t="str">
        <f>IF('Pantry Inventory'!B37="","",'Pantry Inventory'!B37)</f>
        <v>Julie's Peanut Butter Sandwich 360g (12pkts x 30g)</v>
      </c>
      <c r="F191" s="178" t="str">
        <f>IF(E191="","",IFERROR(IF(INDEX('Item Purchases'!$S$4:$S$30,MATCH(E191,'Item Purchases'!$B$4:$B$30,0))="","Uncategorised",INDEX('Item Purchases'!$S$4:$S$30,MATCH(E191,'Item Purchases'!$B$4:$B$30,0))),"Uncategorised"))</f>
        <v>Sweet</v>
      </c>
      <c r="G191" s="178">
        <f>IF(E191="",0,'Pantry Inventory'!J37)</f>
        <v>0</v>
      </c>
      <c r="H191" s="178">
        <f>IF(E191="","",IF('Pantry Inventory'!K37="","",'Pantry Inventory'!K37))</f>
        <v>35</v>
      </c>
      <c r="I191" s="178">
        <f>IF(H191="","",'Pantry Inventory'!L37)</f>
        <v>9</v>
      </c>
      <c r="J191" s="179">
        <f>IF(E191="",0,IFERROR(INDEX('Item Purchases'!$Q$4:$Q$30,MATCH(E191,'Item Purchases'!$B$4:$B$30,0)),0))</f>
        <v>1.083</v>
      </c>
      <c r="K191" s="180">
        <f t="shared" si="18"/>
        <v>9.7469999999999999</v>
      </c>
      <c r="L191" s="178">
        <f t="shared" si="19"/>
        <v>1</v>
      </c>
      <c r="M191" s="178">
        <f>IF(E191="",0,IF(AND(OR(OR(Dashboard!$E$5="All",Dashboard!$E$5=""),AG191=Dashboard!$E$5),OR(OR(Dashboard!$H$5="All",Dashboard!$H$5=""),F191=Dashboard!$H$5),OR(OR(Dashboard!$B$5="All",Dashboard!$B$5=""),C191=Dashboard!$B$5),OR(OR(Dashboard!$K$5="All",Dashboard!$K$5=""),A191=Dashboard!$K$5),OR(OR(Dashboard!$N$5="All",Dashboard!$N$5=""),B191=Dashboard!$N$5),OR(OR(Dashboard!$Q$5="All",Dashboard!$Q$5=""),D191=Dashboard!$Q$5),OR(OR(Dashboard!$U$5="All",Dashboard!$U$5=""),E191=Dashboard!$U$5)),1,0))</f>
        <v>1</v>
      </c>
      <c r="N191" s="178">
        <f>IF(E191="",0,IF(AND(OR(OR(Dashboard!$E$5="All",Dashboard!$E$5=""),AG191=Dashboard!$E$5),OR(OR(Dashboard!$B$5="All",Dashboard!$B$5=""),C191=Dashboard!$B$5),OR(OR(Dashboard!$K$5="All",Dashboard!$K$5=""),A191=Dashboard!$K$5),OR(OR(Dashboard!$N$5="All",Dashboard!$N$5=""),B191=Dashboard!$N$5),OR(OR(Dashboard!$Q$5="All",Dashboard!$Q$5=""),D191=Dashboard!$Q$5),OR(OR(Dashboard!$U$5="All",Dashboard!$U$5=""),E191=Dashboard!$U$5)),1,0))</f>
        <v>1</v>
      </c>
      <c r="O191" s="165">
        <f t="shared" si="20"/>
        <v>81</v>
      </c>
      <c r="AG191" s="178" t="str">
        <f>IF(E191="","",IFERROR(IF(INDEX('Item Purchases'!$AM$4:$AM$30,MATCH(E191,'Item Purchases'!$B$4:$B$30,0))="","Uncategorised",INDEX('Item Purchases'!$AM$4:$AM$30,MATCH(E191,'Item Purchases'!$B$4:$B$30,0))),"Uncategorised"))</f>
        <v>Snacks</v>
      </c>
      <c r="AH191" s="165">
        <f>IF(AND(E191&lt;&gt;"",L191=1),COUNTIFS($E$2:E191,E191,$L$2:L191,1),0)</f>
        <v>8</v>
      </c>
      <c r="AI191" s="165">
        <f t="shared" si="21"/>
        <v>9</v>
      </c>
      <c r="AJ191" s="165">
        <f t="shared" si="22"/>
        <v>1</v>
      </c>
    </row>
    <row r="192" spans="1:36" x14ac:dyDescent="0.25">
      <c r="A192" s="177">
        <f t="shared" si="25"/>
        <v>46275</v>
      </c>
      <c r="B192" s="178" t="str">
        <f t="shared" si="17"/>
        <v>Thu</v>
      </c>
      <c r="C192" s="178" t="str">
        <f>'Pantry Inventory'!$A$34</f>
        <v>Sep Week 2</v>
      </c>
      <c r="D192" s="178" t="str">
        <f>IF('Pantry Inventory'!A38="","",'Pantry Inventory'!A38)</f>
        <v>Julie's</v>
      </c>
      <c r="E192" s="178" t="str">
        <f>IF('Pantry Inventory'!B38="","",'Pantry Inventory'!B38)</f>
        <v>Julies Butter Waffles</v>
      </c>
      <c r="F192" s="178" t="str">
        <f>IF(E192="","",IFERROR(IF(INDEX('Item Purchases'!$S$4:$S$30,MATCH(E192,'Item Purchases'!$B$4:$B$30,0))="","Uncategorised",INDEX('Item Purchases'!$S$4:$S$30,MATCH(E192,'Item Purchases'!$B$4:$B$30,0))),"Uncategorised"))</f>
        <v>Sweet</v>
      </c>
      <c r="G192" s="178">
        <f>IF(E192="",0,'Pantry Inventory'!J38)</f>
        <v>0</v>
      </c>
      <c r="H192" s="178">
        <f>IF(E192="","",IF('Pantry Inventory'!K38="","",'Pantry Inventory'!K38))</f>
        <v>15</v>
      </c>
      <c r="I192" s="178">
        <f>IF(H192="","",'Pantry Inventory'!L38)</f>
        <v>0</v>
      </c>
      <c r="J192" s="179">
        <f>IF(E192="",0,IFERROR(INDEX('Item Purchases'!$Q$4:$Q$30,MATCH(E192,'Item Purchases'!$B$4:$B$30,0)),0))</f>
        <v>5.15</v>
      </c>
      <c r="K192" s="180">
        <f t="shared" si="18"/>
        <v>0</v>
      </c>
      <c r="L192" s="178">
        <f t="shared" si="19"/>
        <v>1</v>
      </c>
      <c r="M192" s="178">
        <f>IF(E192="",0,IF(AND(OR(OR(Dashboard!$E$5="All",Dashboard!$E$5=""),AG192=Dashboard!$E$5),OR(OR(Dashboard!$H$5="All",Dashboard!$H$5=""),F192=Dashboard!$H$5),OR(OR(Dashboard!$B$5="All",Dashboard!$B$5=""),C192=Dashboard!$B$5),OR(OR(Dashboard!$K$5="All",Dashboard!$K$5=""),A192=Dashboard!$K$5),OR(OR(Dashboard!$N$5="All",Dashboard!$N$5=""),B192=Dashboard!$N$5),OR(OR(Dashboard!$Q$5="All",Dashboard!$Q$5=""),D192=Dashboard!$Q$5),OR(OR(Dashboard!$U$5="All",Dashboard!$U$5=""),E192=Dashboard!$U$5)),1,0))</f>
        <v>1</v>
      </c>
      <c r="N192" s="178">
        <f>IF(E192="",0,IF(AND(OR(OR(Dashboard!$E$5="All",Dashboard!$E$5=""),AG192=Dashboard!$E$5),OR(OR(Dashboard!$B$5="All",Dashboard!$B$5=""),C192=Dashboard!$B$5),OR(OR(Dashboard!$K$5="All",Dashboard!$K$5=""),A192=Dashboard!$K$5),OR(OR(Dashboard!$N$5="All",Dashboard!$N$5=""),B192=Dashboard!$N$5),OR(OR(Dashboard!$Q$5="All",Dashboard!$Q$5=""),D192=Dashboard!$Q$5),OR(OR(Dashboard!$U$5="All",Dashboard!$U$5=""),E192=Dashboard!$U$5)),1,0))</f>
        <v>1</v>
      </c>
      <c r="O192" s="165">
        <f t="shared" si="20"/>
        <v>0</v>
      </c>
      <c r="AG192" s="178" t="str">
        <f>IF(E192="","",IFERROR(IF(INDEX('Item Purchases'!$AM$4:$AM$30,MATCH(E192,'Item Purchases'!$B$4:$B$30,0))="","Uncategorised",INDEX('Item Purchases'!$AM$4:$AM$30,MATCH(E192,'Item Purchases'!$B$4:$B$30,0))),"Uncategorised"))</f>
        <v>Snacks</v>
      </c>
      <c r="AH192" s="165">
        <f>IF(AND(E192&lt;&gt;"",L192=1),COUNTIFS($E$2:E192,E192,$L$2:L192,1),0)</f>
        <v>8</v>
      </c>
      <c r="AI192" s="165">
        <f t="shared" si="21"/>
        <v>0</v>
      </c>
      <c r="AJ192" s="165">
        <f t="shared" si="22"/>
        <v>1</v>
      </c>
    </row>
    <row r="193" spans="1:36" x14ac:dyDescent="0.25">
      <c r="A193" s="177">
        <f t="shared" si="25"/>
        <v>46275</v>
      </c>
      <c r="B193" s="178" t="str">
        <f t="shared" si="17"/>
        <v>Thu</v>
      </c>
      <c r="C193" s="178" t="str">
        <f>'Pantry Inventory'!$A$34</f>
        <v>Sep Week 2</v>
      </c>
      <c r="D193" s="178" t="str">
        <f>IF('Pantry Inventory'!A39="","",'Pantry Inventory'!A39)</f>
        <v>Julie's</v>
      </c>
      <c r="E193" s="178" t="str">
        <f>IF('Pantry Inventory'!B39="","",'Pantry Inventory'!B39)</f>
        <v>Julies Choco More Sandwich (44G)</v>
      </c>
      <c r="F193" s="178" t="str">
        <f>IF(E193="","",IFERROR(IF(INDEX('Item Purchases'!$S$4:$S$30,MATCH(E193,'Item Purchases'!$B$4:$B$30,0))="","Uncategorised",INDEX('Item Purchases'!$S$4:$S$30,MATCH(E193,'Item Purchases'!$B$4:$B$30,0))),"Uncategorised"))</f>
        <v>Sweet</v>
      </c>
      <c r="G193" s="178">
        <f>IF(E193="",0,'Pantry Inventory'!J39)</f>
        <v>0</v>
      </c>
      <c r="H193" s="178">
        <f>IF(E193="","",IF('Pantry Inventory'!K39="","",'Pantry Inventory'!K39))</f>
        <v>0</v>
      </c>
      <c r="I193" s="178">
        <f>IF(H193="","",'Pantry Inventory'!L39)</f>
        <v>0</v>
      </c>
      <c r="J193" s="179">
        <f>IF(E193="",0,IFERROR(INDEX('Item Purchases'!$Q$4:$Q$30,MATCH(E193,'Item Purchases'!$B$4:$B$30,0)),0))</f>
        <v>1.2</v>
      </c>
      <c r="K193" s="180">
        <f t="shared" si="18"/>
        <v>0</v>
      </c>
      <c r="L193" s="178">
        <f t="shared" si="19"/>
        <v>1</v>
      </c>
      <c r="M193" s="178">
        <f>IF(E193="",0,IF(AND(OR(OR(Dashboard!$E$5="All",Dashboard!$E$5=""),AG193=Dashboard!$E$5),OR(OR(Dashboard!$H$5="All",Dashboard!$H$5=""),F193=Dashboard!$H$5),OR(OR(Dashboard!$B$5="All",Dashboard!$B$5=""),C193=Dashboard!$B$5),OR(OR(Dashboard!$K$5="All",Dashboard!$K$5=""),A193=Dashboard!$K$5),OR(OR(Dashboard!$N$5="All",Dashboard!$N$5=""),B193=Dashboard!$N$5),OR(OR(Dashboard!$Q$5="All",Dashboard!$Q$5=""),D193=Dashboard!$Q$5),OR(OR(Dashboard!$U$5="All",Dashboard!$U$5=""),E193=Dashboard!$U$5)),1,0))</f>
        <v>1</v>
      </c>
      <c r="N193" s="178">
        <f>IF(E193="",0,IF(AND(OR(OR(Dashboard!$E$5="All",Dashboard!$E$5=""),AG193=Dashboard!$E$5),OR(OR(Dashboard!$B$5="All",Dashboard!$B$5=""),C193=Dashboard!$B$5),OR(OR(Dashboard!$K$5="All",Dashboard!$K$5=""),A193=Dashboard!$K$5),OR(OR(Dashboard!$N$5="All",Dashboard!$N$5=""),B193=Dashboard!$N$5),OR(OR(Dashboard!$Q$5="All",Dashboard!$Q$5=""),D193=Dashboard!$Q$5),OR(OR(Dashboard!$U$5="All",Dashboard!$U$5=""),E193=Dashboard!$U$5)),1,0))</f>
        <v>1</v>
      </c>
      <c r="O193" s="165">
        <f t="shared" si="20"/>
        <v>0</v>
      </c>
      <c r="AG193" s="178" t="str">
        <f>IF(E193="","",IFERROR(IF(INDEX('Item Purchases'!$AM$4:$AM$30,MATCH(E193,'Item Purchases'!$B$4:$B$30,0))="","Uncategorised",INDEX('Item Purchases'!$AM$4:$AM$30,MATCH(E193,'Item Purchases'!$B$4:$B$30,0))),"Uncategorised"))</f>
        <v>Snacks</v>
      </c>
      <c r="AH193" s="165">
        <f>IF(AND(E193&lt;&gt;"",L193=1),COUNTIFS($E$2:E193,E193,$L$2:L193,1),0)</f>
        <v>8</v>
      </c>
      <c r="AI193" s="165">
        <f t="shared" si="21"/>
        <v>0</v>
      </c>
      <c r="AJ193" s="165">
        <f t="shared" si="22"/>
        <v>0</v>
      </c>
    </row>
    <row r="194" spans="1:36" x14ac:dyDescent="0.25">
      <c r="A194" s="177">
        <f t="shared" si="25"/>
        <v>46275</v>
      </c>
      <c r="B194" s="178" t="str">
        <f t="shared" ref="B194:B257" si="26">IF(A194=0,"",CHOOSE(WEEKDAY(A194,2),"Mon","Tue","Wed","Thu","Fri","Sat","Sun"))</f>
        <v>Thu</v>
      </c>
      <c r="C194" s="178" t="str">
        <f>'Pantry Inventory'!$A$34</f>
        <v>Sep Week 2</v>
      </c>
      <c r="D194" s="178" t="str">
        <f>IF('Pantry Inventory'!A40="","",'Pantry Inventory'!A40)</f>
        <v>Julie's</v>
      </c>
      <c r="E194" s="178" t="str">
        <f>IF('Pantry Inventory'!B40="","",'Pantry Inventory'!B40)</f>
        <v>Julies Cheese Sandwich (28G)</v>
      </c>
      <c r="F194" s="178" t="str">
        <f>IF(E194="","",IFERROR(IF(INDEX('Item Purchases'!$S$4:$S$30,MATCH(E194,'Item Purchases'!$B$4:$B$30,0))="","Uncategorised",INDEX('Item Purchases'!$S$4:$S$30,MATCH(E194,'Item Purchases'!$B$4:$B$30,0))),"Uncategorised"))</f>
        <v>Savoury</v>
      </c>
      <c r="G194" s="178">
        <f>IF(E194="",0,'Pantry Inventory'!J40)</f>
        <v>0</v>
      </c>
      <c r="H194" s="178">
        <f>IF(E194="","",IF('Pantry Inventory'!K40="","",'Pantry Inventory'!K40))</f>
        <v>34</v>
      </c>
      <c r="I194" s="178">
        <f>IF(H194="","",'Pantry Inventory'!L40)</f>
        <v>5</v>
      </c>
      <c r="J194" s="179">
        <f>IF(E194="",0,IFERROR(INDEX('Item Purchases'!$Q$4:$Q$30,MATCH(E194,'Item Purchases'!$B$4:$B$30,0)),0))</f>
        <v>1.1000000000000001</v>
      </c>
      <c r="K194" s="180">
        <f t="shared" ref="K194:K257" si="27">IF(I194="","",I194*J194)</f>
        <v>5.5</v>
      </c>
      <c r="L194" s="178">
        <f t="shared" ref="L194:L257" si="28">IF(H194="",0,1)</f>
        <v>1</v>
      </c>
      <c r="M194" s="178">
        <f>IF(E194="",0,IF(AND(OR(OR(Dashboard!$E$5="All",Dashboard!$E$5=""),AG194=Dashboard!$E$5),OR(OR(Dashboard!$H$5="All",Dashboard!$H$5=""),F194=Dashboard!$H$5),OR(OR(Dashboard!$B$5="All",Dashboard!$B$5=""),C194=Dashboard!$B$5),OR(OR(Dashboard!$K$5="All",Dashboard!$K$5=""),A194=Dashboard!$K$5),OR(OR(Dashboard!$N$5="All",Dashboard!$N$5=""),B194=Dashboard!$N$5),OR(OR(Dashboard!$Q$5="All",Dashboard!$Q$5=""),D194=Dashboard!$Q$5),OR(OR(Dashboard!$U$5="All",Dashboard!$U$5=""),E194=Dashboard!$U$5)),1,0))</f>
        <v>1</v>
      </c>
      <c r="N194" s="178">
        <f>IF(E194="",0,IF(AND(OR(OR(Dashboard!$E$5="All",Dashboard!$E$5=""),AG194=Dashboard!$E$5),OR(OR(Dashboard!$B$5="All",Dashboard!$B$5=""),C194=Dashboard!$B$5),OR(OR(Dashboard!$K$5="All",Dashboard!$K$5=""),A194=Dashboard!$K$5),OR(OR(Dashboard!$N$5="All",Dashboard!$N$5=""),B194=Dashboard!$N$5),OR(OR(Dashboard!$Q$5="All",Dashboard!$Q$5=""),D194=Dashboard!$Q$5),OR(OR(Dashboard!$U$5="All",Dashboard!$U$5=""),E194=Dashboard!$U$5)),1,0))</f>
        <v>1</v>
      </c>
      <c r="O194" s="165">
        <f t="shared" ref="O194:O257" si="29">IF(AND(N(H194)&gt;0,ISNUMBER(I194)),I194^2,0)</f>
        <v>25</v>
      </c>
      <c r="AG194" s="178" t="str">
        <f>IF(E194="","",IFERROR(IF(INDEX('Item Purchases'!$AM$4:$AM$30,MATCH(E194,'Item Purchases'!$B$4:$B$30,0))="","Uncategorised",INDEX('Item Purchases'!$AM$4:$AM$30,MATCH(E194,'Item Purchases'!$B$4:$B$30,0))),"Uncategorised"))</f>
        <v>Snacks</v>
      </c>
      <c r="AH194" s="165">
        <f>IF(AND(E194&lt;&gt;"",L194=1),COUNTIFS($E$2:E194,E194,$L$2:L194,1),0)</f>
        <v>8</v>
      </c>
      <c r="AI194" s="165">
        <f t="shared" ref="AI194:AI257" si="30">IF(ISNUMBER(I194),I194,0)</f>
        <v>5</v>
      </c>
      <c r="AJ194" s="165">
        <f t="shared" ref="AJ194:AJ257" si="31">IF(AND(L194=1,N(H194)&gt;0),1,0)</f>
        <v>1</v>
      </c>
    </row>
    <row r="195" spans="1:36" x14ac:dyDescent="0.25">
      <c r="A195" s="177">
        <f t="shared" si="25"/>
        <v>46275</v>
      </c>
      <c r="B195" s="178" t="str">
        <f t="shared" si="26"/>
        <v>Thu</v>
      </c>
      <c r="C195" s="178" t="str">
        <f>'Pantry Inventory'!$A$34</f>
        <v>Sep Week 2</v>
      </c>
      <c r="D195" s="178" t="str">
        <f>IF('Pantry Inventory'!A41="","",'Pantry Inventory'!A41)</f>
        <v>Nature Valley</v>
      </c>
      <c r="E195" s="178" t="str">
        <f>IF('Pantry Inventory'!B41="","",'Pantry Inventory'!B41)</f>
        <v>NV OATS &amp; DARK CHOC 42GX5</v>
      </c>
      <c r="F195" s="178" t="str">
        <f>IF(E195="","",IFERROR(IF(INDEX('Item Purchases'!$S$4:$S$30,MATCH(E195,'Item Purchases'!$B$4:$B$30,0))="","Uncategorised",INDEX('Item Purchases'!$S$4:$S$30,MATCH(E195,'Item Purchases'!$B$4:$B$30,0))),"Uncategorised"))</f>
        <v>Sweet</v>
      </c>
      <c r="G195" s="178">
        <f>IF(E195="",0,'Pantry Inventory'!J41)</f>
        <v>0</v>
      </c>
      <c r="H195" s="178">
        <f>IF(E195="","",IF('Pantry Inventory'!K41="","",'Pantry Inventory'!K41))</f>
        <v>0</v>
      </c>
      <c r="I195" s="178">
        <f>IF(H195="","",'Pantry Inventory'!L41)</f>
        <v>0</v>
      </c>
      <c r="J195" s="179">
        <f>IF(E195="",0,IFERROR(INDEX('Item Purchases'!$Q$4:$Q$30,MATCH(E195,'Item Purchases'!$B$4:$B$30,0)),0))</f>
        <v>2.78</v>
      </c>
      <c r="K195" s="180">
        <f t="shared" si="27"/>
        <v>0</v>
      </c>
      <c r="L195" s="178">
        <f t="shared" si="28"/>
        <v>1</v>
      </c>
      <c r="M195" s="178">
        <f>IF(E195="",0,IF(AND(OR(OR(Dashboard!$E$5="All",Dashboard!$E$5=""),AG195=Dashboard!$E$5),OR(OR(Dashboard!$H$5="All",Dashboard!$H$5=""),F195=Dashboard!$H$5),OR(OR(Dashboard!$B$5="All",Dashboard!$B$5=""),C195=Dashboard!$B$5),OR(OR(Dashboard!$K$5="All",Dashboard!$K$5=""),A195=Dashboard!$K$5),OR(OR(Dashboard!$N$5="All",Dashboard!$N$5=""),B195=Dashboard!$N$5),OR(OR(Dashboard!$Q$5="All",Dashboard!$Q$5=""),D195=Dashboard!$Q$5),OR(OR(Dashboard!$U$5="All",Dashboard!$U$5=""),E195=Dashboard!$U$5)),1,0))</f>
        <v>1</v>
      </c>
      <c r="N195" s="178">
        <f>IF(E195="",0,IF(AND(OR(OR(Dashboard!$E$5="All",Dashboard!$E$5=""),AG195=Dashboard!$E$5),OR(OR(Dashboard!$B$5="All",Dashboard!$B$5=""),C195=Dashboard!$B$5),OR(OR(Dashboard!$K$5="All",Dashboard!$K$5=""),A195=Dashboard!$K$5),OR(OR(Dashboard!$N$5="All",Dashboard!$N$5=""),B195=Dashboard!$N$5),OR(OR(Dashboard!$Q$5="All",Dashboard!$Q$5=""),D195=Dashboard!$Q$5),OR(OR(Dashboard!$U$5="All",Dashboard!$U$5=""),E195=Dashboard!$U$5)),1,0))</f>
        <v>1</v>
      </c>
      <c r="O195" s="165">
        <f t="shared" si="29"/>
        <v>0</v>
      </c>
      <c r="AG195" s="178" t="str">
        <f>IF(E195="","",IFERROR(IF(INDEX('Item Purchases'!$AM$4:$AM$30,MATCH(E195,'Item Purchases'!$B$4:$B$30,0))="","Uncategorised",INDEX('Item Purchases'!$AM$4:$AM$30,MATCH(E195,'Item Purchases'!$B$4:$B$30,0))),"Uncategorised"))</f>
        <v>Snacks</v>
      </c>
      <c r="AH195" s="165">
        <f>IF(AND(E195&lt;&gt;"",L195=1),COUNTIFS($E$2:E195,E195,$L$2:L195,1),0)</f>
        <v>8</v>
      </c>
      <c r="AI195" s="165">
        <f t="shared" si="30"/>
        <v>0</v>
      </c>
      <c r="AJ195" s="165">
        <f t="shared" si="31"/>
        <v>0</v>
      </c>
    </row>
    <row r="196" spans="1:36" x14ac:dyDescent="0.25">
      <c r="A196" s="177">
        <f t="shared" si="25"/>
        <v>46275</v>
      </c>
      <c r="B196" s="178" t="str">
        <f t="shared" si="26"/>
        <v>Thu</v>
      </c>
      <c r="C196" s="178" t="str">
        <f>'Pantry Inventory'!$A$34</f>
        <v>Sep Week 2</v>
      </c>
      <c r="D196" s="178" t="str">
        <f>IF('Pantry Inventory'!A42="","",'Pantry Inventory'!A42)</f>
        <v>Nature Valley</v>
      </c>
      <c r="E196" s="178" t="str">
        <f>IF('Pantry Inventory'!B42="","",'Pantry Inventory'!B42)</f>
        <v xml:space="preserve">NV PROTEIN - SALTED CARAMEL 40G </v>
      </c>
      <c r="F196" s="178" t="str">
        <f>IF(E196="","",IFERROR(IF(INDEX('Item Purchases'!$S$4:$S$30,MATCH(E196,'Item Purchases'!$B$4:$B$30,0))="","Uncategorised",INDEX('Item Purchases'!$S$4:$S$30,MATCH(E196,'Item Purchases'!$B$4:$B$30,0))),"Uncategorised"))</f>
        <v>Sweet</v>
      </c>
      <c r="G196" s="178">
        <f>IF(E196="",0,'Pantry Inventory'!J42)</f>
        <v>0</v>
      </c>
      <c r="H196" s="178">
        <f>IF(E196="","",IF('Pantry Inventory'!K42="","",'Pantry Inventory'!K42))</f>
        <v>0</v>
      </c>
      <c r="I196" s="178">
        <f>IF(H196="","",'Pantry Inventory'!L42)</f>
        <v>0</v>
      </c>
      <c r="J196" s="179">
        <f>IF(E196="",0,IFERROR(INDEX('Item Purchases'!$Q$4:$Q$30,MATCH(E196,'Item Purchases'!$B$4:$B$30,0)),0))</f>
        <v>4.9000000000000004</v>
      </c>
      <c r="K196" s="180">
        <f t="shared" si="27"/>
        <v>0</v>
      </c>
      <c r="L196" s="178">
        <f t="shared" si="28"/>
        <v>1</v>
      </c>
      <c r="M196" s="178">
        <f>IF(E196="",0,IF(AND(OR(OR(Dashboard!$E$5="All",Dashboard!$E$5=""),AG196=Dashboard!$E$5),OR(OR(Dashboard!$H$5="All",Dashboard!$H$5=""),F196=Dashboard!$H$5),OR(OR(Dashboard!$B$5="All",Dashboard!$B$5=""),C196=Dashboard!$B$5),OR(OR(Dashboard!$K$5="All",Dashboard!$K$5=""),A196=Dashboard!$K$5),OR(OR(Dashboard!$N$5="All",Dashboard!$N$5=""),B196=Dashboard!$N$5),OR(OR(Dashboard!$Q$5="All",Dashboard!$Q$5=""),D196=Dashboard!$Q$5),OR(OR(Dashboard!$U$5="All",Dashboard!$U$5=""),E196=Dashboard!$U$5)),1,0))</f>
        <v>1</v>
      </c>
      <c r="N196" s="178">
        <f>IF(E196="",0,IF(AND(OR(OR(Dashboard!$E$5="All",Dashboard!$E$5=""),AG196=Dashboard!$E$5),OR(OR(Dashboard!$B$5="All",Dashboard!$B$5=""),C196=Dashboard!$B$5),OR(OR(Dashboard!$K$5="All",Dashboard!$K$5=""),A196=Dashboard!$K$5),OR(OR(Dashboard!$N$5="All",Dashboard!$N$5=""),B196=Dashboard!$N$5),OR(OR(Dashboard!$Q$5="All",Dashboard!$Q$5=""),D196=Dashboard!$Q$5),OR(OR(Dashboard!$U$5="All",Dashboard!$U$5=""),E196=Dashboard!$U$5)),1,0))</f>
        <v>1</v>
      </c>
      <c r="O196" s="165">
        <f t="shared" si="29"/>
        <v>0</v>
      </c>
      <c r="AG196" s="178" t="str">
        <f>IF(E196="","",IFERROR(IF(INDEX('Item Purchases'!$AM$4:$AM$30,MATCH(E196,'Item Purchases'!$B$4:$B$30,0))="","Uncategorised",INDEX('Item Purchases'!$AM$4:$AM$30,MATCH(E196,'Item Purchases'!$B$4:$B$30,0))),"Uncategorised"))</f>
        <v>Snacks</v>
      </c>
      <c r="AH196" s="165">
        <f>IF(AND(E196&lt;&gt;"",L196=1),COUNTIFS($E$2:E196,E196,$L$2:L196,1),0)</f>
        <v>8</v>
      </c>
      <c r="AI196" s="165">
        <f t="shared" si="30"/>
        <v>0</v>
      </c>
      <c r="AJ196" s="165">
        <f t="shared" si="31"/>
        <v>0</v>
      </c>
    </row>
    <row r="197" spans="1:36" x14ac:dyDescent="0.25">
      <c r="A197" s="177">
        <f t="shared" si="25"/>
        <v>46275</v>
      </c>
      <c r="B197" s="178" t="str">
        <f t="shared" si="26"/>
        <v>Thu</v>
      </c>
      <c r="C197" s="178" t="str">
        <f>'Pantry Inventory'!$A$34</f>
        <v>Sep Week 2</v>
      </c>
      <c r="D197" s="178" t="str">
        <f>IF('Pantry Inventory'!A43="","",'Pantry Inventory'!A43)</f>
        <v>BBMG</v>
      </c>
      <c r="E197" s="178" t="str">
        <f>IF('Pantry Inventory'!B43="","",'Pantry Inventory'!B43)</f>
        <v>BBMG 90G</v>
      </c>
      <c r="F197" s="178" t="str">
        <f>IF(E197="","",IFERROR(IF(INDEX('Item Purchases'!$S$4:$S$30,MATCH(E197,'Item Purchases'!$B$4:$B$30,0))="","Uncategorised",INDEX('Item Purchases'!$S$4:$S$30,MATCH(E197,'Item Purchases'!$B$4:$B$30,0))),"Uncategorised"))</f>
        <v>Savoury</v>
      </c>
      <c r="G197" s="178">
        <f>IF(E197="",0,'Pantry Inventory'!J43)</f>
        <v>0</v>
      </c>
      <c r="H197" s="178">
        <f>IF(E197="","",IF('Pantry Inventory'!K43="","",'Pantry Inventory'!K43))</f>
        <v>22</v>
      </c>
      <c r="I197" s="178">
        <f>IF(H197="","",'Pantry Inventory'!L43)</f>
        <v>33</v>
      </c>
      <c r="J197" s="179">
        <f>IF(E197="",0,IFERROR(INDEX('Item Purchases'!$Q$4:$Q$30,MATCH(E197,'Item Purchases'!$B$4:$B$30,0)),0))</f>
        <v>0.34300000000000003</v>
      </c>
      <c r="K197" s="180">
        <f t="shared" si="27"/>
        <v>11.319000000000001</v>
      </c>
      <c r="L197" s="178">
        <f t="shared" si="28"/>
        <v>1</v>
      </c>
      <c r="M197" s="178">
        <f>IF(E197="",0,IF(AND(OR(OR(Dashboard!$E$5="All",Dashboard!$E$5=""),AG197=Dashboard!$E$5),OR(OR(Dashboard!$H$5="All",Dashboard!$H$5=""),F197=Dashboard!$H$5),OR(OR(Dashboard!$B$5="All",Dashboard!$B$5=""),C197=Dashboard!$B$5),OR(OR(Dashboard!$K$5="All",Dashboard!$K$5=""),A197=Dashboard!$K$5),OR(OR(Dashboard!$N$5="All",Dashboard!$N$5=""),B197=Dashboard!$N$5),OR(OR(Dashboard!$Q$5="All",Dashboard!$Q$5=""),D197=Dashboard!$Q$5),OR(OR(Dashboard!$U$5="All",Dashboard!$U$5=""),E197=Dashboard!$U$5)),1,0))</f>
        <v>1</v>
      </c>
      <c r="N197" s="178">
        <f>IF(E197="",0,IF(AND(OR(OR(Dashboard!$E$5="All",Dashboard!$E$5=""),AG197=Dashboard!$E$5),OR(OR(Dashboard!$B$5="All",Dashboard!$B$5=""),C197=Dashboard!$B$5),OR(OR(Dashboard!$K$5="All",Dashboard!$K$5=""),A197=Dashboard!$K$5),OR(OR(Dashboard!$N$5="All",Dashboard!$N$5=""),B197=Dashboard!$N$5),OR(OR(Dashboard!$Q$5="All",Dashboard!$Q$5=""),D197=Dashboard!$Q$5),OR(OR(Dashboard!$U$5="All",Dashboard!$U$5=""),E197=Dashboard!$U$5)),1,0))</f>
        <v>1</v>
      </c>
      <c r="O197" s="165">
        <f t="shared" si="29"/>
        <v>1089</v>
      </c>
      <c r="AG197" s="178" t="str">
        <f>IF(E197="","",IFERROR(IF(INDEX('Item Purchases'!$AM$4:$AM$30,MATCH(E197,'Item Purchases'!$B$4:$B$30,0))="","Uncategorised",INDEX('Item Purchases'!$AM$4:$AM$30,MATCH(E197,'Item Purchases'!$B$4:$B$30,0))),"Uncategorised"))</f>
        <v>Snacks</v>
      </c>
      <c r="AH197" s="165">
        <f>IF(AND(E197&lt;&gt;"",L197=1),COUNTIFS($E$2:E197,E197,$L$2:L197,1),0)</f>
        <v>8</v>
      </c>
      <c r="AI197" s="165">
        <f t="shared" si="30"/>
        <v>33</v>
      </c>
      <c r="AJ197" s="165">
        <f t="shared" si="31"/>
        <v>1</v>
      </c>
    </row>
    <row r="198" spans="1:36" x14ac:dyDescent="0.25">
      <c r="A198" s="177">
        <f t="shared" si="25"/>
        <v>46275</v>
      </c>
      <c r="B198" s="178" t="str">
        <f t="shared" si="26"/>
        <v>Thu</v>
      </c>
      <c r="C198" s="178" t="str">
        <f>'Pantry Inventory'!$A$34</f>
        <v>Sep Week 2</v>
      </c>
      <c r="D198" s="178" t="str">
        <f>IF('Pantry Inventory'!A44="","",'Pantry Inventory'!A44)</f>
        <v>Lays</v>
      </c>
      <c r="E198" s="178" t="str">
        <f>IF('Pantry Inventory'!B44="","",'Pantry Inventory'!B44)</f>
        <v>Lays Potato Chips (Original) 50g</v>
      </c>
      <c r="F198" s="178" t="str">
        <f>IF(E198="","",IFERROR(IF(INDEX('Item Purchases'!$S$4:$S$30,MATCH(E198,'Item Purchases'!$B$4:$B$30,0))="","Uncategorised",INDEX('Item Purchases'!$S$4:$S$30,MATCH(E198,'Item Purchases'!$B$4:$B$30,0))),"Uncategorised"))</f>
        <v>Savoury</v>
      </c>
      <c r="G198" s="178">
        <f>IF(E198="",0,'Pantry Inventory'!J44)</f>
        <v>0</v>
      </c>
      <c r="H198" s="178">
        <f>IF(E198="","",IF('Pantry Inventory'!K44="","",'Pantry Inventory'!K44))</f>
        <v>18</v>
      </c>
      <c r="I198" s="178">
        <f>IF(H198="","",'Pantry Inventory'!L44)</f>
        <v>2</v>
      </c>
      <c r="J198" s="179">
        <f>IF(E198="",0,IFERROR(INDEX('Item Purchases'!$Q$4:$Q$30,MATCH(E198,'Item Purchases'!$B$4:$B$30,0)),0))</f>
        <v>3.4580000000000002</v>
      </c>
      <c r="K198" s="180">
        <f t="shared" si="27"/>
        <v>6.9160000000000004</v>
      </c>
      <c r="L198" s="178">
        <f t="shared" si="28"/>
        <v>1</v>
      </c>
      <c r="M198" s="178">
        <f>IF(E198="",0,IF(AND(OR(OR(Dashboard!$E$5="All",Dashboard!$E$5=""),AG198=Dashboard!$E$5),OR(OR(Dashboard!$H$5="All",Dashboard!$H$5=""),F198=Dashboard!$H$5),OR(OR(Dashboard!$B$5="All",Dashboard!$B$5=""),C198=Dashboard!$B$5),OR(OR(Dashboard!$K$5="All",Dashboard!$K$5=""),A198=Dashboard!$K$5),OR(OR(Dashboard!$N$5="All",Dashboard!$N$5=""),B198=Dashboard!$N$5),OR(OR(Dashboard!$Q$5="All",Dashboard!$Q$5=""),D198=Dashboard!$Q$5),OR(OR(Dashboard!$U$5="All",Dashboard!$U$5=""),E198=Dashboard!$U$5)),1,0))</f>
        <v>1</v>
      </c>
      <c r="N198" s="178">
        <f>IF(E198="",0,IF(AND(OR(OR(Dashboard!$E$5="All",Dashboard!$E$5=""),AG198=Dashboard!$E$5),OR(OR(Dashboard!$B$5="All",Dashboard!$B$5=""),C198=Dashboard!$B$5),OR(OR(Dashboard!$K$5="All",Dashboard!$K$5=""),A198=Dashboard!$K$5),OR(OR(Dashboard!$N$5="All",Dashboard!$N$5=""),B198=Dashboard!$N$5),OR(OR(Dashboard!$Q$5="All",Dashboard!$Q$5=""),D198=Dashboard!$Q$5),OR(OR(Dashboard!$U$5="All",Dashboard!$U$5=""),E198=Dashboard!$U$5)),1,0))</f>
        <v>1</v>
      </c>
      <c r="O198" s="165">
        <f t="shared" si="29"/>
        <v>4</v>
      </c>
      <c r="AG198" s="178" t="str">
        <f>IF(E198="","",IFERROR(IF(INDEX('Item Purchases'!$AM$4:$AM$30,MATCH(E198,'Item Purchases'!$B$4:$B$30,0))="","Uncategorised",INDEX('Item Purchases'!$AM$4:$AM$30,MATCH(E198,'Item Purchases'!$B$4:$B$30,0))),"Uncategorised"))</f>
        <v>Snacks</v>
      </c>
      <c r="AH198" s="165">
        <f>IF(AND(E198&lt;&gt;"",L198=1),COUNTIFS($E$2:E198,E198,$L$2:L198,1),0)</f>
        <v>8</v>
      </c>
      <c r="AI198" s="165">
        <f t="shared" si="30"/>
        <v>2</v>
      </c>
      <c r="AJ198" s="165">
        <f t="shared" si="31"/>
        <v>1</v>
      </c>
    </row>
    <row r="199" spans="1:36" x14ac:dyDescent="0.25">
      <c r="A199" s="177">
        <f t="shared" si="25"/>
        <v>46275</v>
      </c>
      <c r="B199" s="178" t="str">
        <f t="shared" si="26"/>
        <v>Thu</v>
      </c>
      <c r="C199" s="178" t="str">
        <f>'Pantry Inventory'!$A$34</f>
        <v>Sep Week 2</v>
      </c>
      <c r="D199" s="178" t="str">
        <f>IF('Pantry Inventory'!A45="","",'Pantry Inventory'!A45)</f>
        <v>Lays</v>
      </c>
      <c r="E199" s="178" t="str">
        <f>IF('Pantry Inventory'!B45="","",'Pantry Inventory'!B45)</f>
        <v xml:space="preserve">Lays Double Crunch - Seaweed Flav (50g) </v>
      </c>
      <c r="F199" s="178" t="str">
        <f>IF(E199="","",IFERROR(IF(INDEX('Item Purchases'!$S$4:$S$30,MATCH(E199,'Item Purchases'!$B$4:$B$30,0))="","Uncategorised",INDEX('Item Purchases'!$S$4:$S$30,MATCH(E199,'Item Purchases'!$B$4:$B$30,0))),"Uncategorised"))</f>
        <v>Savoury</v>
      </c>
      <c r="G199" s="178">
        <f>IF(E199="",0,'Pantry Inventory'!J45)</f>
        <v>0</v>
      </c>
      <c r="H199" s="178">
        <f>IF(E199="","",IF('Pantry Inventory'!K45="","",'Pantry Inventory'!K45))</f>
        <v>13</v>
      </c>
      <c r="I199" s="178">
        <f>IF(H199="","",'Pantry Inventory'!L45)</f>
        <v>13</v>
      </c>
      <c r="J199" s="179">
        <f>IF(E199="",0,IFERROR(INDEX('Item Purchases'!$Q$4:$Q$30,MATCH(E199,'Item Purchases'!$B$4:$B$30,0)),0))</f>
        <v>4</v>
      </c>
      <c r="K199" s="180">
        <f t="shared" si="27"/>
        <v>52</v>
      </c>
      <c r="L199" s="178">
        <f t="shared" si="28"/>
        <v>1</v>
      </c>
      <c r="M199" s="178">
        <f>IF(E199="",0,IF(AND(OR(OR(Dashboard!$E$5="All",Dashboard!$E$5=""),AG199=Dashboard!$E$5),OR(OR(Dashboard!$H$5="All",Dashboard!$H$5=""),F199=Dashboard!$H$5),OR(OR(Dashboard!$B$5="All",Dashboard!$B$5=""),C199=Dashboard!$B$5),OR(OR(Dashboard!$K$5="All",Dashboard!$K$5=""),A199=Dashboard!$K$5),OR(OR(Dashboard!$N$5="All",Dashboard!$N$5=""),B199=Dashboard!$N$5),OR(OR(Dashboard!$Q$5="All",Dashboard!$Q$5=""),D199=Dashboard!$Q$5),OR(OR(Dashboard!$U$5="All",Dashboard!$U$5=""),E199=Dashboard!$U$5)),1,0))</f>
        <v>1</v>
      </c>
      <c r="N199" s="178">
        <f>IF(E199="",0,IF(AND(OR(OR(Dashboard!$E$5="All",Dashboard!$E$5=""),AG199=Dashboard!$E$5),OR(OR(Dashboard!$B$5="All",Dashboard!$B$5=""),C199=Dashboard!$B$5),OR(OR(Dashboard!$K$5="All",Dashboard!$K$5=""),A199=Dashboard!$K$5),OR(OR(Dashboard!$N$5="All",Dashboard!$N$5=""),B199=Dashboard!$N$5),OR(OR(Dashboard!$Q$5="All",Dashboard!$Q$5=""),D199=Dashboard!$Q$5),OR(OR(Dashboard!$U$5="All",Dashboard!$U$5=""),E199=Dashboard!$U$5)),1,0))</f>
        <v>1</v>
      </c>
      <c r="O199" s="165">
        <f t="shared" si="29"/>
        <v>169</v>
      </c>
      <c r="AG199" s="178" t="str">
        <f>IF(E199="","",IFERROR(IF(INDEX('Item Purchases'!$AM$4:$AM$30,MATCH(E199,'Item Purchases'!$B$4:$B$30,0))="","Uncategorised",INDEX('Item Purchases'!$AM$4:$AM$30,MATCH(E199,'Item Purchases'!$B$4:$B$30,0))),"Uncategorised"))</f>
        <v>Snacks</v>
      </c>
      <c r="AH199" s="165">
        <f>IF(AND(E199&lt;&gt;"",L199=1),COUNTIFS($E$2:E199,E199,$L$2:L199,1),0)</f>
        <v>8</v>
      </c>
      <c r="AI199" s="165">
        <f t="shared" si="30"/>
        <v>13</v>
      </c>
      <c r="AJ199" s="165">
        <f t="shared" si="31"/>
        <v>1</v>
      </c>
    </row>
    <row r="200" spans="1:36" x14ac:dyDescent="0.25">
      <c r="A200" s="177">
        <f t="shared" si="25"/>
        <v>46275</v>
      </c>
      <c r="B200" s="178" t="str">
        <f t="shared" si="26"/>
        <v>Thu</v>
      </c>
      <c r="C200" s="178" t="str">
        <f>'Pantry Inventory'!$A$34</f>
        <v>Sep Week 2</v>
      </c>
      <c r="D200" s="178" t="str">
        <f>IF('Pantry Inventory'!A46="","",'Pantry Inventory'!A46)</f>
        <v>Munchy</v>
      </c>
      <c r="E200" s="178" t="str">
        <f>IF('Pantry Inventory'!B46="","",'Pantry Inventory'!B46)</f>
        <v>Munchy Oat Krunch - Dark Choco</v>
      </c>
      <c r="F200" s="178" t="str">
        <f>IF(E200="","",IFERROR(IF(INDEX('Item Purchases'!$S$4:$S$30,MATCH(E200,'Item Purchases'!$B$4:$B$30,0))="","Uncategorised",INDEX('Item Purchases'!$S$4:$S$30,MATCH(E200,'Item Purchases'!$B$4:$B$30,0))),"Uncategorised"))</f>
        <v>Sweet</v>
      </c>
      <c r="G200" s="178">
        <f>IF(E200="",0,'Pantry Inventory'!J46)</f>
        <v>30</v>
      </c>
      <c r="H200" s="178">
        <f>IF(E200="","",IF('Pantry Inventory'!K46="","",'Pantry Inventory'!K46))</f>
        <v>30</v>
      </c>
      <c r="I200" s="178">
        <f>IF(H200="","",'Pantry Inventory'!L46)</f>
        <v>15</v>
      </c>
      <c r="J200" s="179">
        <f>IF(E200="",0,IFERROR(INDEX('Item Purchases'!$Q$4:$Q$30,MATCH(E200,'Item Purchases'!$B$4:$B$30,0)),0))</f>
        <v>0.73</v>
      </c>
      <c r="K200" s="180">
        <f t="shared" si="27"/>
        <v>10.95</v>
      </c>
      <c r="L200" s="178">
        <f t="shared" si="28"/>
        <v>1</v>
      </c>
      <c r="M200" s="178">
        <f>IF(E200="",0,IF(AND(OR(OR(Dashboard!$E$5="All",Dashboard!$E$5=""),AG200=Dashboard!$E$5),OR(OR(Dashboard!$H$5="All",Dashboard!$H$5=""),F200=Dashboard!$H$5),OR(OR(Dashboard!$B$5="All",Dashboard!$B$5=""),C200=Dashboard!$B$5),OR(OR(Dashboard!$K$5="All",Dashboard!$K$5=""),A200=Dashboard!$K$5),OR(OR(Dashboard!$N$5="All",Dashboard!$N$5=""),B200=Dashboard!$N$5),OR(OR(Dashboard!$Q$5="All",Dashboard!$Q$5=""),D200=Dashboard!$Q$5),OR(OR(Dashboard!$U$5="All",Dashboard!$U$5=""),E200=Dashboard!$U$5)),1,0))</f>
        <v>1</v>
      </c>
      <c r="N200" s="178">
        <f>IF(E200="",0,IF(AND(OR(OR(Dashboard!$E$5="All",Dashboard!$E$5=""),AG200=Dashboard!$E$5),OR(OR(Dashboard!$B$5="All",Dashboard!$B$5=""),C200=Dashboard!$B$5),OR(OR(Dashboard!$K$5="All",Dashboard!$K$5=""),A200=Dashboard!$K$5),OR(OR(Dashboard!$N$5="All",Dashboard!$N$5=""),B200=Dashboard!$N$5),OR(OR(Dashboard!$Q$5="All",Dashboard!$Q$5=""),D200=Dashboard!$Q$5),OR(OR(Dashboard!$U$5="All",Dashboard!$U$5=""),E200=Dashboard!$U$5)),1,0))</f>
        <v>1</v>
      </c>
      <c r="O200" s="165">
        <f t="shared" si="29"/>
        <v>225</v>
      </c>
      <c r="AG200" s="178" t="str">
        <f>IF(E200="","",IFERROR(IF(INDEX('Item Purchases'!$AM$4:$AM$30,MATCH(E200,'Item Purchases'!$B$4:$B$30,0))="","Uncategorised",INDEX('Item Purchases'!$AM$4:$AM$30,MATCH(E200,'Item Purchases'!$B$4:$B$30,0))),"Uncategorised"))</f>
        <v>Snacks</v>
      </c>
      <c r="AH200" s="165">
        <f>IF(AND(E200&lt;&gt;"",L200=1),COUNTIFS($E$2:E200,E200,$L$2:L200,1),0)</f>
        <v>8</v>
      </c>
      <c r="AI200" s="165">
        <f t="shared" si="30"/>
        <v>15</v>
      </c>
      <c r="AJ200" s="165">
        <f t="shared" si="31"/>
        <v>1</v>
      </c>
    </row>
    <row r="201" spans="1:36" x14ac:dyDescent="0.25">
      <c r="A201" s="177">
        <f t="shared" si="25"/>
        <v>46275</v>
      </c>
      <c r="B201" s="178" t="str">
        <f t="shared" si="26"/>
        <v>Thu</v>
      </c>
      <c r="C201" s="178" t="str">
        <f>'Pantry Inventory'!$A$34</f>
        <v>Sep Week 2</v>
      </c>
      <c r="D201" s="178" t="str">
        <f>IF('Pantry Inventory'!A47="","",'Pantry Inventory'!A47)</f>
        <v>Munchy</v>
      </c>
      <c r="E201" s="178" t="str">
        <f>IF('Pantry Inventory'!B47="","",'Pantry Inventory'!B47)</f>
        <v>Munchy Oat Krunch - Strawberry &amp; Blackcurrant</v>
      </c>
      <c r="F201" s="178" t="str">
        <f>IF(E201="","",IFERROR(IF(INDEX('Item Purchases'!$S$4:$S$30,MATCH(E201,'Item Purchases'!$B$4:$B$30,0))="","Uncategorised",INDEX('Item Purchases'!$S$4:$S$30,MATCH(E201,'Item Purchases'!$B$4:$B$30,0))),"Uncategorised"))</f>
        <v>Sweet</v>
      </c>
      <c r="G201" s="178">
        <f>IF(E201="",0,'Pantry Inventory'!J47)</f>
        <v>0</v>
      </c>
      <c r="H201" s="178">
        <f>IF(E201="","",IF('Pantry Inventory'!K47="","",'Pantry Inventory'!K47))</f>
        <v>37</v>
      </c>
      <c r="I201" s="178">
        <f>IF(H201="","",'Pantry Inventory'!L47)</f>
        <v>13</v>
      </c>
      <c r="J201" s="179">
        <f>IF(E201="",0,IFERROR(INDEX('Item Purchases'!$Q$4:$Q$30,MATCH(E201,'Item Purchases'!$B$4:$B$30,0)),0))</f>
        <v>0.73</v>
      </c>
      <c r="K201" s="180">
        <f t="shared" si="27"/>
        <v>9.49</v>
      </c>
      <c r="L201" s="178">
        <f t="shared" si="28"/>
        <v>1</v>
      </c>
      <c r="M201" s="178">
        <f>IF(E201="",0,IF(AND(OR(OR(Dashboard!$E$5="All",Dashboard!$E$5=""),AG201=Dashboard!$E$5),OR(OR(Dashboard!$H$5="All",Dashboard!$H$5=""),F201=Dashboard!$H$5),OR(OR(Dashboard!$B$5="All",Dashboard!$B$5=""),C201=Dashboard!$B$5),OR(OR(Dashboard!$K$5="All",Dashboard!$K$5=""),A201=Dashboard!$K$5),OR(OR(Dashboard!$N$5="All",Dashboard!$N$5=""),B201=Dashboard!$N$5),OR(OR(Dashboard!$Q$5="All",Dashboard!$Q$5=""),D201=Dashboard!$Q$5),OR(OR(Dashboard!$U$5="All",Dashboard!$U$5=""),E201=Dashboard!$U$5)),1,0))</f>
        <v>1</v>
      </c>
      <c r="N201" s="178">
        <f>IF(E201="",0,IF(AND(OR(OR(Dashboard!$E$5="All",Dashboard!$E$5=""),AG201=Dashboard!$E$5),OR(OR(Dashboard!$B$5="All",Dashboard!$B$5=""),C201=Dashboard!$B$5),OR(OR(Dashboard!$K$5="All",Dashboard!$K$5=""),A201=Dashboard!$K$5),OR(OR(Dashboard!$N$5="All",Dashboard!$N$5=""),B201=Dashboard!$N$5),OR(OR(Dashboard!$Q$5="All",Dashboard!$Q$5=""),D201=Dashboard!$Q$5),OR(OR(Dashboard!$U$5="All",Dashboard!$U$5=""),E201=Dashboard!$U$5)),1,0))</f>
        <v>1</v>
      </c>
      <c r="O201" s="165">
        <f t="shared" si="29"/>
        <v>169</v>
      </c>
      <c r="AG201" s="178" t="str">
        <f>IF(E201="","",IFERROR(IF(INDEX('Item Purchases'!$AM$4:$AM$30,MATCH(E201,'Item Purchases'!$B$4:$B$30,0))="","Uncategorised",INDEX('Item Purchases'!$AM$4:$AM$30,MATCH(E201,'Item Purchases'!$B$4:$B$30,0))),"Uncategorised"))</f>
        <v>Snacks</v>
      </c>
      <c r="AH201" s="165">
        <f>IF(AND(E201&lt;&gt;"",L201=1),COUNTIFS($E$2:E201,E201,$L$2:L201,1),0)</f>
        <v>8</v>
      </c>
      <c r="AI201" s="165">
        <f t="shared" si="30"/>
        <v>13</v>
      </c>
      <c r="AJ201" s="165">
        <f t="shared" si="31"/>
        <v>1</v>
      </c>
    </row>
    <row r="202" spans="1:36" x14ac:dyDescent="0.25">
      <c r="A202" s="177">
        <f t="shared" si="25"/>
        <v>46275</v>
      </c>
      <c r="B202" s="178" t="str">
        <f t="shared" si="26"/>
        <v>Thu</v>
      </c>
      <c r="C202" s="178" t="str">
        <f>'Pantry Inventory'!$A$34</f>
        <v>Sep Week 2</v>
      </c>
      <c r="D202" s="178" t="str">
        <f>IF('Pantry Inventory'!A48="","",'Pantry Inventory'!A48)</f>
        <v/>
      </c>
      <c r="E202" s="178" t="str">
        <f>IF('Pantry Inventory'!B48="","",'Pantry Inventory'!B48)</f>
        <v/>
      </c>
      <c r="F202" s="178" t="str">
        <f>IF(E202="","",IFERROR(IF(INDEX('Item Purchases'!$S$4:$S$30,MATCH(E202,'Item Purchases'!$B$4:$B$30,0))="","Uncategorised",INDEX('Item Purchases'!$S$4:$S$30,MATCH(E202,'Item Purchases'!$B$4:$B$30,0))),"Uncategorised"))</f>
        <v/>
      </c>
      <c r="G202" s="178">
        <f>IF(E202="",0,'Pantry Inventory'!J48)</f>
        <v>0</v>
      </c>
      <c r="H202" s="178" t="str">
        <f>IF(E202="","",IF('Pantry Inventory'!K48="","",'Pantry Inventory'!K48))</f>
        <v/>
      </c>
      <c r="I202" s="178" t="str">
        <f>IF(H202="","",'Pantry Inventory'!L48)</f>
        <v/>
      </c>
      <c r="J202" s="179">
        <f>IF(E202="",0,IFERROR(INDEX('Item Purchases'!$Q$4:$Q$30,MATCH(E202,'Item Purchases'!$B$4:$B$30,0)),0))</f>
        <v>0</v>
      </c>
      <c r="K202" s="180" t="str">
        <f t="shared" si="27"/>
        <v/>
      </c>
      <c r="L202" s="178">
        <f t="shared" si="28"/>
        <v>0</v>
      </c>
      <c r="M202" s="178">
        <f>IF(E202="",0,IF(AND(OR(OR(Dashboard!$E$5="All",Dashboard!$E$5=""),AG202=Dashboard!$E$5),OR(OR(Dashboard!$H$5="All",Dashboard!$H$5=""),F202=Dashboard!$H$5),OR(OR(Dashboard!$B$5="All",Dashboard!$B$5=""),C202=Dashboard!$B$5),OR(OR(Dashboard!$K$5="All",Dashboard!$K$5=""),A202=Dashboard!$K$5),OR(OR(Dashboard!$N$5="All",Dashboard!$N$5=""),B202=Dashboard!$N$5),OR(OR(Dashboard!$Q$5="All",Dashboard!$Q$5=""),D202=Dashboard!$Q$5),OR(OR(Dashboard!$U$5="All",Dashboard!$U$5=""),E202=Dashboard!$U$5)),1,0))</f>
        <v>0</v>
      </c>
      <c r="N202" s="178">
        <f>IF(E202="",0,IF(AND(OR(OR(Dashboard!$E$5="All",Dashboard!$E$5=""),AG202=Dashboard!$E$5),OR(OR(Dashboard!$B$5="All",Dashboard!$B$5=""),C202=Dashboard!$B$5),OR(OR(Dashboard!$K$5="All",Dashboard!$K$5=""),A202=Dashboard!$K$5),OR(OR(Dashboard!$N$5="All",Dashboard!$N$5=""),B202=Dashboard!$N$5),OR(OR(Dashboard!$Q$5="All",Dashboard!$Q$5=""),D202=Dashboard!$Q$5),OR(OR(Dashboard!$U$5="All",Dashboard!$U$5=""),E202=Dashboard!$U$5)),1,0))</f>
        <v>0</v>
      </c>
      <c r="O202" s="165">
        <f t="shared" si="29"/>
        <v>0</v>
      </c>
      <c r="AG202" s="178" t="str">
        <f>IF(E202="","",IFERROR(IF(INDEX('Item Purchases'!$AM$4:$AM$30,MATCH(E202,'Item Purchases'!$B$4:$B$30,0))="","Uncategorised",INDEX('Item Purchases'!$AM$4:$AM$30,MATCH(E202,'Item Purchases'!$B$4:$B$30,0))),"Uncategorised"))</f>
        <v/>
      </c>
      <c r="AH202" s="165">
        <f>IF(AND(E202&lt;&gt;"",L202=1),COUNTIFS($E$2:E202,E202,$L$2:L202,1),0)</f>
        <v>0</v>
      </c>
      <c r="AI202" s="165">
        <f t="shared" si="30"/>
        <v>0</v>
      </c>
      <c r="AJ202" s="165">
        <f t="shared" si="31"/>
        <v>0</v>
      </c>
    </row>
    <row r="203" spans="1:36" x14ac:dyDescent="0.25">
      <c r="A203" s="177">
        <f t="shared" si="25"/>
        <v>46275</v>
      </c>
      <c r="B203" s="178" t="str">
        <f t="shared" si="26"/>
        <v>Thu</v>
      </c>
      <c r="C203" s="178" t="str">
        <f>'Pantry Inventory'!$A$34</f>
        <v>Sep Week 2</v>
      </c>
      <c r="D203" s="178" t="str">
        <f>IF('Pantry Inventory'!A49="","",'Pantry Inventory'!A49)</f>
        <v>Nestle</v>
      </c>
      <c r="E203" s="178" t="str">
        <f>IF('Pantry Inventory'!B49="","",'Pantry Inventory'!B49)</f>
        <v>Milo 200ml</v>
      </c>
      <c r="F203" s="178" t="str">
        <f>IF(E203="","",IFERROR(IF(INDEX('Item Purchases'!$S$4:$S$30,MATCH(E203,'Item Purchases'!$B$4:$B$30,0))="","Uncategorised",INDEX('Item Purchases'!$S$4:$S$30,MATCH(E203,'Item Purchases'!$B$4:$B$30,0))),"Uncategorised"))</f>
        <v>Other</v>
      </c>
      <c r="G203" s="178">
        <f>IF(E203="",0,'Pantry Inventory'!J49)</f>
        <v>0</v>
      </c>
      <c r="H203" s="178">
        <f>IF(E203="","",IF('Pantry Inventory'!K49="","",'Pantry Inventory'!K49))</f>
        <v>49</v>
      </c>
      <c r="I203" s="178">
        <f>IF(H203="","",'Pantry Inventory'!L49)</f>
        <v>14</v>
      </c>
      <c r="J203" s="179">
        <f>IF(E203="",0,IFERROR(INDEX('Item Purchases'!$Q$4:$Q$30,MATCH(E203,'Item Purchases'!$B$4:$B$30,0)),0))</f>
        <v>2.37</v>
      </c>
      <c r="K203" s="180">
        <f t="shared" si="27"/>
        <v>33.18</v>
      </c>
      <c r="L203" s="178">
        <f t="shared" si="28"/>
        <v>1</v>
      </c>
      <c r="M203" s="178">
        <f>IF(E203="",0,IF(AND(OR(OR(Dashboard!$E$5="All",Dashboard!$E$5=""),AG203=Dashboard!$E$5),OR(OR(Dashboard!$H$5="All",Dashboard!$H$5=""),F203=Dashboard!$H$5),OR(OR(Dashboard!$B$5="All",Dashboard!$B$5=""),C203=Dashboard!$B$5),OR(OR(Dashboard!$K$5="All",Dashboard!$K$5=""),A203=Dashboard!$K$5),OR(OR(Dashboard!$N$5="All",Dashboard!$N$5=""),B203=Dashboard!$N$5),OR(OR(Dashboard!$Q$5="All",Dashboard!$Q$5=""),D203=Dashboard!$Q$5),OR(OR(Dashboard!$U$5="All",Dashboard!$U$5=""),E203=Dashboard!$U$5)),1,0))</f>
        <v>1</v>
      </c>
      <c r="N203" s="178">
        <f>IF(E203="",0,IF(AND(OR(OR(Dashboard!$E$5="All",Dashboard!$E$5=""),AG203=Dashboard!$E$5),OR(OR(Dashboard!$B$5="All",Dashboard!$B$5=""),C203=Dashboard!$B$5),OR(OR(Dashboard!$K$5="All",Dashboard!$K$5=""),A203=Dashboard!$K$5),OR(OR(Dashboard!$N$5="All",Dashboard!$N$5=""),B203=Dashboard!$N$5),OR(OR(Dashboard!$Q$5="All",Dashboard!$Q$5=""),D203=Dashboard!$Q$5),OR(OR(Dashboard!$U$5="All",Dashboard!$U$5=""),E203=Dashboard!$U$5)),1,0))</f>
        <v>1</v>
      </c>
      <c r="O203" s="165">
        <f t="shared" si="29"/>
        <v>196</v>
      </c>
      <c r="AG203" s="178" t="str">
        <f>IF(E203="","",IFERROR(IF(INDEX('Item Purchases'!$AM$4:$AM$30,MATCH(E203,'Item Purchases'!$B$4:$B$30,0))="","Uncategorised",INDEX('Item Purchases'!$AM$4:$AM$30,MATCH(E203,'Item Purchases'!$B$4:$B$30,0))),"Uncategorised"))</f>
        <v>Beverages</v>
      </c>
      <c r="AH203" s="165">
        <f>IF(AND(E203&lt;&gt;"",L203=1),COUNTIFS($E$2:E203,E203,$L$2:L203,1),0)</f>
        <v>8</v>
      </c>
      <c r="AI203" s="165">
        <f t="shared" si="30"/>
        <v>14</v>
      </c>
      <c r="AJ203" s="165">
        <f t="shared" si="31"/>
        <v>1</v>
      </c>
    </row>
    <row r="204" spans="1:36" x14ac:dyDescent="0.25">
      <c r="A204" s="177">
        <f t="shared" si="25"/>
        <v>46275</v>
      </c>
      <c r="B204" s="178" t="str">
        <f t="shared" si="26"/>
        <v>Thu</v>
      </c>
      <c r="C204" s="178" t="str">
        <f>'Pantry Inventory'!$A$34</f>
        <v>Sep Week 2</v>
      </c>
      <c r="D204" s="178" t="str">
        <f>IF('Pantry Inventory'!A50="","",'Pantry Inventory'!A50)</f>
        <v>Nestle</v>
      </c>
      <c r="E204" s="178" t="str">
        <f>IF('Pantry Inventory'!B50="","",'Pantry Inventory'!B50)</f>
        <v>Nescafe Latte 240ml</v>
      </c>
      <c r="F204" s="178" t="str">
        <f>IF(E204="","",IFERROR(IF(INDEX('Item Purchases'!$S$4:$S$30,MATCH(E204,'Item Purchases'!$B$4:$B$30,0))="","Uncategorised",INDEX('Item Purchases'!$S$4:$S$30,MATCH(E204,'Item Purchases'!$B$4:$B$30,0))),"Uncategorised"))</f>
        <v>Coffee</v>
      </c>
      <c r="G204" s="178">
        <f>IF(E204="",0,'Pantry Inventory'!J50)</f>
        <v>0</v>
      </c>
      <c r="H204" s="178">
        <f>IF(E204="","",IF('Pantry Inventory'!K50="","",'Pantry Inventory'!K50))</f>
        <v>35</v>
      </c>
      <c r="I204" s="178">
        <f>IF(H204="","",'Pantry Inventory'!L50)</f>
        <v>4</v>
      </c>
      <c r="J204" s="179">
        <f>IF(E204="",0,IFERROR(INDEX('Item Purchases'!$Q$4:$Q$30,MATCH(E204,'Item Purchases'!$B$4:$B$30,0)),0))</f>
        <v>2.1875</v>
      </c>
      <c r="K204" s="180">
        <f t="shared" si="27"/>
        <v>8.75</v>
      </c>
      <c r="L204" s="178">
        <f t="shared" si="28"/>
        <v>1</v>
      </c>
      <c r="M204" s="178">
        <f>IF(E204="",0,IF(AND(OR(OR(Dashboard!$E$5="All",Dashboard!$E$5=""),AG204=Dashboard!$E$5),OR(OR(Dashboard!$H$5="All",Dashboard!$H$5=""),F204=Dashboard!$H$5),OR(OR(Dashboard!$B$5="All",Dashboard!$B$5=""),C204=Dashboard!$B$5),OR(OR(Dashboard!$K$5="All",Dashboard!$K$5=""),A204=Dashboard!$K$5),OR(OR(Dashboard!$N$5="All",Dashboard!$N$5=""),B204=Dashboard!$N$5),OR(OR(Dashboard!$Q$5="All",Dashboard!$Q$5=""),D204=Dashboard!$Q$5),OR(OR(Dashboard!$U$5="All",Dashboard!$U$5=""),E204=Dashboard!$U$5)),1,0))</f>
        <v>1</v>
      </c>
      <c r="N204" s="178">
        <f>IF(E204="",0,IF(AND(OR(OR(Dashboard!$E$5="All",Dashboard!$E$5=""),AG204=Dashboard!$E$5),OR(OR(Dashboard!$B$5="All",Dashboard!$B$5=""),C204=Dashboard!$B$5),OR(OR(Dashboard!$K$5="All",Dashboard!$K$5=""),A204=Dashboard!$K$5),OR(OR(Dashboard!$N$5="All",Dashboard!$N$5=""),B204=Dashboard!$N$5),OR(OR(Dashboard!$Q$5="All",Dashboard!$Q$5=""),D204=Dashboard!$Q$5),OR(OR(Dashboard!$U$5="All",Dashboard!$U$5=""),E204=Dashboard!$U$5)),1,0))</f>
        <v>1</v>
      </c>
      <c r="O204" s="165">
        <f t="shared" si="29"/>
        <v>16</v>
      </c>
      <c r="AG204" s="178" t="str">
        <f>IF(E204="","",IFERROR(IF(INDEX('Item Purchases'!$AM$4:$AM$30,MATCH(E204,'Item Purchases'!$B$4:$B$30,0))="","Uncategorised",INDEX('Item Purchases'!$AM$4:$AM$30,MATCH(E204,'Item Purchases'!$B$4:$B$30,0))),"Uncategorised"))</f>
        <v>Beverages</v>
      </c>
      <c r="AH204" s="165">
        <f>IF(AND(E204&lt;&gt;"",L204=1),COUNTIFS($E$2:E204,E204,$L$2:L204,1),0)</f>
        <v>8</v>
      </c>
      <c r="AI204" s="165">
        <f t="shared" si="30"/>
        <v>4</v>
      </c>
      <c r="AJ204" s="165">
        <f t="shared" si="31"/>
        <v>1</v>
      </c>
    </row>
    <row r="205" spans="1:36" x14ac:dyDescent="0.25">
      <c r="A205" s="177">
        <f t="shared" si="25"/>
        <v>46275</v>
      </c>
      <c r="B205" s="178" t="str">
        <f t="shared" si="26"/>
        <v>Thu</v>
      </c>
      <c r="C205" s="178" t="str">
        <f>'Pantry Inventory'!$A$34</f>
        <v>Sep Week 2</v>
      </c>
      <c r="D205" s="178" t="str">
        <f>IF('Pantry Inventory'!A51="","",'Pantry Inventory'!A51)</f>
        <v>Nestle</v>
      </c>
      <c r="E205" s="178" t="str">
        <f>IF('Pantry Inventory'!B51="","",'Pantry Inventory'!B51)</f>
        <v>Nescafe original 240ml</v>
      </c>
      <c r="F205" s="178" t="str">
        <f>IF(E205="","",IFERROR(IF(INDEX('Item Purchases'!$S$4:$S$30,MATCH(E205,'Item Purchases'!$B$4:$B$30,0))="","Uncategorised",INDEX('Item Purchases'!$S$4:$S$30,MATCH(E205,'Item Purchases'!$B$4:$B$30,0))),"Uncategorised"))</f>
        <v>Coffee</v>
      </c>
      <c r="G205" s="178">
        <f>IF(E205="",0,'Pantry Inventory'!J51)</f>
        <v>0</v>
      </c>
      <c r="H205" s="178">
        <f>IF(E205="","",IF('Pantry Inventory'!K51="","",'Pantry Inventory'!K51))</f>
        <v>31</v>
      </c>
      <c r="I205" s="178">
        <f>IF(H205="","",'Pantry Inventory'!L51)</f>
        <v>2</v>
      </c>
      <c r="J205" s="179">
        <f>IF(E205="",0,IFERROR(INDEX('Item Purchases'!$Q$4:$Q$30,MATCH(E205,'Item Purchases'!$B$4:$B$30,0)),0))</f>
        <v>2.1875</v>
      </c>
      <c r="K205" s="180">
        <f t="shared" si="27"/>
        <v>4.375</v>
      </c>
      <c r="L205" s="178">
        <f t="shared" si="28"/>
        <v>1</v>
      </c>
      <c r="M205" s="178">
        <f>IF(E205="",0,IF(AND(OR(OR(Dashboard!$E$5="All",Dashboard!$E$5=""),AG205=Dashboard!$E$5),OR(OR(Dashboard!$H$5="All",Dashboard!$H$5=""),F205=Dashboard!$H$5),OR(OR(Dashboard!$B$5="All",Dashboard!$B$5=""),C205=Dashboard!$B$5),OR(OR(Dashboard!$K$5="All",Dashboard!$K$5=""),A205=Dashboard!$K$5),OR(OR(Dashboard!$N$5="All",Dashboard!$N$5=""),B205=Dashboard!$N$5),OR(OR(Dashboard!$Q$5="All",Dashboard!$Q$5=""),D205=Dashboard!$Q$5),OR(OR(Dashboard!$U$5="All",Dashboard!$U$5=""),E205=Dashboard!$U$5)),1,0))</f>
        <v>1</v>
      </c>
      <c r="N205" s="178">
        <f>IF(E205="",0,IF(AND(OR(OR(Dashboard!$E$5="All",Dashboard!$E$5=""),AG205=Dashboard!$E$5),OR(OR(Dashboard!$B$5="All",Dashboard!$B$5=""),C205=Dashboard!$B$5),OR(OR(Dashboard!$K$5="All",Dashboard!$K$5=""),A205=Dashboard!$K$5),OR(OR(Dashboard!$N$5="All",Dashboard!$N$5=""),B205=Dashboard!$N$5),OR(OR(Dashboard!$Q$5="All",Dashboard!$Q$5=""),D205=Dashboard!$Q$5),OR(OR(Dashboard!$U$5="All",Dashboard!$U$5=""),E205=Dashboard!$U$5)),1,0))</f>
        <v>1</v>
      </c>
      <c r="O205" s="165">
        <f t="shared" si="29"/>
        <v>4</v>
      </c>
      <c r="AG205" s="178" t="str">
        <f>IF(E205="","",IFERROR(IF(INDEX('Item Purchases'!$AM$4:$AM$30,MATCH(E205,'Item Purchases'!$B$4:$B$30,0))="","Uncategorised",INDEX('Item Purchases'!$AM$4:$AM$30,MATCH(E205,'Item Purchases'!$B$4:$B$30,0))),"Uncategorised"))</f>
        <v>Beverages</v>
      </c>
      <c r="AH205" s="165">
        <f>IF(AND(E205&lt;&gt;"",L205=1),COUNTIFS($E$2:E205,E205,$L$2:L205,1),0)</f>
        <v>8</v>
      </c>
      <c r="AI205" s="165">
        <f t="shared" si="30"/>
        <v>2</v>
      </c>
      <c r="AJ205" s="165">
        <f t="shared" si="31"/>
        <v>1</v>
      </c>
    </row>
    <row r="206" spans="1:36" x14ac:dyDescent="0.25">
      <c r="A206" s="177">
        <f t="shared" si="25"/>
        <v>46275</v>
      </c>
      <c r="B206" s="178" t="str">
        <f t="shared" si="26"/>
        <v>Thu</v>
      </c>
      <c r="C206" s="178" t="str">
        <f>'Pantry Inventory'!$A$34</f>
        <v>Sep Week 2</v>
      </c>
      <c r="D206" s="178" t="str">
        <f>IF('Pantry Inventory'!A52="","",'Pantry Inventory'!A52)</f>
        <v>COWA</v>
      </c>
      <c r="E206" s="178" t="str">
        <f>IF('Pantry Inventory'!B52="","",'Pantry Inventory'!B52)</f>
        <v>COWA Coconut Water 330 ml</v>
      </c>
      <c r="F206" s="178" t="str">
        <f>IF(E206="","",IFERROR(IF(INDEX('Item Purchases'!$S$4:$S$30,MATCH(E206,'Item Purchases'!$B$4:$B$30,0))="","Uncategorised",INDEX('Item Purchases'!$S$4:$S$30,MATCH(E206,'Item Purchases'!$B$4:$B$30,0))),"Uncategorised"))</f>
        <v>Other</v>
      </c>
      <c r="G206" s="178">
        <f>IF(E206="",0,'Pantry Inventory'!J52)</f>
        <v>0</v>
      </c>
      <c r="H206" s="178">
        <f>IF(E206="","",IF('Pantry Inventory'!K52="","",'Pantry Inventory'!K52))</f>
        <v>68</v>
      </c>
      <c r="I206" s="178">
        <f>IF(H206="","",'Pantry Inventory'!L52)</f>
        <v>25</v>
      </c>
      <c r="J206" s="179">
        <f>IF(E206="",0,IFERROR(INDEX('Item Purchases'!$Q$4:$Q$30,MATCH(E206,'Item Purchases'!$B$4:$B$30,0)),0))</f>
        <v>3</v>
      </c>
      <c r="K206" s="180">
        <f t="shared" si="27"/>
        <v>75</v>
      </c>
      <c r="L206" s="178">
        <f t="shared" si="28"/>
        <v>1</v>
      </c>
      <c r="M206" s="178">
        <f>IF(E206="",0,IF(AND(OR(OR(Dashboard!$E$5="All",Dashboard!$E$5=""),AG206=Dashboard!$E$5),OR(OR(Dashboard!$H$5="All",Dashboard!$H$5=""),F206=Dashboard!$H$5),OR(OR(Dashboard!$B$5="All",Dashboard!$B$5=""),C206=Dashboard!$B$5),OR(OR(Dashboard!$K$5="All",Dashboard!$K$5=""),A206=Dashboard!$K$5),OR(OR(Dashboard!$N$5="All",Dashboard!$N$5=""),B206=Dashboard!$N$5),OR(OR(Dashboard!$Q$5="All",Dashboard!$Q$5=""),D206=Dashboard!$Q$5),OR(OR(Dashboard!$U$5="All",Dashboard!$U$5=""),E206=Dashboard!$U$5)),1,0))</f>
        <v>1</v>
      </c>
      <c r="N206" s="178">
        <f>IF(E206="",0,IF(AND(OR(OR(Dashboard!$E$5="All",Dashboard!$E$5=""),AG206=Dashboard!$E$5),OR(OR(Dashboard!$B$5="All",Dashboard!$B$5=""),C206=Dashboard!$B$5),OR(OR(Dashboard!$K$5="All",Dashboard!$K$5=""),A206=Dashboard!$K$5),OR(OR(Dashboard!$N$5="All",Dashboard!$N$5=""),B206=Dashboard!$N$5),OR(OR(Dashboard!$Q$5="All",Dashboard!$Q$5=""),D206=Dashboard!$Q$5),OR(OR(Dashboard!$U$5="All",Dashboard!$U$5=""),E206=Dashboard!$U$5)),1,0))</f>
        <v>1</v>
      </c>
      <c r="O206" s="165">
        <f t="shared" si="29"/>
        <v>625</v>
      </c>
      <c r="AG206" s="178" t="str">
        <f>IF(E206="","",IFERROR(IF(INDEX('Item Purchases'!$AM$4:$AM$30,MATCH(E206,'Item Purchases'!$B$4:$B$30,0))="","Uncategorised",INDEX('Item Purchases'!$AM$4:$AM$30,MATCH(E206,'Item Purchases'!$B$4:$B$30,0))),"Uncategorised"))</f>
        <v>Beverages</v>
      </c>
      <c r="AH206" s="165">
        <f>IF(AND(E206&lt;&gt;"",L206=1),COUNTIFS($E$2:E206,E206,$L$2:L206,1),0)</f>
        <v>8</v>
      </c>
      <c r="AI206" s="165">
        <f t="shared" si="30"/>
        <v>25</v>
      </c>
      <c r="AJ206" s="165">
        <f t="shared" si="31"/>
        <v>1</v>
      </c>
    </row>
    <row r="207" spans="1:36" x14ac:dyDescent="0.25">
      <c r="A207" s="177">
        <f t="shared" si="25"/>
        <v>46275</v>
      </c>
      <c r="B207" s="178" t="str">
        <f t="shared" si="26"/>
        <v>Thu</v>
      </c>
      <c r="C207" s="178" t="str">
        <f>'Pantry Inventory'!$A$34</f>
        <v>Sep Week 2</v>
      </c>
      <c r="D207" s="178" t="str">
        <f>IF('Pantry Inventory'!A53="","",'Pantry Inventory'!A53)</f>
        <v>Coca Cola</v>
      </c>
      <c r="E207" s="178" t="str">
        <f>IF('Pantry Inventory'!B53="","",'Pantry Inventory'!B53)</f>
        <v>COKE ZERO  325ML</v>
      </c>
      <c r="F207" s="178" t="str">
        <f>IF(E207="","",IFERROR(IF(INDEX('Item Purchases'!$S$4:$S$30,MATCH(E207,'Item Purchases'!$B$4:$B$30,0))="","Uncategorised",INDEX('Item Purchases'!$S$4:$S$30,MATCH(E207,'Item Purchases'!$B$4:$B$30,0))),"Uncategorised"))</f>
        <v>Other</v>
      </c>
      <c r="G207" s="178">
        <f>IF(E207="",0,'Pantry Inventory'!J53)</f>
        <v>0</v>
      </c>
      <c r="H207" s="178">
        <f>IF(E207="","",IF('Pantry Inventory'!K53="","",'Pantry Inventory'!K53))</f>
        <v>29</v>
      </c>
      <c r="I207" s="178">
        <f>IF(H207="","",'Pantry Inventory'!L53)</f>
        <v>10</v>
      </c>
      <c r="J207" s="179">
        <f>IF(E207="",0,IFERROR(INDEX('Item Purchases'!$Q$4:$Q$30,MATCH(E207,'Item Purchases'!$B$4:$B$30,0)),0))</f>
        <v>1.83</v>
      </c>
      <c r="K207" s="180">
        <f t="shared" si="27"/>
        <v>18.3</v>
      </c>
      <c r="L207" s="178">
        <f t="shared" si="28"/>
        <v>1</v>
      </c>
      <c r="M207" s="178">
        <f>IF(E207="",0,IF(AND(OR(OR(Dashboard!$E$5="All",Dashboard!$E$5=""),AG207=Dashboard!$E$5),OR(OR(Dashboard!$H$5="All",Dashboard!$H$5=""),F207=Dashboard!$H$5),OR(OR(Dashboard!$B$5="All",Dashboard!$B$5=""),C207=Dashboard!$B$5),OR(OR(Dashboard!$K$5="All",Dashboard!$K$5=""),A207=Dashboard!$K$5),OR(OR(Dashboard!$N$5="All",Dashboard!$N$5=""),B207=Dashboard!$N$5),OR(OR(Dashboard!$Q$5="All",Dashboard!$Q$5=""),D207=Dashboard!$Q$5),OR(OR(Dashboard!$U$5="All",Dashboard!$U$5=""),E207=Dashboard!$U$5)),1,0))</f>
        <v>1</v>
      </c>
      <c r="N207" s="178">
        <f>IF(E207="",0,IF(AND(OR(OR(Dashboard!$E$5="All",Dashboard!$E$5=""),AG207=Dashboard!$E$5),OR(OR(Dashboard!$B$5="All",Dashboard!$B$5=""),C207=Dashboard!$B$5),OR(OR(Dashboard!$K$5="All",Dashboard!$K$5=""),A207=Dashboard!$K$5),OR(OR(Dashboard!$N$5="All",Dashboard!$N$5=""),B207=Dashboard!$N$5),OR(OR(Dashboard!$Q$5="All",Dashboard!$Q$5=""),D207=Dashboard!$Q$5),OR(OR(Dashboard!$U$5="All",Dashboard!$U$5=""),E207=Dashboard!$U$5)),1,0))</f>
        <v>1</v>
      </c>
      <c r="O207" s="165">
        <f t="shared" si="29"/>
        <v>100</v>
      </c>
      <c r="AG207" s="178" t="str">
        <f>IF(E207="","",IFERROR(IF(INDEX('Item Purchases'!$AM$4:$AM$30,MATCH(E207,'Item Purchases'!$B$4:$B$30,0))="","Uncategorised",INDEX('Item Purchases'!$AM$4:$AM$30,MATCH(E207,'Item Purchases'!$B$4:$B$30,0))),"Uncategorised"))</f>
        <v>Beverages</v>
      </c>
      <c r="AH207" s="165">
        <f>IF(AND(E207&lt;&gt;"",L207=1),COUNTIFS($E$2:E207,E207,$L$2:L207,1),0)</f>
        <v>8</v>
      </c>
      <c r="AI207" s="165">
        <f t="shared" si="30"/>
        <v>10</v>
      </c>
      <c r="AJ207" s="165">
        <f t="shared" si="31"/>
        <v>1</v>
      </c>
    </row>
    <row r="208" spans="1:36" x14ac:dyDescent="0.25">
      <c r="A208" s="177">
        <f t="shared" si="25"/>
        <v>46275</v>
      </c>
      <c r="B208" s="178" t="str">
        <f t="shared" si="26"/>
        <v>Thu</v>
      </c>
      <c r="C208" s="178" t="str">
        <f>'Pantry Inventory'!$A$34</f>
        <v>Sep Week 2</v>
      </c>
      <c r="D208" s="178" t="str">
        <f>IF('Pantry Inventory'!A54="","",'Pantry Inventory'!A54)</f>
        <v>Coca Cola</v>
      </c>
      <c r="E208" s="178" t="str">
        <f>IF('Pantry Inventory'!B54="","",'Pantry Inventory'!B54)</f>
        <v>Ayataka Tea 300ml</v>
      </c>
      <c r="F208" s="178" t="str">
        <f>IF(E208="","",IFERROR(IF(INDEX('Item Purchases'!$S$4:$S$30,MATCH(E208,'Item Purchases'!$B$4:$B$30,0))="","Uncategorised",INDEX('Item Purchases'!$S$4:$S$30,MATCH(E208,'Item Purchases'!$B$4:$B$30,0))),"Uncategorised"))</f>
        <v>Tea</v>
      </c>
      <c r="G208" s="178">
        <f>IF(E208="",0,'Pantry Inventory'!J54)</f>
        <v>36</v>
      </c>
      <c r="H208" s="178">
        <f>IF(E208="","",IF('Pantry Inventory'!K54="","",'Pantry Inventory'!K54))</f>
        <v>36</v>
      </c>
      <c r="I208" s="178">
        <f>IF(H208="","",'Pantry Inventory'!L54)</f>
        <v>24</v>
      </c>
      <c r="J208" s="179">
        <f>IF(E208="",0,IFERROR(INDEX('Item Purchases'!$Q$4:$Q$30,MATCH(E208,'Item Purchases'!$B$4:$B$30,0)),0))</f>
        <v>1.75</v>
      </c>
      <c r="K208" s="180">
        <f t="shared" si="27"/>
        <v>42</v>
      </c>
      <c r="L208" s="178">
        <f t="shared" si="28"/>
        <v>1</v>
      </c>
      <c r="M208" s="178">
        <f>IF(E208="",0,IF(AND(OR(OR(Dashboard!$E$5="All",Dashboard!$E$5=""),AG208=Dashboard!$E$5),OR(OR(Dashboard!$H$5="All",Dashboard!$H$5=""),F208=Dashboard!$H$5),OR(OR(Dashboard!$B$5="All",Dashboard!$B$5=""),C208=Dashboard!$B$5),OR(OR(Dashboard!$K$5="All",Dashboard!$K$5=""),A208=Dashboard!$K$5),OR(OR(Dashboard!$N$5="All",Dashboard!$N$5=""),B208=Dashboard!$N$5),OR(OR(Dashboard!$Q$5="All",Dashboard!$Q$5=""),D208=Dashboard!$Q$5),OR(OR(Dashboard!$U$5="All",Dashboard!$U$5=""),E208=Dashboard!$U$5)),1,0))</f>
        <v>1</v>
      </c>
      <c r="N208" s="178">
        <f>IF(E208="",0,IF(AND(OR(OR(Dashboard!$E$5="All",Dashboard!$E$5=""),AG208=Dashboard!$E$5),OR(OR(Dashboard!$B$5="All",Dashboard!$B$5=""),C208=Dashboard!$B$5),OR(OR(Dashboard!$K$5="All",Dashboard!$K$5=""),A208=Dashboard!$K$5),OR(OR(Dashboard!$N$5="All",Dashboard!$N$5=""),B208=Dashboard!$N$5),OR(OR(Dashboard!$Q$5="All",Dashboard!$Q$5=""),D208=Dashboard!$Q$5),OR(OR(Dashboard!$U$5="All",Dashboard!$U$5=""),E208=Dashboard!$U$5)),1,0))</f>
        <v>1</v>
      </c>
      <c r="O208" s="165">
        <f t="shared" si="29"/>
        <v>576</v>
      </c>
      <c r="AG208" s="178" t="str">
        <f>IF(E208="","",IFERROR(IF(INDEX('Item Purchases'!$AM$4:$AM$30,MATCH(E208,'Item Purchases'!$B$4:$B$30,0))="","Uncategorised",INDEX('Item Purchases'!$AM$4:$AM$30,MATCH(E208,'Item Purchases'!$B$4:$B$30,0))),"Uncategorised"))</f>
        <v>Beverages</v>
      </c>
      <c r="AH208" s="165">
        <f>IF(AND(E208&lt;&gt;"",L208=1),COUNTIFS($E$2:E208,E208,$L$2:L208,1),0)</f>
        <v>8</v>
      </c>
      <c r="AI208" s="165">
        <f t="shared" si="30"/>
        <v>24</v>
      </c>
      <c r="AJ208" s="165">
        <f t="shared" si="31"/>
        <v>1</v>
      </c>
    </row>
    <row r="209" spans="1:36" x14ac:dyDescent="0.25">
      <c r="A209" s="177">
        <f t="shared" si="25"/>
        <v>46275</v>
      </c>
      <c r="B209" s="178" t="str">
        <f t="shared" si="26"/>
        <v>Thu</v>
      </c>
      <c r="C209" s="178" t="str">
        <f>'Pantry Inventory'!$A$34</f>
        <v>Sep Week 2</v>
      </c>
      <c r="D209" s="178" t="str">
        <f>IF('Pantry Inventory'!A55="","",'Pantry Inventory'!A55)</f>
        <v>Coca Cola</v>
      </c>
      <c r="E209" s="178" t="str">
        <f>IF('Pantry Inventory'!B55="","",'Pantry Inventory'!B55)</f>
        <v>Oolong Tea 300ml</v>
      </c>
      <c r="F209" s="178" t="str">
        <f>IF(E209="","",IFERROR(IF(INDEX('Item Purchases'!$S$4:$S$30,MATCH(E209,'Item Purchases'!$B$4:$B$30,0))="","Uncategorised",INDEX('Item Purchases'!$S$4:$S$30,MATCH(E209,'Item Purchases'!$B$4:$B$30,0))),"Uncategorised"))</f>
        <v>Tea</v>
      </c>
      <c r="G209" s="178">
        <f>IF(E209="",0,'Pantry Inventory'!J55)</f>
        <v>36</v>
      </c>
      <c r="H209" s="178">
        <f>IF(E209="","",IF('Pantry Inventory'!K55="","",'Pantry Inventory'!K55))</f>
        <v>36</v>
      </c>
      <c r="I209" s="178">
        <f>IF(H209="","",'Pantry Inventory'!L55)</f>
        <v>24</v>
      </c>
      <c r="J209" s="179">
        <f>IF(E209="",0,IFERROR(INDEX('Item Purchases'!$Q$4:$Q$30,MATCH(E209,'Item Purchases'!$B$4:$B$30,0)),0))</f>
        <v>1.75</v>
      </c>
      <c r="K209" s="180">
        <f t="shared" si="27"/>
        <v>42</v>
      </c>
      <c r="L209" s="178">
        <f t="shared" si="28"/>
        <v>1</v>
      </c>
      <c r="M209" s="178">
        <f>IF(E209="",0,IF(AND(OR(OR(Dashboard!$E$5="All",Dashboard!$E$5=""),AG209=Dashboard!$E$5),OR(OR(Dashboard!$H$5="All",Dashboard!$H$5=""),F209=Dashboard!$H$5),OR(OR(Dashboard!$B$5="All",Dashboard!$B$5=""),C209=Dashboard!$B$5),OR(OR(Dashboard!$K$5="All",Dashboard!$K$5=""),A209=Dashboard!$K$5),OR(OR(Dashboard!$N$5="All",Dashboard!$N$5=""),B209=Dashboard!$N$5),OR(OR(Dashboard!$Q$5="All",Dashboard!$Q$5=""),D209=Dashboard!$Q$5),OR(OR(Dashboard!$U$5="All",Dashboard!$U$5=""),E209=Dashboard!$U$5)),1,0))</f>
        <v>1</v>
      </c>
      <c r="N209" s="178">
        <f>IF(E209="",0,IF(AND(OR(OR(Dashboard!$E$5="All",Dashboard!$E$5=""),AG209=Dashboard!$E$5),OR(OR(Dashboard!$B$5="All",Dashboard!$B$5=""),C209=Dashboard!$B$5),OR(OR(Dashboard!$K$5="All",Dashboard!$K$5=""),A209=Dashboard!$K$5),OR(OR(Dashboard!$N$5="All",Dashboard!$N$5=""),B209=Dashboard!$N$5),OR(OR(Dashboard!$Q$5="All",Dashboard!$Q$5=""),D209=Dashboard!$Q$5),OR(OR(Dashboard!$U$5="All",Dashboard!$U$5=""),E209=Dashboard!$U$5)),1,0))</f>
        <v>1</v>
      </c>
      <c r="O209" s="165">
        <f t="shared" si="29"/>
        <v>576</v>
      </c>
      <c r="AG209" s="178" t="str">
        <f>IF(E209="","",IFERROR(IF(INDEX('Item Purchases'!$AM$4:$AM$30,MATCH(E209,'Item Purchases'!$B$4:$B$30,0))="","Uncategorised",INDEX('Item Purchases'!$AM$4:$AM$30,MATCH(E209,'Item Purchases'!$B$4:$B$30,0))),"Uncategorised"))</f>
        <v>Beverages</v>
      </c>
      <c r="AH209" s="165">
        <f>IF(AND(E209&lt;&gt;"",L209=1),COUNTIFS($E$2:E209,E209,$L$2:L209,1),0)</f>
        <v>8</v>
      </c>
      <c r="AI209" s="165">
        <f t="shared" si="30"/>
        <v>24</v>
      </c>
      <c r="AJ209" s="165">
        <f t="shared" si="31"/>
        <v>1</v>
      </c>
    </row>
    <row r="210" spans="1:36" x14ac:dyDescent="0.25">
      <c r="A210" s="177">
        <f t="shared" si="25"/>
        <v>46275</v>
      </c>
      <c r="B210" s="178" t="str">
        <f t="shared" si="26"/>
        <v>Thu</v>
      </c>
      <c r="C210" s="178" t="str">
        <f>'Pantry Inventory'!$A$34</f>
        <v>Sep Week 2</v>
      </c>
      <c r="D210" s="178" t="str">
        <f>IF('Pantry Inventory'!A56="","",'Pantry Inventory'!A56)</f>
        <v>Vsoy</v>
      </c>
      <c r="E210" s="178" t="str">
        <f>IF('Pantry Inventory'!B56="","",'Pantry Inventory'!B56)</f>
        <v>Vsoy Soya Bean  250ml</v>
      </c>
      <c r="F210" s="178" t="str">
        <f>IF(E210="","",IFERROR(IF(INDEX('Item Purchases'!$S$4:$S$30,MATCH(E210,'Item Purchases'!$B$4:$B$30,0))="","Uncategorised",INDEX('Item Purchases'!$S$4:$S$30,MATCH(E210,'Item Purchases'!$B$4:$B$30,0))),"Uncategorised"))</f>
        <v>Other</v>
      </c>
      <c r="G210" s="178">
        <f>IF(E210="",0,'Pantry Inventory'!J56)</f>
        <v>0</v>
      </c>
      <c r="H210" s="178">
        <f>IF(E210="","",IF('Pantry Inventory'!K56="","",'Pantry Inventory'!K56))</f>
        <v>13</v>
      </c>
      <c r="I210" s="178">
        <f>IF(H210="","",'Pantry Inventory'!L56)</f>
        <v>19</v>
      </c>
      <c r="J210" s="179">
        <f>IF(E210="",0,IFERROR(INDEX('Item Purchases'!$Q$4:$Q$30,MATCH(E210,'Item Purchases'!$B$4:$B$30,0)),0))</f>
        <v>1.25</v>
      </c>
      <c r="K210" s="180">
        <f t="shared" si="27"/>
        <v>23.75</v>
      </c>
      <c r="L210" s="178">
        <f t="shared" si="28"/>
        <v>1</v>
      </c>
      <c r="M210" s="178">
        <f>IF(E210="",0,IF(AND(OR(OR(Dashboard!$E$5="All",Dashboard!$E$5=""),AG210=Dashboard!$E$5),OR(OR(Dashboard!$H$5="All",Dashboard!$H$5=""),F210=Dashboard!$H$5),OR(OR(Dashboard!$B$5="All",Dashboard!$B$5=""),C210=Dashboard!$B$5),OR(OR(Dashboard!$K$5="All",Dashboard!$K$5=""),A210=Dashboard!$K$5),OR(OR(Dashboard!$N$5="All",Dashboard!$N$5=""),B210=Dashboard!$N$5),OR(OR(Dashboard!$Q$5="All",Dashboard!$Q$5=""),D210=Dashboard!$Q$5),OR(OR(Dashboard!$U$5="All",Dashboard!$U$5=""),E210=Dashboard!$U$5)),1,0))</f>
        <v>1</v>
      </c>
      <c r="N210" s="178">
        <f>IF(E210="",0,IF(AND(OR(OR(Dashboard!$E$5="All",Dashboard!$E$5=""),AG210=Dashboard!$E$5),OR(OR(Dashboard!$B$5="All",Dashboard!$B$5=""),C210=Dashboard!$B$5),OR(OR(Dashboard!$K$5="All",Dashboard!$K$5=""),A210=Dashboard!$K$5),OR(OR(Dashboard!$N$5="All",Dashboard!$N$5=""),B210=Dashboard!$N$5),OR(OR(Dashboard!$Q$5="All",Dashboard!$Q$5=""),D210=Dashboard!$Q$5),OR(OR(Dashboard!$U$5="All",Dashboard!$U$5=""),E210=Dashboard!$U$5)),1,0))</f>
        <v>1</v>
      </c>
      <c r="O210" s="165">
        <f t="shared" si="29"/>
        <v>361</v>
      </c>
      <c r="AG210" s="178" t="str">
        <f>IF(E210="","",IFERROR(IF(INDEX('Item Purchases'!$AM$4:$AM$30,MATCH(E210,'Item Purchases'!$B$4:$B$30,0))="","Uncategorised",INDEX('Item Purchases'!$AM$4:$AM$30,MATCH(E210,'Item Purchases'!$B$4:$B$30,0))),"Uncategorised"))</f>
        <v>Beverages</v>
      </c>
      <c r="AH210" s="165">
        <f>IF(AND(E210&lt;&gt;"",L210=1),COUNTIFS($E$2:E210,E210,$L$2:L210,1),0)</f>
        <v>8</v>
      </c>
      <c r="AI210" s="165">
        <f t="shared" si="30"/>
        <v>19</v>
      </c>
      <c r="AJ210" s="165">
        <f t="shared" si="31"/>
        <v>1</v>
      </c>
    </row>
    <row r="211" spans="1:36" x14ac:dyDescent="0.25">
      <c r="A211" s="177">
        <f t="shared" si="25"/>
        <v>46275</v>
      </c>
      <c r="B211" s="178" t="str">
        <f t="shared" si="26"/>
        <v>Thu</v>
      </c>
      <c r="C211" s="178" t="str">
        <f>'Pantry Inventory'!$A$34</f>
        <v>Sep Week 2</v>
      </c>
      <c r="D211" s="178" t="str">
        <f>IF('Pantry Inventory'!A57="","",'Pantry Inventory'!A57)</f>
        <v>BingRae</v>
      </c>
      <c r="E211" s="178" t="str">
        <f>IF('Pantry Inventory'!B57="","",'Pantry Inventory'!B57)</f>
        <v>BingRae Banana Milk 200ml</v>
      </c>
      <c r="F211" s="178" t="str">
        <f>IF(E211="","",IFERROR(IF(INDEX('Item Purchases'!$S$4:$S$30,MATCH(E211,'Item Purchases'!$B$4:$B$30,0))="","Uncategorised",INDEX('Item Purchases'!$S$4:$S$30,MATCH(E211,'Item Purchases'!$B$4:$B$30,0))),"Uncategorised"))</f>
        <v>Other</v>
      </c>
      <c r="G211" s="178">
        <f>IF(E211="",0,'Pantry Inventory'!J57)</f>
        <v>0</v>
      </c>
      <c r="H211" s="178">
        <f>IF(E211="","",IF('Pantry Inventory'!K57="","",'Pantry Inventory'!K57))</f>
        <v>60</v>
      </c>
      <c r="I211" s="178">
        <f>IF(H211="","",'Pantry Inventory'!L57)</f>
        <v>5</v>
      </c>
      <c r="J211" s="179">
        <f>IF(E211="",0,IFERROR(INDEX('Item Purchases'!$Q$4:$Q$30,MATCH(E211,'Item Purchases'!$B$4:$B$30,0)),0))</f>
        <v>3.3159999999999998</v>
      </c>
      <c r="K211" s="180">
        <f t="shared" si="27"/>
        <v>16.579999999999998</v>
      </c>
      <c r="L211" s="178">
        <f t="shared" si="28"/>
        <v>1</v>
      </c>
      <c r="M211" s="178">
        <f>IF(E211="",0,IF(AND(OR(OR(Dashboard!$E$5="All",Dashboard!$E$5=""),AG211=Dashboard!$E$5),OR(OR(Dashboard!$H$5="All",Dashboard!$H$5=""),F211=Dashboard!$H$5),OR(OR(Dashboard!$B$5="All",Dashboard!$B$5=""),C211=Dashboard!$B$5),OR(OR(Dashboard!$K$5="All",Dashboard!$K$5=""),A211=Dashboard!$K$5),OR(OR(Dashboard!$N$5="All",Dashboard!$N$5=""),B211=Dashboard!$N$5),OR(OR(Dashboard!$Q$5="All",Dashboard!$Q$5=""),D211=Dashboard!$Q$5),OR(OR(Dashboard!$U$5="All",Dashboard!$U$5=""),E211=Dashboard!$U$5)),1,0))</f>
        <v>1</v>
      </c>
      <c r="N211" s="178">
        <f>IF(E211="",0,IF(AND(OR(OR(Dashboard!$E$5="All",Dashboard!$E$5=""),AG211=Dashboard!$E$5),OR(OR(Dashboard!$B$5="All",Dashboard!$B$5=""),C211=Dashboard!$B$5),OR(OR(Dashboard!$K$5="All",Dashboard!$K$5=""),A211=Dashboard!$K$5),OR(OR(Dashboard!$N$5="All",Dashboard!$N$5=""),B211=Dashboard!$N$5),OR(OR(Dashboard!$Q$5="All",Dashboard!$Q$5=""),D211=Dashboard!$Q$5),OR(OR(Dashboard!$U$5="All",Dashboard!$U$5=""),E211=Dashboard!$U$5)),1,0))</f>
        <v>1</v>
      </c>
      <c r="O211" s="165">
        <f t="shared" si="29"/>
        <v>25</v>
      </c>
      <c r="AG211" s="178" t="str">
        <f>IF(E211="","",IFERROR(IF(INDEX('Item Purchases'!$AM$4:$AM$30,MATCH(E211,'Item Purchases'!$B$4:$B$30,0))="","Uncategorised",INDEX('Item Purchases'!$AM$4:$AM$30,MATCH(E211,'Item Purchases'!$B$4:$B$30,0))),"Uncategorised"))</f>
        <v>Beverages</v>
      </c>
      <c r="AH211" s="165">
        <f>IF(AND(E211&lt;&gt;"",L211=1),COUNTIFS($E$2:E211,E211,$L$2:L211,1),0)</f>
        <v>8</v>
      </c>
      <c r="AI211" s="165">
        <f t="shared" si="30"/>
        <v>5</v>
      </c>
      <c r="AJ211" s="165">
        <f t="shared" si="31"/>
        <v>1</v>
      </c>
    </row>
    <row r="212" spans="1:36" x14ac:dyDescent="0.25">
      <c r="A212" s="177">
        <f t="shared" si="25"/>
        <v>46275</v>
      </c>
      <c r="B212" s="178" t="str">
        <f t="shared" si="26"/>
        <v>Thu</v>
      </c>
      <c r="C212" s="178" t="str">
        <f>'Pantry Inventory'!$A$34</f>
        <v>Sep Week 2</v>
      </c>
      <c r="D212" s="178" t="str">
        <f>IF('Pantry Inventory'!A58="","",'Pantry Inventory'!A58)</f>
        <v>Fuze Tea</v>
      </c>
      <c r="E212" s="178" t="str">
        <f>IF('Pantry Inventory'!B58="","",'Pantry Inventory'!B58)</f>
        <v>Fuze Tea by Heaven and Earth Jasmine Tea</v>
      </c>
      <c r="F212" s="178" t="str">
        <f>IF(E212="","",IFERROR(IF(INDEX('Item Purchases'!$S$4:$S$30,MATCH(E212,'Item Purchases'!$B$4:$B$30,0))="","Uncategorised",INDEX('Item Purchases'!$S$4:$S$30,MATCH(E212,'Item Purchases'!$B$4:$B$30,0))),"Uncategorised"))</f>
        <v>Tea</v>
      </c>
      <c r="G212" s="178">
        <f>IF(E212="",0,'Pantry Inventory'!J58)</f>
        <v>0</v>
      </c>
      <c r="H212" s="178">
        <f>IF(E212="","",IF('Pantry Inventory'!K58="","",'Pantry Inventory'!K58))</f>
        <v>0</v>
      </c>
      <c r="I212" s="178">
        <f>IF(H212="","",'Pantry Inventory'!L58)</f>
        <v>0</v>
      </c>
      <c r="J212" s="179">
        <f>IF(E212="",0,IFERROR(INDEX('Item Purchases'!$Q$4:$Q$30,MATCH(E212,'Item Purchases'!$B$4:$B$30,0)),0))</f>
        <v>1.167</v>
      </c>
      <c r="K212" s="180">
        <f t="shared" si="27"/>
        <v>0</v>
      </c>
      <c r="L212" s="178">
        <f t="shared" si="28"/>
        <v>1</v>
      </c>
      <c r="M212" s="178">
        <f>IF(E212="",0,IF(AND(OR(OR(Dashboard!$E$5="All",Dashboard!$E$5=""),AG212=Dashboard!$E$5),OR(OR(Dashboard!$H$5="All",Dashboard!$H$5=""),F212=Dashboard!$H$5),OR(OR(Dashboard!$B$5="All",Dashboard!$B$5=""),C212=Dashboard!$B$5),OR(OR(Dashboard!$K$5="All",Dashboard!$K$5=""),A212=Dashboard!$K$5),OR(OR(Dashboard!$N$5="All",Dashboard!$N$5=""),B212=Dashboard!$N$5),OR(OR(Dashboard!$Q$5="All",Dashboard!$Q$5=""),D212=Dashboard!$Q$5),OR(OR(Dashboard!$U$5="All",Dashboard!$U$5=""),E212=Dashboard!$U$5)),1,0))</f>
        <v>1</v>
      </c>
      <c r="N212" s="178">
        <f>IF(E212="",0,IF(AND(OR(OR(Dashboard!$E$5="All",Dashboard!$E$5=""),AG212=Dashboard!$E$5),OR(OR(Dashboard!$B$5="All",Dashboard!$B$5=""),C212=Dashboard!$B$5),OR(OR(Dashboard!$K$5="All",Dashboard!$K$5=""),A212=Dashboard!$K$5),OR(OR(Dashboard!$N$5="All",Dashboard!$N$5=""),B212=Dashboard!$N$5),OR(OR(Dashboard!$Q$5="All",Dashboard!$Q$5=""),D212=Dashboard!$Q$5),OR(OR(Dashboard!$U$5="All",Dashboard!$U$5=""),E212=Dashboard!$U$5)),1,0))</f>
        <v>1</v>
      </c>
      <c r="O212" s="165">
        <f t="shared" si="29"/>
        <v>0</v>
      </c>
      <c r="AG212" s="178" t="str">
        <f>IF(E212="","",IFERROR(IF(INDEX('Item Purchases'!$AM$4:$AM$30,MATCH(E212,'Item Purchases'!$B$4:$B$30,0))="","Uncategorised",INDEX('Item Purchases'!$AM$4:$AM$30,MATCH(E212,'Item Purchases'!$B$4:$B$30,0))),"Uncategorised"))</f>
        <v>Beverages</v>
      </c>
      <c r="AH212" s="165">
        <f>IF(AND(E212&lt;&gt;"",L212=1),COUNTIFS($E$2:E212,E212,$L$2:L212,1),0)</f>
        <v>8</v>
      </c>
      <c r="AI212" s="165">
        <f t="shared" si="30"/>
        <v>0</v>
      </c>
      <c r="AJ212" s="165">
        <f t="shared" si="31"/>
        <v>0</v>
      </c>
    </row>
    <row r="213" spans="1:36" x14ac:dyDescent="0.25">
      <c r="A213" s="177">
        <f t="shared" si="25"/>
        <v>46275</v>
      </c>
      <c r="B213" s="178" t="str">
        <f t="shared" si="26"/>
        <v>Thu</v>
      </c>
      <c r="C213" s="178" t="str">
        <f>'Pantry Inventory'!$A$34</f>
        <v>Sep Week 2</v>
      </c>
      <c r="D213" s="178" t="str">
        <f>IF('Pantry Inventory'!A59="","",'Pantry Inventory'!A59)</f>
        <v>F&amp;N</v>
      </c>
      <c r="E213" s="178" t="str">
        <f>IF('Pantry Inventory'!B59="","",'Pantry Inventory'!B59)</f>
        <v>FN 100 plus (original) 325ml</v>
      </c>
      <c r="F213" s="178" t="str">
        <f>IF(E213="","",IFERROR(IF(INDEX('Item Purchases'!$S$4:$S$30,MATCH(E213,'Item Purchases'!$B$4:$B$30,0))="","Uncategorised",INDEX('Item Purchases'!$S$4:$S$30,MATCH(E213,'Item Purchases'!$B$4:$B$30,0))),"Uncategorised"))</f>
        <v>Other</v>
      </c>
      <c r="G213" s="178">
        <f>IF(E213="",0,'Pantry Inventory'!J59)</f>
        <v>0</v>
      </c>
      <c r="H213" s="178">
        <f>IF(E213="","",IF('Pantry Inventory'!K59="","",'Pantry Inventory'!K59))</f>
        <v>33</v>
      </c>
      <c r="I213" s="178">
        <f>IF(H213="","",'Pantry Inventory'!L59)</f>
        <v>11</v>
      </c>
      <c r="J213" s="179">
        <f>IF(E213="",0,IFERROR(INDEX('Item Purchases'!$Q$4:$Q$30,MATCH(E213,'Item Purchases'!$B$4:$B$30,0)),0))</f>
        <v>1.58</v>
      </c>
      <c r="K213" s="180">
        <f t="shared" si="27"/>
        <v>17.380000000000003</v>
      </c>
      <c r="L213" s="178">
        <f t="shared" si="28"/>
        <v>1</v>
      </c>
      <c r="M213" s="178">
        <f>IF(E213="",0,IF(AND(OR(OR(Dashboard!$E$5="All",Dashboard!$E$5=""),AG213=Dashboard!$E$5),OR(OR(Dashboard!$H$5="All",Dashboard!$H$5=""),F213=Dashboard!$H$5),OR(OR(Dashboard!$B$5="All",Dashboard!$B$5=""),C213=Dashboard!$B$5),OR(OR(Dashboard!$K$5="All",Dashboard!$K$5=""),A213=Dashboard!$K$5),OR(OR(Dashboard!$N$5="All",Dashboard!$N$5=""),B213=Dashboard!$N$5),OR(OR(Dashboard!$Q$5="All",Dashboard!$Q$5=""),D213=Dashboard!$Q$5),OR(OR(Dashboard!$U$5="All",Dashboard!$U$5=""),E213=Dashboard!$U$5)),1,0))</f>
        <v>1</v>
      </c>
      <c r="N213" s="178">
        <f>IF(E213="",0,IF(AND(OR(OR(Dashboard!$E$5="All",Dashboard!$E$5=""),AG213=Dashboard!$E$5),OR(OR(Dashboard!$B$5="All",Dashboard!$B$5=""),C213=Dashboard!$B$5),OR(OR(Dashboard!$K$5="All",Dashboard!$K$5=""),A213=Dashboard!$K$5),OR(OR(Dashboard!$N$5="All",Dashboard!$N$5=""),B213=Dashboard!$N$5),OR(OR(Dashboard!$Q$5="All",Dashboard!$Q$5=""),D213=Dashboard!$Q$5),OR(OR(Dashboard!$U$5="All",Dashboard!$U$5=""),E213=Dashboard!$U$5)),1,0))</f>
        <v>1</v>
      </c>
      <c r="O213" s="165">
        <f t="shared" si="29"/>
        <v>121</v>
      </c>
      <c r="AG213" s="178" t="str">
        <f>IF(E213="","",IFERROR(IF(INDEX('Item Purchases'!$AM$4:$AM$30,MATCH(E213,'Item Purchases'!$B$4:$B$30,0))="","Uncategorised",INDEX('Item Purchases'!$AM$4:$AM$30,MATCH(E213,'Item Purchases'!$B$4:$B$30,0))),"Uncategorised"))</f>
        <v>Beverages</v>
      </c>
      <c r="AH213" s="165">
        <f>IF(AND(E213&lt;&gt;"",L213=1),COUNTIFS($E$2:E213,E213,$L$2:L213,1),0)</f>
        <v>8</v>
      </c>
      <c r="AI213" s="165">
        <f t="shared" si="30"/>
        <v>11</v>
      </c>
      <c r="AJ213" s="165">
        <f t="shared" si="31"/>
        <v>1</v>
      </c>
    </row>
    <row r="214" spans="1:36" x14ac:dyDescent="0.25">
      <c r="A214" s="177">
        <f t="shared" si="25"/>
        <v>46275</v>
      </c>
      <c r="B214" s="178" t="str">
        <f t="shared" si="26"/>
        <v>Thu</v>
      </c>
      <c r="C214" s="178" t="str">
        <f>'Pantry Inventory'!$A$34</f>
        <v>Sep Week 2</v>
      </c>
      <c r="D214" s="178" t="str">
        <f>IF('Pantry Inventory'!A60="","",'Pantry Inventory'!A60)</f>
        <v>Spritzer</v>
      </c>
      <c r="E214" s="178" t="str">
        <f>IF('Pantry Inventory'!B60="","",'Pantry Inventory'!B60)</f>
        <v>Spritzer sparkling water (original) 400ml</v>
      </c>
      <c r="F214" s="178" t="str">
        <f>IF(E214="","",IFERROR(IF(INDEX('Item Purchases'!$S$4:$S$30,MATCH(E214,'Item Purchases'!$B$4:$B$30,0))="","Uncategorised",INDEX('Item Purchases'!$S$4:$S$30,MATCH(E214,'Item Purchases'!$B$4:$B$30,0))),"Uncategorised"))</f>
        <v>Other</v>
      </c>
      <c r="G214" s="178">
        <f>IF(E214="",0,'Pantry Inventory'!J60)</f>
        <v>48</v>
      </c>
      <c r="H214" s="178">
        <f>IF(E214="","",IF('Pantry Inventory'!K60="","",'Pantry Inventory'!K60))</f>
        <v>48</v>
      </c>
      <c r="I214" s="178">
        <f>IF(H214="","",'Pantry Inventory'!L60)</f>
        <v>24</v>
      </c>
      <c r="J214" s="179">
        <f>IF(E214="",0,IFERROR(INDEX('Item Purchases'!$Q$4:$Q$30,MATCH(E214,'Item Purchases'!$B$4:$B$30,0)),0))</f>
        <v>1.616666666666666</v>
      </c>
      <c r="K214" s="180">
        <f t="shared" si="27"/>
        <v>38.799999999999983</v>
      </c>
      <c r="L214" s="178">
        <f t="shared" si="28"/>
        <v>1</v>
      </c>
      <c r="M214" s="178">
        <f>IF(E214="",0,IF(AND(OR(OR(Dashboard!$E$5="All",Dashboard!$E$5=""),AG214=Dashboard!$E$5),OR(OR(Dashboard!$H$5="All",Dashboard!$H$5=""),F214=Dashboard!$H$5),OR(OR(Dashboard!$B$5="All",Dashboard!$B$5=""),C214=Dashboard!$B$5),OR(OR(Dashboard!$K$5="All",Dashboard!$K$5=""),A214=Dashboard!$K$5),OR(OR(Dashboard!$N$5="All",Dashboard!$N$5=""),B214=Dashboard!$N$5),OR(OR(Dashboard!$Q$5="All",Dashboard!$Q$5=""),D214=Dashboard!$Q$5),OR(OR(Dashboard!$U$5="All",Dashboard!$U$5=""),E214=Dashboard!$U$5)),1,0))</f>
        <v>1</v>
      </c>
      <c r="N214" s="178">
        <f>IF(E214="",0,IF(AND(OR(OR(Dashboard!$E$5="All",Dashboard!$E$5=""),AG214=Dashboard!$E$5),OR(OR(Dashboard!$B$5="All",Dashboard!$B$5=""),C214=Dashboard!$B$5),OR(OR(Dashboard!$K$5="All",Dashboard!$K$5=""),A214=Dashboard!$K$5),OR(OR(Dashboard!$N$5="All",Dashboard!$N$5=""),B214=Dashboard!$N$5),OR(OR(Dashboard!$Q$5="All",Dashboard!$Q$5=""),D214=Dashboard!$Q$5),OR(OR(Dashboard!$U$5="All",Dashboard!$U$5=""),E214=Dashboard!$U$5)),1,0))</f>
        <v>1</v>
      </c>
      <c r="O214" s="165">
        <f t="shared" si="29"/>
        <v>576</v>
      </c>
      <c r="AG214" s="178" t="str">
        <f>IF(E214="","",IFERROR(IF(INDEX('Item Purchases'!$AM$4:$AM$30,MATCH(E214,'Item Purchases'!$B$4:$B$30,0))="","Uncategorised",INDEX('Item Purchases'!$AM$4:$AM$30,MATCH(E214,'Item Purchases'!$B$4:$B$30,0))),"Uncategorised"))</f>
        <v>Beverages</v>
      </c>
      <c r="AH214" s="165">
        <f>IF(AND(E214&lt;&gt;"",L214=1),COUNTIFS($E$2:E214,E214,$L$2:L214,1),0)</f>
        <v>8</v>
      </c>
      <c r="AI214" s="165">
        <f t="shared" si="30"/>
        <v>24</v>
      </c>
      <c r="AJ214" s="165">
        <f t="shared" si="31"/>
        <v>1</v>
      </c>
    </row>
    <row r="215" spans="1:36" x14ac:dyDescent="0.25">
      <c r="A215" s="177">
        <f t="shared" si="25"/>
        <v>46275</v>
      </c>
      <c r="B215" s="178" t="str">
        <f t="shared" si="26"/>
        <v>Thu</v>
      </c>
      <c r="C215" s="178" t="str">
        <f>'Pantry Inventory'!$A$34</f>
        <v>Sep Week 2</v>
      </c>
      <c r="D215" s="178" t="str">
        <f>IF('Pantry Inventory'!A61="","",'Pantry Inventory'!A61)</f>
        <v>Oat Side</v>
      </c>
      <c r="E215" s="178" t="str">
        <f>IF('Pantry Inventory'!B61="","",'Pantry Inventory'!B61)</f>
        <v>Oat Side Original 200ml</v>
      </c>
      <c r="F215" s="178" t="str">
        <f>IF(E215="","",IFERROR(IF(INDEX('Item Purchases'!$S$4:$S$30,MATCH(E215,'Item Purchases'!$B$4:$B$30,0))="","Uncategorised",INDEX('Item Purchases'!$S$4:$S$30,MATCH(E215,'Item Purchases'!$B$4:$B$30,0))),"Uncategorised"))</f>
        <v>Other</v>
      </c>
      <c r="G215" s="178">
        <f>IF(E215="",0,'Pantry Inventory'!J61)</f>
        <v>0</v>
      </c>
      <c r="H215" s="178">
        <f>IF(E215="","",IF('Pantry Inventory'!K61="","",'Pantry Inventory'!K61))</f>
        <v>25</v>
      </c>
      <c r="I215" s="178">
        <f>IF(H215="","",'Pantry Inventory'!L61)</f>
        <v>8</v>
      </c>
      <c r="J215" s="179">
        <f>IF(E215="",0,IFERROR(INDEX('Item Purchases'!$Q$4:$Q$30,MATCH(E215,'Item Purchases'!$B$4:$B$30,0)),0))</f>
        <v>3</v>
      </c>
      <c r="K215" s="180">
        <f t="shared" si="27"/>
        <v>24</v>
      </c>
      <c r="L215" s="178">
        <f t="shared" si="28"/>
        <v>1</v>
      </c>
      <c r="M215" s="178">
        <f>IF(E215="",0,IF(AND(OR(OR(Dashboard!$E$5="All",Dashboard!$E$5=""),AG215=Dashboard!$E$5),OR(OR(Dashboard!$H$5="All",Dashboard!$H$5=""),F215=Dashboard!$H$5),OR(OR(Dashboard!$B$5="All",Dashboard!$B$5=""),C215=Dashboard!$B$5),OR(OR(Dashboard!$K$5="All",Dashboard!$K$5=""),A215=Dashboard!$K$5),OR(OR(Dashboard!$N$5="All",Dashboard!$N$5=""),B215=Dashboard!$N$5),OR(OR(Dashboard!$Q$5="All",Dashboard!$Q$5=""),D215=Dashboard!$Q$5),OR(OR(Dashboard!$U$5="All",Dashboard!$U$5=""),E215=Dashboard!$U$5)),1,0))</f>
        <v>1</v>
      </c>
      <c r="N215" s="178">
        <f>IF(E215="",0,IF(AND(OR(OR(Dashboard!$E$5="All",Dashboard!$E$5=""),AG215=Dashboard!$E$5),OR(OR(Dashboard!$B$5="All",Dashboard!$B$5=""),C215=Dashboard!$B$5),OR(OR(Dashboard!$K$5="All",Dashboard!$K$5=""),A215=Dashboard!$K$5),OR(OR(Dashboard!$N$5="All",Dashboard!$N$5=""),B215=Dashboard!$N$5),OR(OR(Dashboard!$Q$5="All",Dashboard!$Q$5=""),D215=Dashboard!$Q$5),OR(OR(Dashboard!$U$5="All",Dashboard!$U$5=""),E215=Dashboard!$U$5)),1,0))</f>
        <v>1</v>
      </c>
      <c r="O215" s="165">
        <f t="shared" si="29"/>
        <v>64</v>
      </c>
      <c r="AG215" s="178" t="str">
        <f>IF(E215="","",IFERROR(IF(INDEX('Item Purchases'!$AM$4:$AM$30,MATCH(E215,'Item Purchases'!$B$4:$B$30,0))="","Uncategorised",INDEX('Item Purchases'!$AM$4:$AM$30,MATCH(E215,'Item Purchases'!$B$4:$B$30,0))),"Uncategorised"))</f>
        <v>Beverages</v>
      </c>
      <c r="AH215" s="165">
        <f>IF(AND(E215&lt;&gt;"",L215=1),COUNTIFS($E$2:E215,E215,$L$2:L215,1),0)</f>
        <v>8</v>
      </c>
      <c r="AI215" s="165">
        <f t="shared" si="30"/>
        <v>8</v>
      </c>
      <c r="AJ215" s="165">
        <f t="shared" si="31"/>
        <v>1</v>
      </c>
    </row>
    <row r="216" spans="1:36" x14ac:dyDescent="0.25">
      <c r="A216" s="177">
        <f t="shared" si="25"/>
        <v>46275</v>
      </c>
      <c r="B216" s="178" t="str">
        <f t="shared" si="26"/>
        <v>Thu</v>
      </c>
      <c r="C216" s="178" t="str">
        <f>'Pantry Inventory'!$A$34</f>
        <v>Sep Week 2</v>
      </c>
      <c r="D216" s="178" t="str">
        <f>IF('Pantry Inventory'!A62="","",'Pantry Inventory'!A62)</f>
        <v>Oat Side</v>
      </c>
      <c r="E216" s="178" t="str">
        <f>IF('Pantry Inventory'!B62="","",'Pantry Inventory'!B62)</f>
        <v>Oat Side Chocolate 200ml</v>
      </c>
      <c r="F216" s="178" t="str">
        <f>IF(E216="","",IFERROR(IF(INDEX('Item Purchases'!$S$4:$S$30,MATCH(E216,'Item Purchases'!$B$4:$B$30,0))="","Uncategorised",INDEX('Item Purchases'!$S$4:$S$30,MATCH(E216,'Item Purchases'!$B$4:$B$30,0))),"Uncategorised"))</f>
        <v>Other</v>
      </c>
      <c r="G216" s="178">
        <f>IF(E216="",0,'Pantry Inventory'!J62)</f>
        <v>0</v>
      </c>
      <c r="H216" s="178">
        <f>IF(E216="","",IF('Pantry Inventory'!K62="","",'Pantry Inventory'!K62))</f>
        <v>17</v>
      </c>
      <c r="I216" s="178">
        <f>IF(H216="","",'Pantry Inventory'!L62)</f>
        <v>31</v>
      </c>
      <c r="J216" s="179">
        <f>IF(E216="",0,IFERROR(INDEX('Item Purchases'!$Q$4:$Q$30,MATCH(E216,'Item Purchases'!$B$4:$B$30,0)),0))</f>
        <v>3</v>
      </c>
      <c r="K216" s="180">
        <f t="shared" si="27"/>
        <v>93</v>
      </c>
      <c r="L216" s="178">
        <f t="shared" si="28"/>
        <v>1</v>
      </c>
      <c r="M216" s="178">
        <f>IF(E216="",0,IF(AND(OR(OR(Dashboard!$E$5="All",Dashboard!$E$5=""),AG216=Dashboard!$E$5),OR(OR(Dashboard!$H$5="All",Dashboard!$H$5=""),F216=Dashboard!$H$5),OR(OR(Dashboard!$B$5="All",Dashboard!$B$5=""),C216=Dashboard!$B$5),OR(OR(Dashboard!$K$5="All",Dashboard!$K$5=""),A216=Dashboard!$K$5),OR(OR(Dashboard!$N$5="All",Dashboard!$N$5=""),B216=Dashboard!$N$5),OR(OR(Dashboard!$Q$5="All",Dashboard!$Q$5=""),D216=Dashboard!$Q$5),OR(OR(Dashboard!$U$5="All",Dashboard!$U$5=""),E216=Dashboard!$U$5)),1,0))</f>
        <v>1</v>
      </c>
      <c r="N216" s="178">
        <f>IF(E216="",0,IF(AND(OR(OR(Dashboard!$E$5="All",Dashboard!$E$5=""),AG216=Dashboard!$E$5),OR(OR(Dashboard!$B$5="All",Dashboard!$B$5=""),C216=Dashboard!$B$5),OR(OR(Dashboard!$K$5="All",Dashboard!$K$5=""),A216=Dashboard!$K$5),OR(OR(Dashboard!$N$5="All",Dashboard!$N$5=""),B216=Dashboard!$N$5),OR(OR(Dashboard!$Q$5="All",Dashboard!$Q$5=""),D216=Dashboard!$Q$5),OR(OR(Dashboard!$U$5="All",Dashboard!$U$5=""),E216=Dashboard!$U$5)),1,0))</f>
        <v>1</v>
      </c>
      <c r="O216" s="165">
        <f t="shared" si="29"/>
        <v>961</v>
      </c>
      <c r="AG216" s="178" t="str">
        <f>IF(E216="","",IFERROR(IF(INDEX('Item Purchases'!$AM$4:$AM$30,MATCH(E216,'Item Purchases'!$B$4:$B$30,0))="","Uncategorised",INDEX('Item Purchases'!$AM$4:$AM$30,MATCH(E216,'Item Purchases'!$B$4:$B$30,0))),"Uncategorised"))</f>
        <v>Beverages</v>
      </c>
      <c r="AH216" s="165">
        <f>IF(AND(E216&lt;&gt;"",L216=1),COUNTIFS($E$2:E216,E216,$L$2:L216,1),0)</f>
        <v>8</v>
      </c>
      <c r="AI216" s="165">
        <f t="shared" si="30"/>
        <v>31</v>
      </c>
      <c r="AJ216" s="165">
        <f t="shared" si="31"/>
        <v>1</v>
      </c>
    </row>
    <row r="217" spans="1:36" x14ac:dyDescent="0.25">
      <c r="A217" s="177">
        <f t="shared" si="25"/>
        <v>46275</v>
      </c>
      <c r="B217" s="178" t="str">
        <f t="shared" si="26"/>
        <v>Thu</v>
      </c>
      <c r="C217" s="178" t="str">
        <f>'Pantry Inventory'!$A$34</f>
        <v>Sep Week 2</v>
      </c>
      <c r="D217" s="178" t="str">
        <f>IF('Pantry Inventory'!A63="","",'Pantry Inventory'!A63)</f>
        <v/>
      </c>
      <c r="E217" s="178" t="str">
        <f>IF('Pantry Inventory'!B63="","",'Pantry Inventory'!B63)</f>
        <v/>
      </c>
      <c r="F217" s="178" t="str">
        <f>IF(E217="","",IFERROR(IF(INDEX('Item Purchases'!$S$4:$S$30,MATCH(E217,'Item Purchases'!$B$4:$B$30,0))="","Uncategorised",INDEX('Item Purchases'!$S$4:$S$30,MATCH(E217,'Item Purchases'!$B$4:$B$30,0))),"Uncategorised"))</f>
        <v/>
      </c>
      <c r="G217" s="178">
        <f>IF(E217="",0,'Pantry Inventory'!J63)</f>
        <v>0</v>
      </c>
      <c r="H217" s="178" t="str">
        <f>IF(E217="","",IF('Pantry Inventory'!K63="","",'Pantry Inventory'!K63))</f>
        <v/>
      </c>
      <c r="I217" s="178" t="str">
        <f>IF(H217="","",'Pantry Inventory'!L63)</f>
        <v/>
      </c>
      <c r="J217" s="179">
        <f>IF(E217="",0,IFERROR(INDEX('Item Purchases'!$Q$4:$Q$30,MATCH(E217,'Item Purchases'!$B$4:$B$30,0)),0))</f>
        <v>0</v>
      </c>
      <c r="K217" s="180" t="str">
        <f t="shared" si="27"/>
        <v/>
      </c>
      <c r="L217" s="178">
        <f t="shared" si="28"/>
        <v>0</v>
      </c>
      <c r="M217" s="178">
        <f>IF(E217="",0,IF(AND(OR(OR(Dashboard!$E$5="All",Dashboard!$E$5=""),AG217=Dashboard!$E$5),OR(OR(Dashboard!$H$5="All",Dashboard!$H$5=""),F217=Dashboard!$H$5),OR(OR(Dashboard!$B$5="All",Dashboard!$B$5=""),C217=Dashboard!$B$5),OR(OR(Dashboard!$K$5="All",Dashboard!$K$5=""),A217=Dashboard!$K$5),OR(OR(Dashboard!$N$5="All",Dashboard!$N$5=""),B217=Dashboard!$N$5),OR(OR(Dashboard!$Q$5="All",Dashboard!$Q$5=""),D217=Dashboard!$Q$5),OR(OR(Dashboard!$U$5="All",Dashboard!$U$5=""),E217=Dashboard!$U$5)),1,0))</f>
        <v>0</v>
      </c>
      <c r="N217" s="178">
        <f>IF(E217="",0,IF(AND(OR(OR(Dashboard!$E$5="All",Dashboard!$E$5=""),AG217=Dashboard!$E$5),OR(OR(Dashboard!$B$5="All",Dashboard!$B$5=""),C217=Dashboard!$B$5),OR(OR(Dashboard!$K$5="All",Dashboard!$K$5=""),A217=Dashboard!$K$5),OR(OR(Dashboard!$N$5="All",Dashboard!$N$5=""),B217=Dashboard!$N$5),OR(OR(Dashboard!$Q$5="All",Dashboard!$Q$5=""),D217=Dashboard!$Q$5),OR(OR(Dashboard!$U$5="All",Dashboard!$U$5=""),E217=Dashboard!$U$5)),1,0))</f>
        <v>0</v>
      </c>
      <c r="O217" s="165">
        <f t="shared" si="29"/>
        <v>0</v>
      </c>
      <c r="AG217" s="178" t="str">
        <f>IF(E217="","",IFERROR(IF(INDEX('Item Purchases'!$AM$4:$AM$30,MATCH(E217,'Item Purchases'!$B$4:$B$30,0))="","Uncategorised",INDEX('Item Purchases'!$AM$4:$AM$30,MATCH(E217,'Item Purchases'!$B$4:$B$30,0))),"Uncategorised"))</f>
        <v/>
      </c>
      <c r="AH217" s="165">
        <f>IF(AND(E217&lt;&gt;"",L217=1),COUNTIFS($E$2:E217,E217,$L$2:L217,1),0)</f>
        <v>0</v>
      </c>
      <c r="AI217" s="165">
        <f t="shared" si="30"/>
        <v>0</v>
      </c>
      <c r="AJ217" s="165">
        <f t="shared" si="31"/>
        <v>0</v>
      </c>
    </row>
    <row r="218" spans="1:36" x14ac:dyDescent="0.25">
      <c r="A218" s="177">
        <f t="shared" ref="A218:A244" si="32">IF($Z$10="",0,$Z$10)</f>
        <v>46276</v>
      </c>
      <c r="B218" s="178" t="str">
        <f t="shared" si="26"/>
        <v>Fri</v>
      </c>
      <c r="C218" s="178" t="str">
        <f>'Pantry Inventory'!$A$34</f>
        <v>Sep Week 2</v>
      </c>
      <c r="D218" s="178" t="str">
        <f>IF('Pantry Inventory'!A37="","",'Pantry Inventory'!A37)</f>
        <v>Julie's</v>
      </c>
      <c r="E218" s="178" t="str">
        <f>IF('Pantry Inventory'!B37="","",'Pantry Inventory'!B37)</f>
        <v>Julie's Peanut Butter Sandwich 360g (12pkts x 30g)</v>
      </c>
      <c r="F218" s="178" t="str">
        <f>IF(E218="","",IFERROR(IF(INDEX('Item Purchases'!$S$4:$S$30,MATCH(E218,'Item Purchases'!$B$4:$B$30,0))="","Uncategorised",INDEX('Item Purchases'!$S$4:$S$30,MATCH(E218,'Item Purchases'!$B$4:$B$30,0))),"Uncategorised"))</f>
        <v>Sweet</v>
      </c>
      <c r="G218" s="178">
        <f>IF(E218="",0,'Pantry Inventory'!M37)</f>
        <v>0</v>
      </c>
      <c r="H218" s="178">
        <f>IF(E218="","",IF('Pantry Inventory'!N37="","",'Pantry Inventory'!N37))</f>
        <v>22</v>
      </c>
      <c r="I218" s="178">
        <f>IF(H218="","",'Pantry Inventory'!O37)</f>
        <v>13</v>
      </c>
      <c r="J218" s="179">
        <f>IF(E218="",0,IFERROR(INDEX('Item Purchases'!$Q$4:$Q$30,MATCH(E218,'Item Purchases'!$B$4:$B$30,0)),0))</f>
        <v>1.083</v>
      </c>
      <c r="K218" s="180">
        <f t="shared" si="27"/>
        <v>14.078999999999999</v>
      </c>
      <c r="L218" s="178">
        <f t="shared" si="28"/>
        <v>1</v>
      </c>
      <c r="M218" s="178">
        <f>IF(E218="",0,IF(AND(OR(OR(Dashboard!$E$5="All",Dashboard!$E$5=""),AG218=Dashboard!$E$5),OR(OR(Dashboard!$H$5="All",Dashboard!$H$5=""),F218=Dashboard!$H$5),OR(OR(Dashboard!$B$5="All",Dashboard!$B$5=""),C218=Dashboard!$B$5),OR(OR(Dashboard!$K$5="All",Dashboard!$K$5=""),A218=Dashboard!$K$5),OR(OR(Dashboard!$N$5="All",Dashboard!$N$5=""),B218=Dashboard!$N$5),OR(OR(Dashboard!$Q$5="All",Dashboard!$Q$5=""),D218=Dashboard!$Q$5),OR(OR(Dashboard!$U$5="All",Dashboard!$U$5=""),E218=Dashboard!$U$5)),1,0))</f>
        <v>1</v>
      </c>
      <c r="N218" s="178">
        <f>IF(E218="",0,IF(AND(OR(OR(Dashboard!$E$5="All",Dashboard!$E$5=""),AG218=Dashboard!$E$5),OR(OR(Dashboard!$B$5="All",Dashboard!$B$5=""),C218=Dashboard!$B$5),OR(OR(Dashboard!$K$5="All",Dashboard!$K$5=""),A218=Dashboard!$K$5),OR(OR(Dashboard!$N$5="All",Dashboard!$N$5=""),B218=Dashboard!$N$5),OR(OR(Dashboard!$Q$5="All",Dashboard!$Q$5=""),D218=Dashboard!$Q$5),OR(OR(Dashboard!$U$5="All",Dashboard!$U$5=""),E218=Dashboard!$U$5)),1,0))</f>
        <v>1</v>
      </c>
      <c r="O218" s="165">
        <f t="shared" si="29"/>
        <v>169</v>
      </c>
      <c r="AG218" s="178" t="str">
        <f>IF(E218="","",IFERROR(IF(INDEX('Item Purchases'!$AM$4:$AM$30,MATCH(E218,'Item Purchases'!$B$4:$B$30,0))="","Uncategorised",INDEX('Item Purchases'!$AM$4:$AM$30,MATCH(E218,'Item Purchases'!$B$4:$B$30,0))),"Uncategorised"))</f>
        <v>Snacks</v>
      </c>
      <c r="AH218" s="165">
        <f>IF(AND(E218&lt;&gt;"",L218=1),COUNTIFS($E$2:E218,E218,$L$2:L218,1),0)</f>
        <v>9</v>
      </c>
      <c r="AI218" s="165">
        <f t="shared" si="30"/>
        <v>13</v>
      </c>
      <c r="AJ218" s="165">
        <f t="shared" si="31"/>
        <v>1</v>
      </c>
    </row>
    <row r="219" spans="1:36" x14ac:dyDescent="0.25">
      <c r="A219" s="177">
        <f t="shared" si="32"/>
        <v>46276</v>
      </c>
      <c r="B219" s="178" t="str">
        <f t="shared" si="26"/>
        <v>Fri</v>
      </c>
      <c r="C219" s="178" t="str">
        <f>'Pantry Inventory'!$A$34</f>
        <v>Sep Week 2</v>
      </c>
      <c r="D219" s="178" t="str">
        <f>IF('Pantry Inventory'!A38="","",'Pantry Inventory'!A38)</f>
        <v>Julie's</v>
      </c>
      <c r="E219" s="178" t="str">
        <f>IF('Pantry Inventory'!B38="","",'Pantry Inventory'!B38)</f>
        <v>Julies Butter Waffles</v>
      </c>
      <c r="F219" s="178" t="str">
        <f>IF(E219="","",IFERROR(IF(INDEX('Item Purchases'!$S$4:$S$30,MATCH(E219,'Item Purchases'!$B$4:$B$30,0))="","Uncategorised",INDEX('Item Purchases'!$S$4:$S$30,MATCH(E219,'Item Purchases'!$B$4:$B$30,0))),"Uncategorised"))</f>
        <v>Sweet</v>
      </c>
      <c r="G219" s="178">
        <f>IF(E219="",0,'Pantry Inventory'!M38)</f>
        <v>0</v>
      </c>
      <c r="H219" s="178">
        <f>IF(E219="","",IF('Pantry Inventory'!N38="","",'Pantry Inventory'!N38))</f>
        <v>10</v>
      </c>
      <c r="I219" s="178">
        <f>IF(H219="","",'Pantry Inventory'!O38)</f>
        <v>5</v>
      </c>
      <c r="J219" s="179">
        <f>IF(E219="",0,IFERROR(INDEX('Item Purchases'!$Q$4:$Q$30,MATCH(E219,'Item Purchases'!$B$4:$B$30,0)),0))</f>
        <v>5.15</v>
      </c>
      <c r="K219" s="180">
        <f t="shared" si="27"/>
        <v>25.75</v>
      </c>
      <c r="L219" s="178">
        <f t="shared" si="28"/>
        <v>1</v>
      </c>
      <c r="M219" s="178">
        <f>IF(E219="",0,IF(AND(OR(OR(Dashboard!$E$5="All",Dashboard!$E$5=""),AG219=Dashboard!$E$5),OR(OR(Dashboard!$H$5="All",Dashboard!$H$5=""),F219=Dashboard!$H$5),OR(OR(Dashboard!$B$5="All",Dashboard!$B$5=""),C219=Dashboard!$B$5),OR(OR(Dashboard!$K$5="All",Dashboard!$K$5=""),A219=Dashboard!$K$5),OR(OR(Dashboard!$N$5="All",Dashboard!$N$5=""),B219=Dashboard!$N$5),OR(OR(Dashboard!$Q$5="All",Dashboard!$Q$5=""),D219=Dashboard!$Q$5),OR(OR(Dashboard!$U$5="All",Dashboard!$U$5=""),E219=Dashboard!$U$5)),1,0))</f>
        <v>1</v>
      </c>
      <c r="N219" s="178">
        <f>IF(E219="",0,IF(AND(OR(OR(Dashboard!$E$5="All",Dashboard!$E$5=""),AG219=Dashboard!$E$5),OR(OR(Dashboard!$B$5="All",Dashboard!$B$5=""),C219=Dashboard!$B$5),OR(OR(Dashboard!$K$5="All",Dashboard!$K$5=""),A219=Dashboard!$K$5),OR(OR(Dashboard!$N$5="All",Dashboard!$N$5=""),B219=Dashboard!$N$5),OR(OR(Dashboard!$Q$5="All",Dashboard!$Q$5=""),D219=Dashboard!$Q$5),OR(OR(Dashboard!$U$5="All",Dashboard!$U$5=""),E219=Dashboard!$U$5)),1,0))</f>
        <v>1</v>
      </c>
      <c r="O219" s="165">
        <f t="shared" si="29"/>
        <v>25</v>
      </c>
      <c r="AG219" s="178" t="str">
        <f>IF(E219="","",IFERROR(IF(INDEX('Item Purchases'!$AM$4:$AM$30,MATCH(E219,'Item Purchases'!$B$4:$B$30,0))="","Uncategorised",INDEX('Item Purchases'!$AM$4:$AM$30,MATCH(E219,'Item Purchases'!$B$4:$B$30,0))),"Uncategorised"))</f>
        <v>Snacks</v>
      </c>
      <c r="AH219" s="165">
        <f>IF(AND(E219&lt;&gt;"",L219=1),COUNTIFS($E$2:E219,E219,$L$2:L219,1),0)</f>
        <v>9</v>
      </c>
      <c r="AI219" s="165">
        <f t="shared" si="30"/>
        <v>5</v>
      </c>
      <c r="AJ219" s="165">
        <f t="shared" si="31"/>
        <v>1</v>
      </c>
    </row>
    <row r="220" spans="1:36" x14ac:dyDescent="0.25">
      <c r="A220" s="177">
        <f t="shared" si="32"/>
        <v>46276</v>
      </c>
      <c r="B220" s="178" t="str">
        <f t="shared" si="26"/>
        <v>Fri</v>
      </c>
      <c r="C220" s="178" t="str">
        <f>'Pantry Inventory'!$A$34</f>
        <v>Sep Week 2</v>
      </c>
      <c r="D220" s="178" t="str">
        <f>IF('Pantry Inventory'!A39="","",'Pantry Inventory'!A39)</f>
        <v>Julie's</v>
      </c>
      <c r="E220" s="178" t="str">
        <f>IF('Pantry Inventory'!B39="","",'Pantry Inventory'!B39)</f>
        <v>Julies Choco More Sandwich (44G)</v>
      </c>
      <c r="F220" s="178" t="str">
        <f>IF(E220="","",IFERROR(IF(INDEX('Item Purchases'!$S$4:$S$30,MATCH(E220,'Item Purchases'!$B$4:$B$30,0))="","Uncategorised",INDEX('Item Purchases'!$S$4:$S$30,MATCH(E220,'Item Purchases'!$B$4:$B$30,0))),"Uncategorised"))</f>
        <v>Sweet</v>
      </c>
      <c r="G220" s="178">
        <f>IF(E220="",0,'Pantry Inventory'!M39)</f>
        <v>0</v>
      </c>
      <c r="H220" s="178">
        <f>IF(E220="","",IF('Pantry Inventory'!N39="","",'Pantry Inventory'!N39))</f>
        <v>0</v>
      </c>
      <c r="I220" s="178">
        <f>IF(H220="","",'Pantry Inventory'!O39)</f>
        <v>0</v>
      </c>
      <c r="J220" s="179">
        <f>IF(E220="",0,IFERROR(INDEX('Item Purchases'!$Q$4:$Q$30,MATCH(E220,'Item Purchases'!$B$4:$B$30,0)),0))</f>
        <v>1.2</v>
      </c>
      <c r="K220" s="180">
        <f t="shared" si="27"/>
        <v>0</v>
      </c>
      <c r="L220" s="178">
        <f t="shared" si="28"/>
        <v>1</v>
      </c>
      <c r="M220" s="178">
        <f>IF(E220="",0,IF(AND(OR(OR(Dashboard!$E$5="All",Dashboard!$E$5=""),AG220=Dashboard!$E$5),OR(OR(Dashboard!$H$5="All",Dashboard!$H$5=""),F220=Dashboard!$H$5),OR(OR(Dashboard!$B$5="All",Dashboard!$B$5=""),C220=Dashboard!$B$5),OR(OR(Dashboard!$K$5="All",Dashboard!$K$5=""),A220=Dashboard!$K$5),OR(OR(Dashboard!$N$5="All",Dashboard!$N$5=""),B220=Dashboard!$N$5),OR(OR(Dashboard!$Q$5="All",Dashboard!$Q$5=""),D220=Dashboard!$Q$5),OR(OR(Dashboard!$U$5="All",Dashboard!$U$5=""),E220=Dashboard!$U$5)),1,0))</f>
        <v>1</v>
      </c>
      <c r="N220" s="178">
        <f>IF(E220="",0,IF(AND(OR(OR(Dashboard!$E$5="All",Dashboard!$E$5=""),AG220=Dashboard!$E$5),OR(OR(Dashboard!$B$5="All",Dashboard!$B$5=""),C220=Dashboard!$B$5),OR(OR(Dashboard!$K$5="All",Dashboard!$K$5=""),A220=Dashboard!$K$5),OR(OR(Dashboard!$N$5="All",Dashboard!$N$5=""),B220=Dashboard!$N$5),OR(OR(Dashboard!$Q$5="All",Dashboard!$Q$5=""),D220=Dashboard!$Q$5),OR(OR(Dashboard!$U$5="All",Dashboard!$U$5=""),E220=Dashboard!$U$5)),1,0))</f>
        <v>1</v>
      </c>
      <c r="O220" s="165">
        <f t="shared" si="29"/>
        <v>0</v>
      </c>
      <c r="AG220" s="178" t="str">
        <f>IF(E220="","",IFERROR(IF(INDEX('Item Purchases'!$AM$4:$AM$30,MATCH(E220,'Item Purchases'!$B$4:$B$30,0))="","Uncategorised",INDEX('Item Purchases'!$AM$4:$AM$30,MATCH(E220,'Item Purchases'!$B$4:$B$30,0))),"Uncategorised"))</f>
        <v>Snacks</v>
      </c>
      <c r="AH220" s="165">
        <f>IF(AND(E220&lt;&gt;"",L220=1),COUNTIFS($E$2:E220,E220,$L$2:L220,1),0)</f>
        <v>9</v>
      </c>
      <c r="AI220" s="165">
        <f t="shared" si="30"/>
        <v>0</v>
      </c>
      <c r="AJ220" s="165">
        <f t="shared" si="31"/>
        <v>0</v>
      </c>
    </row>
    <row r="221" spans="1:36" x14ac:dyDescent="0.25">
      <c r="A221" s="177">
        <f t="shared" si="32"/>
        <v>46276</v>
      </c>
      <c r="B221" s="178" t="str">
        <f t="shared" si="26"/>
        <v>Fri</v>
      </c>
      <c r="C221" s="178" t="str">
        <f>'Pantry Inventory'!$A$34</f>
        <v>Sep Week 2</v>
      </c>
      <c r="D221" s="178" t="str">
        <f>IF('Pantry Inventory'!A40="","",'Pantry Inventory'!A40)</f>
        <v>Julie's</v>
      </c>
      <c r="E221" s="178" t="str">
        <f>IF('Pantry Inventory'!B40="","",'Pantry Inventory'!B40)</f>
        <v>Julies Cheese Sandwich (28G)</v>
      </c>
      <c r="F221" s="178" t="str">
        <f>IF(E221="","",IFERROR(IF(INDEX('Item Purchases'!$S$4:$S$30,MATCH(E221,'Item Purchases'!$B$4:$B$30,0))="","Uncategorised",INDEX('Item Purchases'!$S$4:$S$30,MATCH(E221,'Item Purchases'!$B$4:$B$30,0))),"Uncategorised"))</f>
        <v>Savoury</v>
      </c>
      <c r="G221" s="178">
        <f>IF(E221="",0,'Pantry Inventory'!M40)</f>
        <v>0</v>
      </c>
      <c r="H221" s="178">
        <f>IF(E221="","",IF('Pantry Inventory'!N40="","",'Pantry Inventory'!N40))</f>
        <v>31</v>
      </c>
      <c r="I221" s="178">
        <f>IF(H221="","",'Pantry Inventory'!O40)</f>
        <v>3</v>
      </c>
      <c r="J221" s="179">
        <f>IF(E221="",0,IFERROR(INDEX('Item Purchases'!$Q$4:$Q$30,MATCH(E221,'Item Purchases'!$B$4:$B$30,0)),0))</f>
        <v>1.1000000000000001</v>
      </c>
      <c r="K221" s="180">
        <f t="shared" si="27"/>
        <v>3.3000000000000003</v>
      </c>
      <c r="L221" s="178">
        <f t="shared" si="28"/>
        <v>1</v>
      </c>
      <c r="M221" s="178">
        <f>IF(E221="",0,IF(AND(OR(OR(Dashboard!$E$5="All",Dashboard!$E$5=""),AG221=Dashboard!$E$5),OR(OR(Dashboard!$H$5="All",Dashboard!$H$5=""),F221=Dashboard!$H$5),OR(OR(Dashboard!$B$5="All",Dashboard!$B$5=""),C221=Dashboard!$B$5),OR(OR(Dashboard!$K$5="All",Dashboard!$K$5=""),A221=Dashboard!$K$5),OR(OR(Dashboard!$N$5="All",Dashboard!$N$5=""),B221=Dashboard!$N$5),OR(OR(Dashboard!$Q$5="All",Dashboard!$Q$5=""),D221=Dashboard!$Q$5),OR(OR(Dashboard!$U$5="All",Dashboard!$U$5=""),E221=Dashboard!$U$5)),1,0))</f>
        <v>1</v>
      </c>
      <c r="N221" s="178">
        <f>IF(E221="",0,IF(AND(OR(OR(Dashboard!$E$5="All",Dashboard!$E$5=""),AG221=Dashboard!$E$5),OR(OR(Dashboard!$B$5="All",Dashboard!$B$5=""),C221=Dashboard!$B$5),OR(OR(Dashboard!$K$5="All",Dashboard!$K$5=""),A221=Dashboard!$K$5),OR(OR(Dashboard!$N$5="All",Dashboard!$N$5=""),B221=Dashboard!$N$5),OR(OR(Dashboard!$Q$5="All",Dashboard!$Q$5=""),D221=Dashboard!$Q$5),OR(OR(Dashboard!$U$5="All",Dashboard!$U$5=""),E221=Dashboard!$U$5)),1,0))</f>
        <v>1</v>
      </c>
      <c r="O221" s="165">
        <f t="shared" si="29"/>
        <v>9</v>
      </c>
      <c r="AG221" s="178" t="str">
        <f>IF(E221="","",IFERROR(IF(INDEX('Item Purchases'!$AM$4:$AM$30,MATCH(E221,'Item Purchases'!$B$4:$B$30,0))="","Uncategorised",INDEX('Item Purchases'!$AM$4:$AM$30,MATCH(E221,'Item Purchases'!$B$4:$B$30,0))),"Uncategorised"))</f>
        <v>Snacks</v>
      </c>
      <c r="AH221" s="165">
        <f>IF(AND(E221&lt;&gt;"",L221=1),COUNTIFS($E$2:E221,E221,$L$2:L221,1),0)</f>
        <v>9</v>
      </c>
      <c r="AI221" s="165">
        <f t="shared" si="30"/>
        <v>3</v>
      </c>
      <c r="AJ221" s="165">
        <f t="shared" si="31"/>
        <v>1</v>
      </c>
    </row>
    <row r="222" spans="1:36" x14ac:dyDescent="0.25">
      <c r="A222" s="177">
        <f t="shared" si="32"/>
        <v>46276</v>
      </c>
      <c r="B222" s="178" t="str">
        <f t="shared" si="26"/>
        <v>Fri</v>
      </c>
      <c r="C222" s="178" t="str">
        <f>'Pantry Inventory'!$A$34</f>
        <v>Sep Week 2</v>
      </c>
      <c r="D222" s="178" t="str">
        <f>IF('Pantry Inventory'!A41="","",'Pantry Inventory'!A41)</f>
        <v>Nature Valley</v>
      </c>
      <c r="E222" s="178" t="str">
        <f>IF('Pantry Inventory'!B41="","",'Pantry Inventory'!B41)</f>
        <v>NV OATS &amp; DARK CHOC 42GX5</v>
      </c>
      <c r="F222" s="178" t="str">
        <f>IF(E222="","",IFERROR(IF(INDEX('Item Purchases'!$S$4:$S$30,MATCH(E222,'Item Purchases'!$B$4:$B$30,0))="","Uncategorised",INDEX('Item Purchases'!$S$4:$S$30,MATCH(E222,'Item Purchases'!$B$4:$B$30,0))),"Uncategorised"))</f>
        <v>Sweet</v>
      </c>
      <c r="G222" s="178">
        <f>IF(E222="",0,'Pantry Inventory'!M41)</f>
        <v>0</v>
      </c>
      <c r="H222" s="178">
        <f>IF(E222="","",IF('Pantry Inventory'!N41="","",'Pantry Inventory'!N41))</f>
        <v>0</v>
      </c>
      <c r="I222" s="178">
        <f>IF(H222="","",'Pantry Inventory'!O41)</f>
        <v>0</v>
      </c>
      <c r="J222" s="179">
        <f>IF(E222="",0,IFERROR(INDEX('Item Purchases'!$Q$4:$Q$30,MATCH(E222,'Item Purchases'!$B$4:$B$30,0)),0))</f>
        <v>2.78</v>
      </c>
      <c r="K222" s="180">
        <f t="shared" si="27"/>
        <v>0</v>
      </c>
      <c r="L222" s="178">
        <f t="shared" si="28"/>
        <v>1</v>
      </c>
      <c r="M222" s="178">
        <f>IF(E222="",0,IF(AND(OR(OR(Dashboard!$E$5="All",Dashboard!$E$5=""),AG222=Dashboard!$E$5),OR(OR(Dashboard!$H$5="All",Dashboard!$H$5=""),F222=Dashboard!$H$5),OR(OR(Dashboard!$B$5="All",Dashboard!$B$5=""),C222=Dashboard!$B$5),OR(OR(Dashboard!$K$5="All",Dashboard!$K$5=""),A222=Dashboard!$K$5),OR(OR(Dashboard!$N$5="All",Dashboard!$N$5=""),B222=Dashboard!$N$5),OR(OR(Dashboard!$Q$5="All",Dashboard!$Q$5=""),D222=Dashboard!$Q$5),OR(OR(Dashboard!$U$5="All",Dashboard!$U$5=""),E222=Dashboard!$U$5)),1,0))</f>
        <v>1</v>
      </c>
      <c r="N222" s="178">
        <f>IF(E222="",0,IF(AND(OR(OR(Dashboard!$E$5="All",Dashboard!$E$5=""),AG222=Dashboard!$E$5),OR(OR(Dashboard!$B$5="All",Dashboard!$B$5=""),C222=Dashboard!$B$5),OR(OR(Dashboard!$K$5="All",Dashboard!$K$5=""),A222=Dashboard!$K$5),OR(OR(Dashboard!$N$5="All",Dashboard!$N$5=""),B222=Dashboard!$N$5),OR(OR(Dashboard!$Q$5="All",Dashboard!$Q$5=""),D222=Dashboard!$Q$5),OR(OR(Dashboard!$U$5="All",Dashboard!$U$5=""),E222=Dashboard!$U$5)),1,0))</f>
        <v>1</v>
      </c>
      <c r="O222" s="165">
        <f t="shared" si="29"/>
        <v>0</v>
      </c>
      <c r="AG222" s="178" t="str">
        <f>IF(E222="","",IFERROR(IF(INDEX('Item Purchases'!$AM$4:$AM$30,MATCH(E222,'Item Purchases'!$B$4:$B$30,0))="","Uncategorised",INDEX('Item Purchases'!$AM$4:$AM$30,MATCH(E222,'Item Purchases'!$B$4:$B$30,0))),"Uncategorised"))</f>
        <v>Snacks</v>
      </c>
      <c r="AH222" s="165">
        <f>IF(AND(E222&lt;&gt;"",L222=1),COUNTIFS($E$2:E222,E222,$L$2:L222,1),0)</f>
        <v>9</v>
      </c>
      <c r="AI222" s="165">
        <f t="shared" si="30"/>
        <v>0</v>
      </c>
      <c r="AJ222" s="165">
        <f t="shared" si="31"/>
        <v>0</v>
      </c>
    </row>
    <row r="223" spans="1:36" x14ac:dyDescent="0.25">
      <c r="A223" s="177">
        <f t="shared" si="32"/>
        <v>46276</v>
      </c>
      <c r="B223" s="178" t="str">
        <f t="shared" si="26"/>
        <v>Fri</v>
      </c>
      <c r="C223" s="178" t="str">
        <f>'Pantry Inventory'!$A$34</f>
        <v>Sep Week 2</v>
      </c>
      <c r="D223" s="178" t="str">
        <f>IF('Pantry Inventory'!A42="","",'Pantry Inventory'!A42)</f>
        <v>Nature Valley</v>
      </c>
      <c r="E223" s="178" t="str">
        <f>IF('Pantry Inventory'!B42="","",'Pantry Inventory'!B42)</f>
        <v xml:space="preserve">NV PROTEIN - SALTED CARAMEL 40G </v>
      </c>
      <c r="F223" s="178" t="str">
        <f>IF(E223="","",IFERROR(IF(INDEX('Item Purchases'!$S$4:$S$30,MATCH(E223,'Item Purchases'!$B$4:$B$30,0))="","Uncategorised",INDEX('Item Purchases'!$S$4:$S$30,MATCH(E223,'Item Purchases'!$B$4:$B$30,0))),"Uncategorised"))</f>
        <v>Sweet</v>
      </c>
      <c r="G223" s="178">
        <f>IF(E223="",0,'Pantry Inventory'!M42)</f>
        <v>0</v>
      </c>
      <c r="H223" s="178">
        <f>IF(E223="","",IF('Pantry Inventory'!N42="","",'Pantry Inventory'!N42))</f>
        <v>0</v>
      </c>
      <c r="I223" s="178">
        <f>IF(H223="","",'Pantry Inventory'!O42)</f>
        <v>0</v>
      </c>
      <c r="J223" s="179">
        <f>IF(E223="",0,IFERROR(INDEX('Item Purchases'!$Q$4:$Q$30,MATCH(E223,'Item Purchases'!$B$4:$B$30,0)),0))</f>
        <v>4.9000000000000004</v>
      </c>
      <c r="K223" s="180">
        <f t="shared" si="27"/>
        <v>0</v>
      </c>
      <c r="L223" s="178">
        <f t="shared" si="28"/>
        <v>1</v>
      </c>
      <c r="M223" s="178">
        <f>IF(E223="",0,IF(AND(OR(OR(Dashboard!$E$5="All",Dashboard!$E$5=""),AG223=Dashboard!$E$5),OR(OR(Dashboard!$H$5="All",Dashboard!$H$5=""),F223=Dashboard!$H$5),OR(OR(Dashboard!$B$5="All",Dashboard!$B$5=""),C223=Dashboard!$B$5),OR(OR(Dashboard!$K$5="All",Dashboard!$K$5=""),A223=Dashboard!$K$5),OR(OR(Dashboard!$N$5="All",Dashboard!$N$5=""),B223=Dashboard!$N$5),OR(OR(Dashboard!$Q$5="All",Dashboard!$Q$5=""),D223=Dashboard!$Q$5),OR(OR(Dashboard!$U$5="All",Dashboard!$U$5=""),E223=Dashboard!$U$5)),1,0))</f>
        <v>1</v>
      </c>
      <c r="N223" s="178">
        <f>IF(E223="",0,IF(AND(OR(OR(Dashboard!$E$5="All",Dashboard!$E$5=""),AG223=Dashboard!$E$5),OR(OR(Dashboard!$B$5="All",Dashboard!$B$5=""),C223=Dashboard!$B$5),OR(OR(Dashboard!$K$5="All",Dashboard!$K$5=""),A223=Dashboard!$K$5),OR(OR(Dashboard!$N$5="All",Dashboard!$N$5=""),B223=Dashboard!$N$5),OR(OR(Dashboard!$Q$5="All",Dashboard!$Q$5=""),D223=Dashboard!$Q$5),OR(OR(Dashboard!$U$5="All",Dashboard!$U$5=""),E223=Dashboard!$U$5)),1,0))</f>
        <v>1</v>
      </c>
      <c r="O223" s="165">
        <f t="shared" si="29"/>
        <v>0</v>
      </c>
      <c r="AG223" s="178" t="str">
        <f>IF(E223="","",IFERROR(IF(INDEX('Item Purchases'!$AM$4:$AM$30,MATCH(E223,'Item Purchases'!$B$4:$B$30,0))="","Uncategorised",INDEX('Item Purchases'!$AM$4:$AM$30,MATCH(E223,'Item Purchases'!$B$4:$B$30,0))),"Uncategorised"))</f>
        <v>Snacks</v>
      </c>
      <c r="AH223" s="165">
        <f>IF(AND(E223&lt;&gt;"",L223=1),COUNTIFS($E$2:E223,E223,$L$2:L223,1),0)</f>
        <v>9</v>
      </c>
      <c r="AI223" s="165">
        <f t="shared" si="30"/>
        <v>0</v>
      </c>
      <c r="AJ223" s="165">
        <f t="shared" si="31"/>
        <v>0</v>
      </c>
    </row>
    <row r="224" spans="1:36" x14ac:dyDescent="0.25">
      <c r="A224" s="177">
        <f t="shared" si="32"/>
        <v>46276</v>
      </c>
      <c r="B224" s="178" t="str">
        <f t="shared" si="26"/>
        <v>Fri</v>
      </c>
      <c r="C224" s="178" t="str">
        <f>'Pantry Inventory'!$A$34</f>
        <v>Sep Week 2</v>
      </c>
      <c r="D224" s="178" t="str">
        <f>IF('Pantry Inventory'!A43="","",'Pantry Inventory'!A43)</f>
        <v>BBMG</v>
      </c>
      <c r="E224" s="178" t="str">
        <f>IF('Pantry Inventory'!B43="","",'Pantry Inventory'!B43)</f>
        <v>BBMG 90G</v>
      </c>
      <c r="F224" s="178" t="str">
        <f>IF(E224="","",IFERROR(IF(INDEX('Item Purchases'!$S$4:$S$30,MATCH(E224,'Item Purchases'!$B$4:$B$30,0))="","Uncategorised",INDEX('Item Purchases'!$S$4:$S$30,MATCH(E224,'Item Purchases'!$B$4:$B$30,0))),"Uncategorised"))</f>
        <v>Savoury</v>
      </c>
      <c r="G224" s="178">
        <f>IF(E224="",0,'Pantry Inventory'!M43)</f>
        <v>0</v>
      </c>
      <c r="H224" s="178">
        <f>IF(E224="","",IF('Pantry Inventory'!N43="","",'Pantry Inventory'!N43))</f>
        <v>0</v>
      </c>
      <c r="I224" s="178">
        <f>IF(H224="","",'Pantry Inventory'!O43)</f>
        <v>22</v>
      </c>
      <c r="J224" s="179">
        <f>IF(E224="",0,IFERROR(INDEX('Item Purchases'!$Q$4:$Q$30,MATCH(E224,'Item Purchases'!$B$4:$B$30,0)),0))</f>
        <v>0.34300000000000003</v>
      </c>
      <c r="K224" s="180">
        <f t="shared" si="27"/>
        <v>7.5460000000000003</v>
      </c>
      <c r="L224" s="178">
        <f t="shared" si="28"/>
        <v>1</v>
      </c>
      <c r="M224" s="178">
        <f>IF(E224="",0,IF(AND(OR(OR(Dashboard!$E$5="All",Dashboard!$E$5=""),AG224=Dashboard!$E$5),OR(OR(Dashboard!$H$5="All",Dashboard!$H$5=""),F224=Dashboard!$H$5),OR(OR(Dashboard!$B$5="All",Dashboard!$B$5=""),C224=Dashboard!$B$5),OR(OR(Dashboard!$K$5="All",Dashboard!$K$5=""),A224=Dashboard!$K$5),OR(OR(Dashboard!$N$5="All",Dashboard!$N$5=""),B224=Dashboard!$N$5),OR(OR(Dashboard!$Q$5="All",Dashboard!$Q$5=""),D224=Dashboard!$Q$5),OR(OR(Dashboard!$U$5="All",Dashboard!$U$5=""),E224=Dashboard!$U$5)),1,0))</f>
        <v>1</v>
      </c>
      <c r="N224" s="178">
        <f>IF(E224="",0,IF(AND(OR(OR(Dashboard!$E$5="All",Dashboard!$E$5=""),AG224=Dashboard!$E$5),OR(OR(Dashboard!$B$5="All",Dashboard!$B$5=""),C224=Dashboard!$B$5),OR(OR(Dashboard!$K$5="All",Dashboard!$K$5=""),A224=Dashboard!$K$5),OR(OR(Dashboard!$N$5="All",Dashboard!$N$5=""),B224=Dashboard!$N$5),OR(OR(Dashboard!$Q$5="All",Dashboard!$Q$5=""),D224=Dashboard!$Q$5),OR(OR(Dashboard!$U$5="All",Dashboard!$U$5=""),E224=Dashboard!$U$5)),1,0))</f>
        <v>1</v>
      </c>
      <c r="O224" s="165">
        <f t="shared" si="29"/>
        <v>0</v>
      </c>
      <c r="AG224" s="178" t="str">
        <f>IF(E224="","",IFERROR(IF(INDEX('Item Purchases'!$AM$4:$AM$30,MATCH(E224,'Item Purchases'!$B$4:$B$30,0))="","Uncategorised",INDEX('Item Purchases'!$AM$4:$AM$30,MATCH(E224,'Item Purchases'!$B$4:$B$30,0))),"Uncategorised"))</f>
        <v>Snacks</v>
      </c>
      <c r="AH224" s="165">
        <f>IF(AND(E224&lt;&gt;"",L224=1),COUNTIFS($E$2:E224,E224,$L$2:L224,1),0)</f>
        <v>9</v>
      </c>
      <c r="AI224" s="165">
        <f t="shared" si="30"/>
        <v>22</v>
      </c>
      <c r="AJ224" s="165">
        <f t="shared" si="31"/>
        <v>0</v>
      </c>
    </row>
    <row r="225" spans="1:36" x14ac:dyDescent="0.25">
      <c r="A225" s="177">
        <f t="shared" si="32"/>
        <v>46276</v>
      </c>
      <c r="B225" s="178" t="str">
        <f t="shared" si="26"/>
        <v>Fri</v>
      </c>
      <c r="C225" s="178" t="str">
        <f>'Pantry Inventory'!$A$34</f>
        <v>Sep Week 2</v>
      </c>
      <c r="D225" s="178" t="str">
        <f>IF('Pantry Inventory'!A44="","",'Pantry Inventory'!A44)</f>
        <v>Lays</v>
      </c>
      <c r="E225" s="178" t="str">
        <f>IF('Pantry Inventory'!B44="","",'Pantry Inventory'!B44)</f>
        <v>Lays Potato Chips (Original) 50g</v>
      </c>
      <c r="F225" s="178" t="str">
        <f>IF(E225="","",IFERROR(IF(INDEX('Item Purchases'!$S$4:$S$30,MATCH(E225,'Item Purchases'!$B$4:$B$30,0))="","Uncategorised",INDEX('Item Purchases'!$S$4:$S$30,MATCH(E225,'Item Purchases'!$B$4:$B$30,0))),"Uncategorised"))</f>
        <v>Savoury</v>
      </c>
      <c r="G225" s="178">
        <f>IF(E225="",0,'Pantry Inventory'!M44)</f>
        <v>24</v>
      </c>
      <c r="H225" s="178">
        <f>IF(E225="","",IF('Pantry Inventory'!N44="","",'Pantry Inventory'!N44))</f>
        <v>40</v>
      </c>
      <c r="I225" s="178">
        <f>IF(H225="","",'Pantry Inventory'!O44)</f>
        <v>2</v>
      </c>
      <c r="J225" s="179">
        <f>IF(E225="",0,IFERROR(INDEX('Item Purchases'!$Q$4:$Q$30,MATCH(E225,'Item Purchases'!$B$4:$B$30,0)),0))</f>
        <v>3.4580000000000002</v>
      </c>
      <c r="K225" s="180">
        <f t="shared" si="27"/>
        <v>6.9160000000000004</v>
      </c>
      <c r="L225" s="178">
        <f t="shared" si="28"/>
        <v>1</v>
      </c>
      <c r="M225" s="178">
        <f>IF(E225="",0,IF(AND(OR(OR(Dashboard!$E$5="All",Dashboard!$E$5=""),AG225=Dashboard!$E$5),OR(OR(Dashboard!$H$5="All",Dashboard!$H$5=""),F225=Dashboard!$H$5),OR(OR(Dashboard!$B$5="All",Dashboard!$B$5=""),C225=Dashboard!$B$5),OR(OR(Dashboard!$K$5="All",Dashboard!$K$5=""),A225=Dashboard!$K$5),OR(OR(Dashboard!$N$5="All",Dashboard!$N$5=""),B225=Dashboard!$N$5),OR(OR(Dashboard!$Q$5="All",Dashboard!$Q$5=""),D225=Dashboard!$Q$5),OR(OR(Dashboard!$U$5="All",Dashboard!$U$5=""),E225=Dashboard!$U$5)),1,0))</f>
        <v>1</v>
      </c>
      <c r="N225" s="178">
        <f>IF(E225="",0,IF(AND(OR(OR(Dashboard!$E$5="All",Dashboard!$E$5=""),AG225=Dashboard!$E$5),OR(OR(Dashboard!$B$5="All",Dashboard!$B$5=""),C225=Dashboard!$B$5),OR(OR(Dashboard!$K$5="All",Dashboard!$K$5=""),A225=Dashboard!$K$5),OR(OR(Dashboard!$N$5="All",Dashboard!$N$5=""),B225=Dashboard!$N$5),OR(OR(Dashboard!$Q$5="All",Dashboard!$Q$5=""),D225=Dashboard!$Q$5),OR(OR(Dashboard!$U$5="All",Dashboard!$U$5=""),E225=Dashboard!$U$5)),1,0))</f>
        <v>1</v>
      </c>
      <c r="O225" s="165">
        <f t="shared" si="29"/>
        <v>4</v>
      </c>
      <c r="AG225" s="178" t="str">
        <f>IF(E225="","",IFERROR(IF(INDEX('Item Purchases'!$AM$4:$AM$30,MATCH(E225,'Item Purchases'!$B$4:$B$30,0))="","Uncategorised",INDEX('Item Purchases'!$AM$4:$AM$30,MATCH(E225,'Item Purchases'!$B$4:$B$30,0))),"Uncategorised"))</f>
        <v>Snacks</v>
      </c>
      <c r="AH225" s="165">
        <f>IF(AND(E225&lt;&gt;"",L225=1),COUNTIFS($E$2:E225,E225,$L$2:L225,1),0)</f>
        <v>9</v>
      </c>
      <c r="AI225" s="165">
        <f t="shared" si="30"/>
        <v>2</v>
      </c>
      <c r="AJ225" s="165">
        <f t="shared" si="31"/>
        <v>1</v>
      </c>
    </row>
    <row r="226" spans="1:36" x14ac:dyDescent="0.25">
      <c r="A226" s="177">
        <f t="shared" si="32"/>
        <v>46276</v>
      </c>
      <c r="B226" s="178" t="str">
        <f t="shared" si="26"/>
        <v>Fri</v>
      </c>
      <c r="C226" s="178" t="str">
        <f>'Pantry Inventory'!$A$34</f>
        <v>Sep Week 2</v>
      </c>
      <c r="D226" s="178" t="str">
        <f>IF('Pantry Inventory'!A45="","",'Pantry Inventory'!A45)</f>
        <v>Lays</v>
      </c>
      <c r="E226" s="178" t="str">
        <f>IF('Pantry Inventory'!B45="","",'Pantry Inventory'!B45)</f>
        <v xml:space="preserve">Lays Double Crunch - Seaweed Flav (50g) </v>
      </c>
      <c r="F226" s="178" t="str">
        <f>IF(E226="","",IFERROR(IF(INDEX('Item Purchases'!$S$4:$S$30,MATCH(E226,'Item Purchases'!$B$4:$B$30,0))="","Uncategorised",INDEX('Item Purchases'!$S$4:$S$30,MATCH(E226,'Item Purchases'!$B$4:$B$30,0))),"Uncategorised"))</f>
        <v>Savoury</v>
      </c>
      <c r="G226" s="178">
        <f>IF(E226="",0,'Pantry Inventory'!M45)</f>
        <v>24</v>
      </c>
      <c r="H226" s="178">
        <f>IF(E226="","",IF('Pantry Inventory'!N45="","",'Pantry Inventory'!N45))</f>
        <v>31</v>
      </c>
      <c r="I226" s="178">
        <f>IF(H226="","",'Pantry Inventory'!O45)</f>
        <v>6</v>
      </c>
      <c r="J226" s="179">
        <f>IF(E226="",0,IFERROR(INDEX('Item Purchases'!$Q$4:$Q$30,MATCH(E226,'Item Purchases'!$B$4:$B$30,0)),0))</f>
        <v>4</v>
      </c>
      <c r="K226" s="180">
        <f t="shared" si="27"/>
        <v>24</v>
      </c>
      <c r="L226" s="178">
        <f t="shared" si="28"/>
        <v>1</v>
      </c>
      <c r="M226" s="178">
        <f>IF(E226="",0,IF(AND(OR(OR(Dashboard!$E$5="All",Dashboard!$E$5=""),AG226=Dashboard!$E$5),OR(OR(Dashboard!$H$5="All",Dashboard!$H$5=""),F226=Dashboard!$H$5),OR(OR(Dashboard!$B$5="All",Dashboard!$B$5=""),C226=Dashboard!$B$5),OR(OR(Dashboard!$K$5="All",Dashboard!$K$5=""),A226=Dashboard!$K$5),OR(OR(Dashboard!$N$5="All",Dashboard!$N$5=""),B226=Dashboard!$N$5),OR(OR(Dashboard!$Q$5="All",Dashboard!$Q$5=""),D226=Dashboard!$Q$5),OR(OR(Dashboard!$U$5="All",Dashboard!$U$5=""),E226=Dashboard!$U$5)),1,0))</f>
        <v>1</v>
      </c>
      <c r="N226" s="178">
        <f>IF(E226="",0,IF(AND(OR(OR(Dashboard!$E$5="All",Dashboard!$E$5=""),AG226=Dashboard!$E$5),OR(OR(Dashboard!$B$5="All",Dashboard!$B$5=""),C226=Dashboard!$B$5),OR(OR(Dashboard!$K$5="All",Dashboard!$K$5=""),A226=Dashboard!$K$5),OR(OR(Dashboard!$N$5="All",Dashboard!$N$5=""),B226=Dashboard!$N$5),OR(OR(Dashboard!$Q$5="All",Dashboard!$Q$5=""),D226=Dashboard!$Q$5),OR(OR(Dashboard!$U$5="All",Dashboard!$U$5=""),E226=Dashboard!$U$5)),1,0))</f>
        <v>1</v>
      </c>
      <c r="O226" s="165">
        <f t="shared" si="29"/>
        <v>36</v>
      </c>
      <c r="AG226" s="178" t="str">
        <f>IF(E226="","",IFERROR(IF(INDEX('Item Purchases'!$AM$4:$AM$30,MATCH(E226,'Item Purchases'!$B$4:$B$30,0))="","Uncategorised",INDEX('Item Purchases'!$AM$4:$AM$30,MATCH(E226,'Item Purchases'!$B$4:$B$30,0))),"Uncategorised"))</f>
        <v>Snacks</v>
      </c>
      <c r="AH226" s="165">
        <f>IF(AND(E226&lt;&gt;"",L226=1),COUNTIFS($E$2:E226,E226,$L$2:L226,1),0)</f>
        <v>9</v>
      </c>
      <c r="AI226" s="165">
        <f t="shared" si="30"/>
        <v>6</v>
      </c>
      <c r="AJ226" s="165">
        <f t="shared" si="31"/>
        <v>1</v>
      </c>
    </row>
    <row r="227" spans="1:36" x14ac:dyDescent="0.25">
      <c r="A227" s="177">
        <f t="shared" si="32"/>
        <v>46276</v>
      </c>
      <c r="B227" s="178" t="str">
        <f t="shared" si="26"/>
        <v>Fri</v>
      </c>
      <c r="C227" s="178" t="str">
        <f>'Pantry Inventory'!$A$34</f>
        <v>Sep Week 2</v>
      </c>
      <c r="D227" s="178" t="str">
        <f>IF('Pantry Inventory'!A46="","",'Pantry Inventory'!A46)</f>
        <v>Munchy</v>
      </c>
      <c r="E227" s="178" t="str">
        <f>IF('Pantry Inventory'!B46="","",'Pantry Inventory'!B46)</f>
        <v>Munchy Oat Krunch - Dark Choco</v>
      </c>
      <c r="F227" s="178" t="str">
        <f>IF(E227="","",IFERROR(IF(INDEX('Item Purchases'!$S$4:$S$30,MATCH(E227,'Item Purchases'!$B$4:$B$30,0))="","Uncategorised",INDEX('Item Purchases'!$S$4:$S$30,MATCH(E227,'Item Purchases'!$B$4:$B$30,0))),"Uncategorised"))</f>
        <v>Sweet</v>
      </c>
      <c r="G227" s="178">
        <f>IF(E227="",0,'Pantry Inventory'!M46)</f>
        <v>0</v>
      </c>
      <c r="H227" s="178">
        <f>IF(E227="","",IF('Pantry Inventory'!N46="","",'Pantry Inventory'!N46))</f>
        <v>12</v>
      </c>
      <c r="I227" s="178">
        <f>IF(H227="","",'Pantry Inventory'!O46)</f>
        <v>18</v>
      </c>
      <c r="J227" s="179">
        <f>IF(E227="",0,IFERROR(INDEX('Item Purchases'!$Q$4:$Q$30,MATCH(E227,'Item Purchases'!$B$4:$B$30,0)),0))</f>
        <v>0.73</v>
      </c>
      <c r="K227" s="180">
        <f t="shared" si="27"/>
        <v>13.14</v>
      </c>
      <c r="L227" s="178">
        <f t="shared" si="28"/>
        <v>1</v>
      </c>
      <c r="M227" s="178">
        <f>IF(E227="",0,IF(AND(OR(OR(Dashboard!$E$5="All",Dashboard!$E$5=""),AG227=Dashboard!$E$5),OR(OR(Dashboard!$H$5="All",Dashboard!$H$5=""),F227=Dashboard!$H$5),OR(OR(Dashboard!$B$5="All",Dashboard!$B$5=""),C227=Dashboard!$B$5),OR(OR(Dashboard!$K$5="All",Dashboard!$K$5=""),A227=Dashboard!$K$5),OR(OR(Dashboard!$N$5="All",Dashboard!$N$5=""),B227=Dashboard!$N$5),OR(OR(Dashboard!$Q$5="All",Dashboard!$Q$5=""),D227=Dashboard!$Q$5),OR(OR(Dashboard!$U$5="All",Dashboard!$U$5=""),E227=Dashboard!$U$5)),1,0))</f>
        <v>1</v>
      </c>
      <c r="N227" s="178">
        <f>IF(E227="",0,IF(AND(OR(OR(Dashboard!$E$5="All",Dashboard!$E$5=""),AG227=Dashboard!$E$5),OR(OR(Dashboard!$B$5="All",Dashboard!$B$5=""),C227=Dashboard!$B$5),OR(OR(Dashboard!$K$5="All",Dashboard!$K$5=""),A227=Dashboard!$K$5),OR(OR(Dashboard!$N$5="All",Dashboard!$N$5=""),B227=Dashboard!$N$5),OR(OR(Dashboard!$Q$5="All",Dashboard!$Q$5=""),D227=Dashboard!$Q$5),OR(OR(Dashboard!$U$5="All",Dashboard!$U$5=""),E227=Dashboard!$U$5)),1,0))</f>
        <v>1</v>
      </c>
      <c r="O227" s="165">
        <f t="shared" si="29"/>
        <v>324</v>
      </c>
      <c r="AG227" s="178" t="str">
        <f>IF(E227="","",IFERROR(IF(INDEX('Item Purchases'!$AM$4:$AM$30,MATCH(E227,'Item Purchases'!$B$4:$B$30,0))="","Uncategorised",INDEX('Item Purchases'!$AM$4:$AM$30,MATCH(E227,'Item Purchases'!$B$4:$B$30,0))),"Uncategorised"))</f>
        <v>Snacks</v>
      </c>
      <c r="AH227" s="165">
        <f>IF(AND(E227&lt;&gt;"",L227=1),COUNTIFS($E$2:E227,E227,$L$2:L227,1),0)</f>
        <v>9</v>
      </c>
      <c r="AI227" s="165">
        <f t="shared" si="30"/>
        <v>18</v>
      </c>
      <c r="AJ227" s="165">
        <f t="shared" si="31"/>
        <v>1</v>
      </c>
    </row>
    <row r="228" spans="1:36" x14ac:dyDescent="0.25">
      <c r="A228" s="177">
        <f t="shared" si="32"/>
        <v>46276</v>
      </c>
      <c r="B228" s="178" t="str">
        <f t="shared" si="26"/>
        <v>Fri</v>
      </c>
      <c r="C228" s="178" t="str">
        <f>'Pantry Inventory'!$A$34</f>
        <v>Sep Week 2</v>
      </c>
      <c r="D228" s="178" t="str">
        <f>IF('Pantry Inventory'!A47="","",'Pantry Inventory'!A47)</f>
        <v>Munchy</v>
      </c>
      <c r="E228" s="178" t="str">
        <f>IF('Pantry Inventory'!B47="","",'Pantry Inventory'!B47)</f>
        <v>Munchy Oat Krunch - Strawberry &amp; Blackcurrant</v>
      </c>
      <c r="F228" s="178" t="str">
        <f>IF(E228="","",IFERROR(IF(INDEX('Item Purchases'!$S$4:$S$30,MATCH(E228,'Item Purchases'!$B$4:$B$30,0))="","Uncategorised",INDEX('Item Purchases'!$S$4:$S$30,MATCH(E228,'Item Purchases'!$B$4:$B$30,0))),"Uncategorised"))</f>
        <v>Sweet</v>
      </c>
      <c r="G228" s="178">
        <f>IF(E228="",0,'Pantry Inventory'!M47)</f>
        <v>0</v>
      </c>
      <c r="H228" s="178">
        <f>IF(E228="","",IF('Pantry Inventory'!N47="","",'Pantry Inventory'!N47))</f>
        <v>34</v>
      </c>
      <c r="I228" s="178">
        <f>IF(H228="","",'Pantry Inventory'!O47)</f>
        <v>3</v>
      </c>
      <c r="J228" s="179">
        <f>IF(E228="",0,IFERROR(INDEX('Item Purchases'!$Q$4:$Q$30,MATCH(E228,'Item Purchases'!$B$4:$B$30,0)),0))</f>
        <v>0.73</v>
      </c>
      <c r="K228" s="180">
        <f t="shared" si="27"/>
        <v>2.19</v>
      </c>
      <c r="L228" s="178">
        <f t="shared" si="28"/>
        <v>1</v>
      </c>
      <c r="M228" s="178">
        <f>IF(E228="",0,IF(AND(OR(OR(Dashboard!$E$5="All",Dashboard!$E$5=""),AG228=Dashboard!$E$5),OR(OR(Dashboard!$H$5="All",Dashboard!$H$5=""),F228=Dashboard!$H$5),OR(OR(Dashboard!$B$5="All",Dashboard!$B$5=""),C228=Dashboard!$B$5),OR(OR(Dashboard!$K$5="All",Dashboard!$K$5=""),A228=Dashboard!$K$5),OR(OR(Dashboard!$N$5="All",Dashboard!$N$5=""),B228=Dashboard!$N$5),OR(OR(Dashboard!$Q$5="All",Dashboard!$Q$5=""),D228=Dashboard!$Q$5),OR(OR(Dashboard!$U$5="All",Dashboard!$U$5=""),E228=Dashboard!$U$5)),1,0))</f>
        <v>1</v>
      </c>
      <c r="N228" s="178">
        <f>IF(E228="",0,IF(AND(OR(OR(Dashboard!$E$5="All",Dashboard!$E$5=""),AG228=Dashboard!$E$5),OR(OR(Dashboard!$B$5="All",Dashboard!$B$5=""),C228=Dashboard!$B$5),OR(OR(Dashboard!$K$5="All",Dashboard!$K$5=""),A228=Dashboard!$K$5),OR(OR(Dashboard!$N$5="All",Dashboard!$N$5=""),B228=Dashboard!$N$5),OR(OR(Dashboard!$Q$5="All",Dashboard!$Q$5=""),D228=Dashboard!$Q$5),OR(OR(Dashboard!$U$5="All",Dashboard!$U$5=""),E228=Dashboard!$U$5)),1,0))</f>
        <v>1</v>
      </c>
      <c r="O228" s="165">
        <f t="shared" si="29"/>
        <v>9</v>
      </c>
      <c r="AG228" s="178" t="str">
        <f>IF(E228="","",IFERROR(IF(INDEX('Item Purchases'!$AM$4:$AM$30,MATCH(E228,'Item Purchases'!$B$4:$B$30,0))="","Uncategorised",INDEX('Item Purchases'!$AM$4:$AM$30,MATCH(E228,'Item Purchases'!$B$4:$B$30,0))),"Uncategorised"))</f>
        <v>Snacks</v>
      </c>
      <c r="AH228" s="165">
        <f>IF(AND(E228&lt;&gt;"",L228=1),COUNTIFS($E$2:E228,E228,$L$2:L228,1),0)</f>
        <v>9</v>
      </c>
      <c r="AI228" s="165">
        <f t="shared" si="30"/>
        <v>3</v>
      </c>
      <c r="AJ228" s="165">
        <f t="shared" si="31"/>
        <v>1</v>
      </c>
    </row>
    <row r="229" spans="1:36" x14ac:dyDescent="0.25">
      <c r="A229" s="177">
        <f t="shared" si="32"/>
        <v>46276</v>
      </c>
      <c r="B229" s="178" t="str">
        <f t="shared" si="26"/>
        <v>Fri</v>
      </c>
      <c r="C229" s="178" t="str">
        <f>'Pantry Inventory'!$A$34</f>
        <v>Sep Week 2</v>
      </c>
      <c r="D229" s="178" t="str">
        <f>IF('Pantry Inventory'!A48="","",'Pantry Inventory'!A48)</f>
        <v/>
      </c>
      <c r="E229" s="178" t="str">
        <f>IF('Pantry Inventory'!B48="","",'Pantry Inventory'!B48)</f>
        <v/>
      </c>
      <c r="F229" s="178" t="str">
        <f>IF(E229="","",IFERROR(IF(INDEX('Item Purchases'!$S$4:$S$30,MATCH(E229,'Item Purchases'!$B$4:$B$30,0))="","Uncategorised",INDEX('Item Purchases'!$S$4:$S$30,MATCH(E229,'Item Purchases'!$B$4:$B$30,0))),"Uncategorised"))</f>
        <v/>
      </c>
      <c r="G229" s="178">
        <f>IF(E229="",0,'Pantry Inventory'!M48)</f>
        <v>0</v>
      </c>
      <c r="H229" s="178" t="str">
        <f>IF(E229="","",IF('Pantry Inventory'!N48="","",'Pantry Inventory'!N48))</f>
        <v/>
      </c>
      <c r="I229" s="178" t="str">
        <f>IF(H229="","",'Pantry Inventory'!O48)</f>
        <v/>
      </c>
      <c r="J229" s="179">
        <f>IF(E229="",0,IFERROR(INDEX('Item Purchases'!$Q$4:$Q$30,MATCH(E229,'Item Purchases'!$B$4:$B$30,0)),0))</f>
        <v>0</v>
      </c>
      <c r="K229" s="180" t="str">
        <f t="shared" si="27"/>
        <v/>
      </c>
      <c r="L229" s="178">
        <f t="shared" si="28"/>
        <v>0</v>
      </c>
      <c r="M229" s="178">
        <f>IF(E229="",0,IF(AND(OR(OR(Dashboard!$E$5="All",Dashboard!$E$5=""),AG229=Dashboard!$E$5),OR(OR(Dashboard!$H$5="All",Dashboard!$H$5=""),F229=Dashboard!$H$5),OR(OR(Dashboard!$B$5="All",Dashboard!$B$5=""),C229=Dashboard!$B$5),OR(OR(Dashboard!$K$5="All",Dashboard!$K$5=""),A229=Dashboard!$K$5),OR(OR(Dashboard!$N$5="All",Dashboard!$N$5=""),B229=Dashboard!$N$5),OR(OR(Dashboard!$Q$5="All",Dashboard!$Q$5=""),D229=Dashboard!$Q$5),OR(OR(Dashboard!$U$5="All",Dashboard!$U$5=""),E229=Dashboard!$U$5)),1,0))</f>
        <v>0</v>
      </c>
      <c r="N229" s="178">
        <f>IF(E229="",0,IF(AND(OR(OR(Dashboard!$E$5="All",Dashboard!$E$5=""),AG229=Dashboard!$E$5),OR(OR(Dashboard!$B$5="All",Dashboard!$B$5=""),C229=Dashboard!$B$5),OR(OR(Dashboard!$K$5="All",Dashboard!$K$5=""),A229=Dashboard!$K$5),OR(OR(Dashboard!$N$5="All",Dashboard!$N$5=""),B229=Dashboard!$N$5),OR(OR(Dashboard!$Q$5="All",Dashboard!$Q$5=""),D229=Dashboard!$Q$5),OR(OR(Dashboard!$U$5="All",Dashboard!$U$5=""),E229=Dashboard!$U$5)),1,0))</f>
        <v>0</v>
      </c>
      <c r="O229" s="165">
        <f t="shared" si="29"/>
        <v>0</v>
      </c>
      <c r="AG229" s="178" t="str">
        <f>IF(E229="","",IFERROR(IF(INDEX('Item Purchases'!$AM$4:$AM$30,MATCH(E229,'Item Purchases'!$B$4:$B$30,0))="","Uncategorised",INDEX('Item Purchases'!$AM$4:$AM$30,MATCH(E229,'Item Purchases'!$B$4:$B$30,0))),"Uncategorised"))</f>
        <v/>
      </c>
      <c r="AH229" s="165">
        <f>IF(AND(E229&lt;&gt;"",L229=1),COUNTIFS($E$2:E229,E229,$L$2:L229,1),0)</f>
        <v>0</v>
      </c>
      <c r="AI229" s="165">
        <f t="shared" si="30"/>
        <v>0</v>
      </c>
      <c r="AJ229" s="165">
        <f t="shared" si="31"/>
        <v>0</v>
      </c>
    </row>
    <row r="230" spans="1:36" x14ac:dyDescent="0.25">
      <c r="A230" s="177">
        <f t="shared" si="32"/>
        <v>46276</v>
      </c>
      <c r="B230" s="178" t="str">
        <f t="shared" si="26"/>
        <v>Fri</v>
      </c>
      <c r="C230" s="178" t="str">
        <f>'Pantry Inventory'!$A$34</f>
        <v>Sep Week 2</v>
      </c>
      <c r="D230" s="178" t="str">
        <f>IF('Pantry Inventory'!A49="","",'Pantry Inventory'!A49)</f>
        <v>Nestle</v>
      </c>
      <c r="E230" s="178" t="str">
        <f>IF('Pantry Inventory'!B49="","",'Pantry Inventory'!B49)</f>
        <v>Milo 200ml</v>
      </c>
      <c r="F230" s="178" t="str">
        <f>IF(E230="","",IFERROR(IF(INDEX('Item Purchases'!$S$4:$S$30,MATCH(E230,'Item Purchases'!$B$4:$B$30,0))="","Uncategorised",INDEX('Item Purchases'!$S$4:$S$30,MATCH(E230,'Item Purchases'!$B$4:$B$30,0))),"Uncategorised"))</f>
        <v>Other</v>
      </c>
      <c r="G230" s="178">
        <f>IF(E230="",0,'Pantry Inventory'!M49)</f>
        <v>0</v>
      </c>
      <c r="H230" s="178">
        <f>IF(E230="","",IF('Pantry Inventory'!N49="","",'Pantry Inventory'!N49))</f>
        <v>38</v>
      </c>
      <c r="I230" s="178">
        <f>IF(H230="","",'Pantry Inventory'!O49)</f>
        <v>11</v>
      </c>
      <c r="J230" s="179">
        <f>IF(E230="",0,IFERROR(INDEX('Item Purchases'!$Q$4:$Q$30,MATCH(E230,'Item Purchases'!$B$4:$B$30,0)),0))</f>
        <v>2.37</v>
      </c>
      <c r="K230" s="180">
        <f t="shared" si="27"/>
        <v>26.07</v>
      </c>
      <c r="L230" s="178">
        <f t="shared" si="28"/>
        <v>1</v>
      </c>
      <c r="M230" s="178">
        <f>IF(E230="",0,IF(AND(OR(OR(Dashboard!$E$5="All",Dashboard!$E$5=""),AG230=Dashboard!$E$5),OR(OR(Dashboard!$H$5="All",Dashboard!$H$5=""),F230=Dashboard!$H$5),OR(OR(Dashboard!$B$5="All",Dashboard!$B$5=""),C230=Dashboard!$B$5),OR(OR(Dashboard!$K$5="All",Dashboard!$K$5=""),A230=Dashboard!$K$5),OR(OR(Dashboard!$N$5="All",Dashboard!$N$5=""),B230=Dashboard!$N$5),OR(OR(Dashboard!$Q$5="All",Dashboard!$Q$5=""),D230=Dashboard!$Q$5),OR(OR(Dashboard!$U$5="All",Dashboard!$U$5=""),E230=Dashboard!$U$5)),1,0))</f>
        <v>1</v>
      </c>
      <c r="N230" s="178">
        <f>IF(E230="",0,IF(AND(OR(OR(Dashboard!$E$5="All",Dashboard!$E$5=""),AG230=Dashboard!$E$5),OR(OR(Dashboard!$B$5="All",Dashboard!$B$5=""),C230=Dashboard!$B$5),OR(OR(Dashboard!$K$5="All",Dashboard!$K$5=""),A230=Dashboard!$K$5),OR(OR(Dashboard!$N$5="All",Dashboard!$N$5=""),B230=Dashboard!$N$5),OR(OR(Dashboard!$Q$5="All",Dashboard!$Q$5=""),D230=Dashboard!$Q$5),OR(OR(Dashboard!$U$5="All",Dashboard!$U$5=""),E230=Dashboard!$U$5)),1,0))</f>
        <v>1</v>
      </c>
      <c r="O230" s="165">
        <f t="shared" si="29"/>
        <v>121</v>
      </c>
      <c r="AG230" s="178" t="str">
        <f>IF(E230="","",IFERROR(IF(INDEX('Item Purchases'!$AM$4:$AM$30,MATCH(E230,'Item Purchases'!$B$4:$B$30,0))="","Uncategorised",INDEX('Item Purchases'!$AM$4:$AM$30,MATCH(E230,'Item Purchases'!$B$4:$B$30,0))),"Uncategorised"))</f>
        <v>Beverages</v>
      </c>
      <c r="AH230" s="165">
        <f>IF(AND(E230&lt;&gt;"",L230=1),COUNTIFS($E$2:E230,E230,$L$2:L230,1),0)</f>
        <v>9</v>
      </c>
      <c r="AI230" s="165">
        <f t="shared" si="30"/>
        <v>11</v>
      </c>
      <c r="AJ230" s="165">
        <f t="shared" si="31"/>
        <v>1</v>
      </c>
    </row>
    <row r="231" spans="1:36" x14ac:dyDescent="0.25">
      <c r="A231" s="177">
        <f t="shared" si="32"/>
        <v>46276</v>
      </c>
      <c r="B231" s="178" t="str">
        <f t="shared" si="26"/>
        <v>Fri</v>
      </c>
      <c r="C231" s="178" t="str">
        <f>'Pantry Inventory'!$A$34</f>
        <v>Sep Week 2</v>
      </c>
      <c r="D231" s="178" t="str">
        <f>IF('Pantry Inventory'!A50="","",'Pantry Inventory'!A50)</f>
        <v>Nestle</v>
      </c>
      <c r="E231" s="178" t="str">
        <f>IF('Pantry Inventory'!B50="","",'Pantry Inventory'!B50)</f>
        <v>Nescafe Latte 240ml</v>
      </c>
      <c r="F231" s="178" t="str">
        <f>IF(E231="","",IFERROR(IF(INDEX('Item Purchases'!$S$4:$S$30,MATCH(E231,'Item Purchases'!$B$4:$B$30,0))="","Uncategorised",INDEX('Item Purchases'!$S$4:$S$30,MATCH(E231,'Item Purchases'!$B$4:$B$30,0))),"Uncategorised"))</f>
        <v>Coffee</v>
      </c>
      <c r="G231" s="178">
        <f>IF(E231="",0,'Pantry Inventory'!M50)</f>
        <v>0</v>
      </c>
      <c r="H231" s="178">
        <f>IF(E231="","",IF('Pantry Inventory'!N50="","",'Pantry Inventory'!N50))</f>
        <v>34</v>
      </c>
      <c r="I231" s="178">
        <f>IF(H231="","",'Pantry Inventory'!O50)</f>
        <v>1</v>
      </c>
      <c r="J231" s="179">
        <f>IF(E231="",0,IFERROR(INDEX('Item Purchases'!$Q$4:$Q$30,MATCH(E231,'Item Purchases'!$B$4:$B$30,0)),0))</f>
        <v>2.1875</v>
      </c>
      <c r="K231" s="180">
        <f t="shared" si="27"/>
        <v>2.1875</v>
      </c>
      <c r="L231" s="178">
        <f t="shared" si="28"/>
        <v>1</v>
      </c>
      <c r="M231" s="178">
        <f>IF(E231="",0,IF(AND(OR(OR(Dashboard!$E$5="All",Dashboard!$E$5=""),AG231=Dashboard!$E$5),OR(OR(Dashboard!$H$5="All",Dashboard!$H$5=""),F231=Dashboard!$H$5),OR(OR(Dashboard!$B$5="All",Dashboard!$B$5=""),C231=Dashboard!$B$5),OR(OR(Dashboard!$K$5="All",Dashboard!$K$5=""),A231=Dashboard!$K$5),OR(OR(Dashboard!$N$5="All",Dashboard!$N$5=""),B231=Dashboard!$N$5),OR(OR(Dashboard!$Q$5="All",Dashboard!$Q$5=""),D231=Dashboard!$Q$5),OR(OR(Dashboard!$U$5="All",Dashboard!$U$5=""),E231=Dashboard!$U$5)),1,0))</f>
        <v>1</v>
      </c>
      <c r="N231" s="178">
        <f>IF(E231="",0,IF(AND(OR(OR(Dashboard!$E$5="All",Dashboard!$E$5=""),AG231=Dashboard!$E$5),OR(OR(Dashboard!$B$5="All",Dashboard!$B$5=""),C231=Dashboard!$B$5),OR(OR(Dashboard!$K$5="All",Dashboard!$K$5=""),A231=Dashboard!$K$5),OR(OR(Dashboard!$N$5="All",Dashboard!$N$5=""),B231=Dashboard!$N$5),OR(OR(Dashboard!$Q$5="All",Dashboard!$Q$5=""),D231=Dashboard!$Q$5),OR(OR(Dashboard!$U$5="All",Dashboard!$U$5=""),E231=Dashboard!$U$5)),1,0))</f>
        <v>1</v>
      </c>
      <c r="O231" s="165">
        <f t="shared" si="29"/>
        <v>1</v>
      </c>
      <c r="AG231" s="178" t="str">
        <f>IF(E231="","",IFERROR(IF(INDEX('Item Purchases'!$AM$4:$AM$30,MATCH(E231,'Item Purchases'!$B$4:$B$30,0))="","Uncategorised",INDEX('Item Purchases'!$AM$4:$AM$30,MATCH(E231,'Item Purchases'!$B$4:$B$30,0))),"Uncategorised"))</f>
        <v>Beverages</v>
      </c>
      <c r="AH231" s="165">
        <f>IF(AND(E231&lt;&gt;"",L231=1),COUNTIFS($E$2:E231,E231,$L$2:L231,1),0)</f>
        <v>9</v>
      </c>
      <c r="AI231" s="165">
        <f t="shared" si="30"/>
        <v>1</v>
      </c>
      <c r="AJ231" s="165">
        <f t="shared" si="31"/>
        <v>1</v>
      </c>
    </row>
    <row r="232" spans="1:36" x14ac:dyDescent="0.25">
      <c r="A232" s="177">
        <f t="shared" si="32"/>
        <v>46276</v>
      </c>
      <c r="B232" s="178" t="str">
        <f t="shared" si="26"/>
        <v>Fri</v>
      </c>
      <c r="C232" s="178" t="str">
        <f>'Pantry Inventory'!$A$34</f>
        <v>Sep Week 2</v>
      </c>
      <c r="D232" s="178" t="str">
        <f>IF('Pantry Inventory'!A51="","",'Pantry Inventory'!A51)</f>
        <v>Nestle</v>
      </c>
      <c r="E232" s="178" t="str">
        <f>IF('Pantry Inventory'!B51="","",'Pantry Inventory'!B51)</f>
        <v>Nescafe original 240ml</v>
      </c>
      <c r="F232" s="178" t="str">
        <f>IF(E232="","",IFERROR(IF(INDEX('Item Purchases'!$S$4:$S$30,MATCH(E232,'Item Purchases'!$B$4:$B$30,0))="","Uncategorised",INDEX('Item Purchases'!$S$4:$S$30,MATCH(E232,'Item Purchases'!$B$4:$B$30,0))),"Uncategorised"))</f>
        <v>Coffee</v>
      </c>
      <c r="G232" s="178">
        <f>IF(E232="",0,'Pantry Inventory'!M51)</f>
        <v>0</v>
      </c>
      <c r="H232" s="178">
        <f>IF(E232="","",IF('Pantry Inventory'!N51="","",'Pantry Inventory'!N51))</f>
        <v>29</v>
      </c>
      <c r="I232" s="178">
        <f>IF(H232="","",'Pantry Inventory'!O51)</f>
        <v>2</v>
      </c>
      <c r="J232" s="179">
        <f>IF(E232="",0,IFERROR(INDEX('Item Purchases'!$Q$4:$Q$30,MATCH(E232,'Item Purchases'!$B$4:$B$30,0)),0))</f>
        <v>2.1875</v>
      </c>
      <c r="K232" s="180">
        <f t="shared" si="27"/>
        <v>4.375</v>
      </c>
      <c r="L232" s="178">
        <f t="shared" si="28"/>
        <v>1</v>
      </c>
      <c r="M232" s="178">
        <f>IF(E232="",0,IF(AND(OR(OR(Dashboard!$E$5="All",Dashboard!$E$5=""),AG232=Dashboard!$E$5),OR(OR(Dashboard!$H$5="All",Dashboard!$H$5=""),F232=Dashboard!$H$5),OR(OR(Dashboard!$B$5="All",Dashboard!$B$5=""),C232=Dashboard!$B$5),OR(OR(Dashboard!$K$5="All",Dashboard!$K$5=""),A232=Dashboard!$K$5),OR(OR(Dashboard!$N$5="All",Dashboard!$N$5=""),B232=Dashboard!$N$5),OR(OR(Dashboard!$Q$5="All",Dashboard!$Q$5=""),D232=Dashboard!$Q$5),OR(OR(Dashboard!$U$5="All",Dashboard!$U$5=""),E232=Dashboard!$U$5)),1,0))</f>
        <v>1</v>
      </c>
      <c r="N232" s="178">
        <f>IF(E232="",0,IF(AND(OR(OR(Dashboard!$E$5="All",Dashboard!$E$5=""),AG232=Dashboard!$E$5),OR(OR(Dashboard!$B$5="All",Dashboard!$B$5=""),C232=Dashboard!$B$5),OR(OR(Dashboard!$K$5="All",Dashboard!$K$5=""),A232=Dashboard!$K$5),OR(OR(Dashboard!$N$5="All",Dashboard!$N$5=""),B232=Dashboard!$N$5),OR(OR(Dashboard!$Q$5="All",Dashboard!$Q$5=""),D232=Dashboard!$Q$5),OR(OR(Dashboard!$U$5="All",Dashboard!$U$5=""),E232=Dashboard!$U$5)),1,0))</f>
        <v>1</v>
      </c>
      <c r="O232" s="165">
        <f t="shared" si="29"/>
        <v>4</v>
      </c>
      <c r="AG232" s="178" t="str">
        <f>IF(E232="","",IFERROR(IF(INDEX('Item Purchases'!$AM$4:$AM$30,MATCH(E232,'Item Purchases'!$B$4:$B$30,0))="","Uncategorised",INDEX('Item Purchases'!$AM$4:$AM$30,MATCH(E232,'Item Purchases'!$B$4:$B$30,0))),"Uncategorised"))</f>
        <v>Beverages</v>
      </c>
      <c r="AH232" s="165">
        <f>IF(AND(E232&lt;&gt;"",L232=1),COUNTIFS($E$2:E232,E232,$L$2:L232,1),0)</f>
        <v>9</v>
      </c>
      <c r="AI232" s="165">
        <f t="shared" si="30"/>
        <v>2</v>
      </c>
      <c r="AJ232" s="165">
        <f t="shared" si="31"/>
        <v>1</v>
      </c>
    </row>
    <row r="233" spans="1:36" x14ac:dyDescent="0.25">
      <c r="A233" s="177">
        <f t="shared" si="32"/>
        <v>46276</v>
      </c>
      <c r="B233" s="178" t="str">
        <f t="shared" si="26"/>
        <v>Fri</v>
      </c>
      <c r="C233" s="178" t="str">
        <f>'Pantry Inventory'!$A$34</f>
        <v>Sep Week 2</v>
      </c>
      <c r="D233" s="178" t="str">
        <f>IF('Pantry Inventory'!A52="","",'Pantry Inventory'!A52)</f>
        <v>COWA</v>
      </c>
      <c r="E233" s="178" t="str">
        <f>IF('Pantry Inventory'!B52="","",'Pantry Inventory'!B52)</f>
        <v>COWA Coconut Water 330 ml</v>
      </c>
      <c r="F233" s="178" t="str">
        <f>IF(E233="","",IFERROR(IF(INDEX('Item Purchases'!$S$4:$S$30,MATCH(E233,'Item Purchases'!$B$4:$B$30,0))="","Uncategorised",INDEX('Item Purchases'!$S$4:$S$30,MATCH(E233,'Item Purchases'!$B$4:$B$30,0))),"Uncategorised"))</f>
        <v>Other</v>
      </c>
      <c r="G233" s="178">
        <f>IF(E233="",0,'Pantry Inventory'!M52)</f>
        <v>48</v>
      </c>
      <c r="H233" s="178">
        <f>IF(E233="","",IF('Pantry Inventory'!N52="","",'Pantry Inventory'!N52))</f>
        <v>87</v>
      </c>
      <c r="I233" s="178">
        <f>IF(H233="","",'Pantry Inventory'!O52)</f>
        <v>29</v>
      </c>
      <c r="J233" s="179">
        <f>IF(E233="",0,IFERROR(INDEX('Item Purchases'!$Q$4:$Q$30,MATCH(E233,'Item Purchases'!$B$4:$B$30,0)),0))</f>
        <v>3</v>
      </c>
      <c r="K233" s="180">
        <f t="shared" si="27"/>
        <v>87</v>
      </c>
      <c r="L233" s="178">
        <f t="shared" si="28"/>
        <v>1</v>
      </c>
      <c r="M233" s="178">
        <f>IF(E233="",0,IF(AND(OR(OR(Dashboard!$E$5="All",Dashboard!$E$5=""),AG233=Dashboard!$E$5),OR(OR(Dashboard!$H$5="All",Dashboard!$H$5=""),F233=Dashboard!$H$5),OR(OR(Dashboard!$B$5="All",Dashboard!$B$5=""),C233=Dashboard!$B$5),OR(OR(Dashboard!$K$5="All",Dashboard!$K$5=""),A233=Dashboard!$K$5),OR(OR(Dashboard!$N$5="All",Dashboard!$N$5=""),B233=Dashboard!$N$5),OR(OR(Dashboard!$Q$5="All",Dashboard!$Q$5=""),D233=Dashboard!$Q$5),OR(OR(Dashboard!$U$5="All",Dashboard!$U$5=""),E233=Dashboard!$U$5)),1,0))</f>
        <v>1</v>
      </c>
      <c r="N233" s="178">
        <f>IF(E233="",0,IF(AND(OR(OR(Dashboard!$E$5="All",Dashboard!$E$5=""),AG233=Dashboard!$E$5),OR(OR(Dashboard!$B$5="All",Dashboard!$B$5=""),C233=Dashboard!$B$5),OR(OR(Dashboard!$K$5="All",Dashboard!$K$5=""),A233=Dashboard!$K$5),OR(OR(Dashboard!$N$5="All",Dashboard!$N$5=""),B233=Dashboard!$N$5),OR(OR(Dashboard!$Q$5="All",Dashboard!$Q$5=""),D233=Dashboard!$Q$5),OR(OR(Dashboard!$U$5="All",Dashboard!$U$5=""),E233=Dashboard!$U$5)),1,0))</f>
        <v>1</v>
      </c>
      <c r="O233" s="165">
        <f t="shared" si="29"/>
        <v>841</v>
      </c>
      <c r="AG233" s="178" t="str">
        <f>IF(E233="","",IFERROR(IF(INDEX('Item Purchases'!$AM$4:$AM$30,MATCH(E233,'Item Purchases'!$B$4:$B$30,0))="","Uncategorised",INDEX('Item Purchases'!$AM$4:$AM$30,MATCH(E233,'Item Purchases'!$B$4:$B$30,0))),"Uncategorised"))</f>
        <v>Beverages</v>
      </c>
      <c r="AH233" s="165">
        <f>IF(AND(E233&lt;&gt;"",L233=1),COUNTIFS($E$2:E233,E233,$L$2:L233,1),0)</f>
        <v>9</v>
      </c>
      <c r="AI233" s="165">
        <f t="shared" si="30"/>
        <v>29</v>
      </c>
      <c r="AJ233" s="165">
        <f t="shared" si="31"/>
        <v>1</v>
      </c>
    </row>
    <row r="234" spans="1:36" x14ac:dyDescent="0.25">
      <c r="A234" s="177">
        <f t="shared" si="32"/>
        <v>46276</v>
      </c>
      <c r="B234" s="178" t="str">
        <f t="shared" si="26"/>
        <v>Fri</v>
      </c>
      <c r="C234" s="178" t="str">
        <f>'Pantry Inventory'!$A$34</f>
        <v>Sep Week 2</v>
      </c>
      <c r="D234" s="178" t="str">
        <f>IF('Pantry Inventory'!A53="","",'Pantry Inventory'!A53)</f>
        <v>Coca Cola</v>
      </c>
      <c r="E234" s="178" t="str">
        <f>IF('Pantry Inventory'!B53="","",'Pantry Inventory'!B53)</f>
        <v>COKE ZERO  325ML</v>
      </c>
      <c r="F234" s="178" t="str">
        <f>IF(E234="","",IFERROR(IF(INDEX('Item Purchases'!$S$4:$S$30,MATCH(E234,'Item Purchases'!$B$4:$B$30,0))="","Uncategorised",INDEX('Item Purchases'!$S$4:$S$30,MATCH(E234,'Item Purchases'!$B$4:$B$30,0))),"Uncategorised"))</f>
        <v>Other</v>
      </c>
      <c r="G234" s="178">
        <f>IF(E234="",0,'Pantry Inventory'!M53)</f>
        <v>24</v>
      </c>
      <c r="H234" s="178">
        <f>IF(E234="","",IF('Pantry Inventory'!N53="","",'Pantry Inventory'!N53))</f>
        <v>47</v>
      </c>
      <c r="I234" s="178">
        <f>IF(H234="","",'Pantry Inventory'!O53)</f>
        <v>6</v>
      </c>
      <c r="J234" s="179">
        <f>IF(E234="",0,IFERROR(INDEX('Item Purchases'!$Q$4:$Q$30,MATCH(E234,'Item Purchases'!$B$4:$B$30,0)),0))</f>
        <v>1.83</v>
      </c>
      <c r="K234" s="180">
        <f t="shared" si="27"/>
        <v>10.98</v>
      </c>
      <c r="L234" s="178">
        <f t="shared" si="28"/>
        <v>1</v>
      </c>
      <c r="M234" s="178">
        <f>IF(E234="",0,IF(AND(OR(OR(Dashboard!$E$5="All",Dashboard!$E$5=""),AG234=Dashboard!$E$5),OR(OR(Dashboard!$H$5="All",Dashboard!$H$5=""),F234=Dashboard!$H$5),OR(OR(Dashboard!$B$5="All",Dashboard!$B$5=""),C234=Dashboard!$B$5),OR(OR(Dashboard!$K$5="All",Dashboard!$K$5=""),A234=Dashboard!$K$5),OR(OR(Dashboard!$N$5="All",Dashboard!$N$5=""),B234=Dashboard!$N$5),OR(OR(Dashboard!$Q$5="All",Dashboard!$Q$5=""),D234=Dashboard!$Q$5),OR(OR(Dashboard!$U$5="All",Dashboard!$U$5=""),E234=Dashboard!$U$5)),1,0))</f>
        <v>1</v>
      </c>
      <c r="N234" s="178">
        <f>IF(E234="",0,IF(AND(OR(OR(Dashboard!$E$5="All",Dashboard!$E$5=""),AG234=Dashboard!$E$5),OR(OR(Dashboard!$B$5="All",Dashboard!$B$5=""),C234=Dashboard!$B$5),OR(OR(Dashboard!$K$5="All",Dashboard!$K$5=""),A234=Dashboard!$K$5),OR(OR(Dashboard!$N$5="All",Dashboard!$N$5=""),B234=Dashboard!$N$5),OR(OR(Dashboard!$Q$5="All",Dashboard!$Q$5=""),D234=Dashboard!$Q$5),OR(OR(Dashboard!$U$5="All",Dashboard!$U$5=""),E234=Dashboard!$U$5)),1,0))</f>
        <v>1</v>
      </c>
      <c r="O234" s="165">
        <f t="shared" si="29"/>
        <v>36</v>
      </c>
      <c r="AG234" s="178" t="str">
        <f>IF(E234="","",IFERROR(IF(INDEX('Item Purchases'!$AM$4:$AM$30,MATCH(E234,'Item Purchases'!$B$4:$B$30,0))="","Uncategorised",INDEX('Item Purchases'!$AM$4:$AM$30,MATCH(E234,'Item Purchases'!$B$4:$B$30,0))),"Uncategorised"))</f>
        <v>Beverages</v>
      </c>
      <c r="AH234" s="165">
        <f>IF(AND(E234&lt;&gt;"",L234=1),COUNTIFS($E$2:E234,E234,$L$2:L234,1),0)</f>
        <v>9</v>
      </c>
      <c r="AI234" s="165">
        <f t="shared" si="30"/>
        <v>6</v>
      </c>
      <c r="AJ234" s="165">
        <f t="shared" si="31"/>
        <v>1</v>
      </c>
    </row>
    <row r="235" spans="1:36" x14ac:dyDescent="0.25">
      <c r="A235" s="177">
        <f t="shared" si="32"/>
        <v>46276</v>
      </c>
      <c r="B235" s="178" t="str">
        <f t="shared" si="26"/>
        <v>Fri</v>
      </c>
      <c r="C235" s="178" t="str">
        <f>'Pantry Inventory'!$A$34</f>
        <v>Sep Week 2</v>
      </c>
      <c r="D235" s="178" t="str">
        <f>IF('Pantry Inventory'!A54="","",'Pantry Inventory'!A54)</f>
        <v>Coca Cola</v>
      </c>
      <c r="E235" s="178" t="str">
        <f>IF('Pantry Inventory'!B54="","",'Pantry Inventory'!B54)</f>
        <v>Ayataka Tea 300ml</v>
      </c>
      <c r="F235" s="178" t="str">
        <f>IF(E235="","",IFERROR(IF(INDEX('Item Purchases'!$S$4:$S$30,MATCH(E235,'Item Purchases'!$B$4:$B$30,0))="","Uncategorised",INDEX('Item Purchases'!$S$4:$S$30,MATCH(E235,'Item Purchases'!$B$4:$B$30,0))),"Uncategorised"))</f>
        <v>Tea</v>
      </c>
      <c r="G235" s="178">
        <f>IF(E235="",0,'Pantry Inventory'!M54)</f>
        <v>24</v>
      </c>
      <c r="H235" s="178">
        <f>IF(E235="","",IF('Pantry Inventory'!N54="","",'Pantry Inventory'!N54))</f>
        <v>24</v>
      </c>
      <c r="I235" s="178">
        <f>IF(H235="","",'Pantry Inventory'!O54)</f>
        <v>36</v>
      </c>
      <c r="J235" s="179">
        <f>IF(E235="",0,IFERROR(INDEX('Item Purchases'!$Q$4:$Q$30,MATCH(E235,'Item Purchases'!$B$4:$B$30,0)),0))</f>
        <v>1.75</v>
      </c>
      <c r="K235" s="180">
        <f t="shared" si="27"/>
        <v>63</v>
      </c>
      <c r="L235" s="178">
        <f t="shared" si="28"/>
        <v>1</v>
      </c>
      <c r="M235" s="178">
        <f>IF(E235="",0,IF(AND(OR(OR(Dashboard!$E$5="All",Dashboard!$E$5=""),AG235=Dashboard!$E$5),OR(OR(Dashboard!$H$5="All",Dashboard!$H$5=""),F235=Dashboard!$H$5),OR(OR(Dashboard!$B$5="All",Dashboard!$B$5=""),C235=Dashboard!$B$5),OR(OR(Dashboard!$K$5="All",Dashboard!$K$5=""),A235=Dashboard!$K$5),OR(OR(Dashboard!$N$5="All",Dashboard!$N$5=""),B235=Dashboard!$N$5),OR(OR(Dashboard!$Q$5="All",Dashboard!$Q$5=""),D235=Dashboard!$Q$5),OR(OR(Dashboard!$U$5="All",Dashboard!$U$5=""),E235=Dashboard!$U$5)),1,0))</f>
        <v>1</v>
      </c>
      <c r="N235" s="178">
        <f>IF(E235="",0,IF(AND(OR(OR(Dashboard!$E$5="All",Dashboard!$E$5=""),AG235=Dashboard!$E$5),OR(OR(Dashboard!$B$5="All",Dashboard!$B$5=""),C235=Dashboard!$B$5),OR(OR(Dashboard!$K$5="All",Dashboard!$K$5=""),A235=Dashboard!$K$5),OR(OR(Dashboard!$N$5="All",Dashboard!$N$5=""),B235=Dashboard!$N$5),OR(OR(Dashboard!$Q$5="All",Dashboard!$Q$5=""),D235=Dashboard!$Q$5),OR(OR(Dashboard!$U$5="All",Dashboard!$U$5=""),E235=Dashboard!$U$5)),1,0))</f>
        <v>1</v>
      </c>
      <c r="O235" s="165">
        <f t="shared" si="29"/>
        <v>1296</v>
      </c>
      <c r="AG235" s="178" t="str">
        <f>IF(E235="","",IFERROR(IF(INDEX('Item Purchases'!$AM$4:$AM$30,MATCH(E235,'Item Purchases'!$B$4:$B$30,0))="","Uncategorised",INDEX('Item Purchases'!$AM$4:$AM$30,MATCH(E235,'Item Purchases'!$B$4:$B$30,0))),"Uncategorised"))</f>
        <v>Beverages</v>
      </c>
      <c r="AH235" s="165">
        <f>IF(AND(E235&lt;&gt;"",L235=1),COUNTIFS($E$2:E235,E235,$L$2:L235,1),0)</f>
        <v>9</v>
      </c>
      <c r="AI235" s="165">
        <f t="shared" si="30"/>
        <v>36</v>
      </c>
      <c r="AJ235" s="165">
        <f t="shared" si="31"/>
        <v>1</v>
      </c>
    </row>
    <row r="236" spans="1:36" x14ac:dyDescent="0.25">
      <c r="A236" s="177">
        <f t="shared" si="32"/>
        <v>46276</v>
      </c>
      <c r="B236" s="178" t="str">
        <f t="shared" si="26"/>
        <v>Fri</v>
      </c>
      <c r="C236" s="178" t="str">
        <f>'Pantry Inventory'!$A$34</f>
        <v>Sep Week 2</v>
      </c>
      <c r="D236" s="178" t="str">
        <f>IF('Pantry Inventory'!A55="","",'Pantry Inventory'!A55)</f>
        <v>Coca Cola</v>
      </c>
      <c r="E236" s="178" t="str">
        <f>IF('Pantry Inventory'!B55="","",'Pantry Inventory'!B55)</f>
        <v>Oolong Tea 300ml</v>
      </c>
      <c r="F236" s="178" t="str">
        <f>IF(E236="","",IFERROR(IF(INDEX('Item Purchases'!$S$4:$S$30,MATCH(E236,'Item Purchases'!$B$4:$B$30,0))="","Uncategorised",INDEX('Item Purchases'!$S$4:$S$30,MATCH(E236,'Item Purchases'!$B$4:$B$30,0))),"Uncategorised"))</f>
        <v>Tea</v>
      </c>
      <c r="G236" s="178">
        <f>IF(E236="",0,'Pantry Inventory'!M55)</f>
        <v>24</v>
      </c>
      <c r="H236" s="178">
        <f>IF(E236="","",IF('Pantry Inventory'!N55="","",'Pantry Inventory'!N55))</f>
        <v>32</v>
      </c>
      <c r="I236" s="178">
        <f>IF(H236="","",'Pantry Inventory'!O55)</f>
        <v>28</v>
      </c>
      <c r="J236" s="179">
        <f>IF(E236="",0,IFERROR(INDEX('Item Purchases'!$Q$4:$Q$30,MATCH(E236,'Item Purchases'!$B$4:$B$30,0)),0))</f>
        <v>1.75</v>
      </c>
      <c r="K236" s="180">
        <f t="shared" si="27"/>
        <v>49</v>
      </c>
      <c r="L236" s="178">
        <f t="shared" si="28"/>
        <v>1</v>
      </c>
      <c r="M236" s="178">
        <f>IF(E236="",0,IF(AND(OR(OR(Dashboard!$E$5="All",Dashboard!$E$5=""),AG236=Dashboard!$E$5),OR(OR(Dashboard!$H$5="All",Dashboard!$H$5=""),F236=Dashboard!$H$5),OR(OR(Dashboard!$B$5="All",Dashboard!$B$5=""),C236=Dashboard!$B$5),OR(OR(Dashboard!$K$5="All",Dashboard!$K$5=""),A236=Dashboard!$K$5),OR(OR(Dashboard!$N$5="All",Dashboard!$N$5=""),B236=Dashboard!$N$5),OR(OR(Dashboard!$Q$5="All",Dashboard!$Q$5=""),D236=Dashboard!$Q$5),OR(OR(Dashboard!$U$5="All",Dashboard!$U$5=""),E236=Dashboard!$U$5)),1,0))</f>
        <v>1</v>
      </c>
      <c r="N236" s="178">
        <f>IF(E236="",0,IF(AND(OR(OR(Dashboard!$E$5="All",Dashboard!$E$5=""),AG236=Dashboard!$E$5),OR(OR(Dashboard!$B$5="All",Dashboard!$B$5=""),C236=Dashboard!$B$5),OR(OR(Dashboard!$K$5="All",Dashboard!$K$5=""),A236=Dashboard!$K$5),OR(OR(Dashboard!$N$5="All",Dashboard!$N$5=""),B236=Dashboard!$N$5),OR(OR(Dashboard!$Q$5="All",Dashboard!$Q$5=""),D236=Dashboard!$Q$5),OR(OR(Dashboard!$U$5="All",Dashboard!$U$5=""),E236=Dashboard!$U$5)),1,0))</f>
        <v>1</v>
      </c>
      <c r="O236" s="165">
        <f t="shared" si="29"/>
        <v>784</v>
      </c>
      <c r="AG236" s="178" t="str">
        <f>IF(E236="","",IFERROR(IF(INDEX('Item Purchases'!$AM$4:$AM$30,MATCH(E236,'Item Purchases'!$B$4:$B$30,0))="","Uncategorised",INDEX('Item Purchases'!$AM$4:$AM$30,MATCH(E236,'Item Purchases'!$B$4:$B$30,0))),"Uncategorised"))</f>
        <v>Beverages</v>
      </c>
      <c r="AH236" s="165">
        <f>IF(AND(E236&lt;&gt;"",L236=1),COUNTIFS($E$2:E236,E236,$L$2:L236,1),0)</f>
        <v>9</v>
      </c>
      <c r="AI236" s="165">
        <f t="shared" si="30"/>
        <v>28</v>
      </c>
      <c r="AJ236" s="165">
        <f t="shared" si="31"/>
        <v>1</v>
      </c>
    </row>
    <row r="237" spans="1:36" x14ac:dyDescent="0.25">
      <c r="A237" s="177">
        <f t="shared" si="32"/>
        <v>46276</v>
      </c>
      <c r="B237" s="178" t="str">
        <f t="shared" si="26"/>
        <v>Fri</v>
      </c>
      <c r="C237" s="178" t="str">
        <f>'Pantry Inventory'!$A$34</f>
        <v>Sep Week 2</v>
      </c>
      <c r="D237" s="178" t="str">
        <f>IF('Pantry Inventory'!A56="","",'Pantry Inventory'!A56)</f>
        <v>Vsoy</v>
      </c>
      <c r="E237" s="178" t="str">
        <f>IF('Pantry Inventory'!B56="","",'Pantry Inventory'!B56)</f>
        <v>Vsoy Soya Bean  250ml</v>
      </c>
      <c r="F237" s="178" t="str">
        <f>IF(E237="","",IFERROR(IF(INDEX('Item Purchases'!$S$4:$S$30,MATCH(E237,'Item Purchases'!$B$4:$B$30,0))="","Uncategorised",INDEX('Item Purchases'!$S$4:$S$30,MATCH(E237,'Item Purchases'!$B$4:$B$30,0))),"Uncategorised"))</f>
        <v>Other</v>
      </c>
      <c r="G237" s="178">
        <f>IF(E237="",0,'Pantry Inventory'!M56)</f>
        <v>0</v>
      </c>
      <c r="H237" s="178">
        <f>IF(E237="","",IF('Pantry Inventory'!N56="","",'Pantry Inventory'!N56))</f>
        <v>1</v>
      </c>
      <c r="I237" s="178">
        <f>IF(H237="","",'Pantry Inventory'!O56)</f>
        <v>12</v>
      </c>
      <c r="J237" s="179">
        <f>IF(E237="",0,IFERROR(INDEX('Item Purchases'!$Q$4:$Q$30,MATCH(E237,'Item Purchases'!$B$4:$B$30,0)),0))</f>
        <v>1.25</v>
      </c>
      <c r="K237" s="180">
        <f t="shared" si="27"/>
        <v>15</v>
      </c>
      <c r="L237" s="178">
        <f t="shared" si="28"/>
        <v>1</v>
      </c>
      <c r="M237" s="178">
        <f>IF(E237="",0,IF(AND(OR(OR(Dashboard!$E$5="All",Dashboard!$E$5=""),AG237=Dashboard!$E$5),OR(OR(Dashboard!$H$5="All",Dashboard!$H$5=""),F237=Dashboard!$H$5),OR(OR(Dashboard!$B$5="All",Dashboard!$B$5=""),C237=Dashboard!$B$5),OR(OR(Dashboard!$K$5="All",Dashboard!$K$5=""),A237=Dashboard!$K$5),OR(OR(Dashboard!$N$5="All",Dashboard!$N$5=""),B237=Dashboard!$N$5),OR(OR(Dashboard!$Q$5="All",Dashboard!$Q$5=""),D237=Dashboard!$Q$5),OR(OR(Dashboard!$U$5="All",Dashboard!$U$5=""),E237=Dashboard!$U$5)),1,0))</f>
        <v>1</v>
      </c>
      <c r="N237" s="178">
        <f>IF(E237="",0,IF(AND(OR(OR(Dashboard!$E$5="All",Dashboard!$E$5=""),AG237=Dashboard!$E$5),OR(OR(Dashboard!$B$5="All",Dashboard!$B$5=""),C237=Dashboard!$B$5),OR(OR(Dashboard!$K$5="All",Dashboard!$K$5=""),A237=Dashboard!$K$5),OR(OR(Dashboard!$N$5="All",Dashboard!$N$5=""),B237=Dashboard!$N$5),OR(OR(Dashboard!$Q$5="All",Dashboard!$Q$5=""),D237=Dashboard!$Q$5),OR(OR(Dashboard!$U$5="All",Dashboard!$U$5=""),E237=Dashboard!$U$5)),1,0))</f>
        <v>1</v>
      </c>
      <c r="O237" s="165">
        <f t="shared" si="29"/>
        <v>144</v>
      </c>
      <c r="AG237" s="178" t="str">
        <f>IF(E237="","",IFERROR(IF(INDEX('Item Purchases'!$AM$4:$AM$30,MATCH(E237,'Item Purchases'!$B$4:$B$30,0))="","Uncategorised",INDEX('Item Purchases'!$AM$4:$AM$30,MATCH(E237,'Item Purchases'!$B$4:$B$30,0))),"Uncategorised"))</f>
        <v>Beverages</v>
      </c>
      <c r="AH237" s="165">
        <f>IF(AND(E237&lt;&gt;"",L237=1),COUNTIFS($E$2:E237,E237,$L$2:L237,1),0)</f>
        <v>9</v>
      </c>
      <c r="AI237" s="165">
        <f t="shared" si="30"/>
        <v>12</v>
      </c>
      <c r="AJ237" s="165">
        <f t="shared" si="31"/>
        <v>1</v>
      </c>
    </row>
    <row r="238" spans="1:36" x14ac:dyDescent="0.25">
      <c r="A238" s="177">
        <f t="shared" si="32"/>
        <v>46276</v>
      </c>
      <c r="B238" s="178" t="str">
        <f t="shared" si="26"/>
        <v>Fri</v>
      </c>
      <c r="C238" s="178" t="str">
        <f>'Pantry Inventory'!$A$34</f>
        <v>Sep Week 2</v>
      </c>
      <c r="D238" s="178" t="str">
        <f>IF('Pantry Inventory'!A57="","",'Pantry Inventory'!A57)</f>
        <v>BingRae</v>
      </c>
      <c r="E238" s="178" t="str">
        <f>IF('Pantry Inventory'!B57="","",'Pantry Inventory'!B57)</f>
        <v>BingRae Banana Milk 200ml</v>
      </c>
      <c r="F238" s="178" t="str">
        <f>IF(E238="","",IFERROR(IF(INDEX('Item Purchases'!$S$4:$S$30,MATCH(E238,'Item Purchases'!$B$4:$B$30,0))="","Uncategorised",INDEX('Item Purchases'!$S$4:$S$30,MATCH(E238,'Item Purchases'!$B$4:$B$30,0))),"Uncategorised"))</f>
        <v>Other</v>
      </c>
      <c r="G238" s="178">
        <f>IF(E238="",0,'Pantry Inventory'!M57)</f>
        <v>0</v>
      </c>
      <c r="H238" s="178">
        <f>IF(E238="","",IF('Pantry Inventory'!N57="","",'Pantry Inventory'!N57))</f>
        <v>48</v>
      </c>
      <c r="I238" s="178">
        <f>IF(H238="","",'Pantry Inventory'!O57)</f>
        <v>12</v>
      </c>
      <c r="J238" s="179">
        <f>IF(E238="",0,IFERROR(INDEX('Item Purchases'!$Q$4:$Q$30,MATCH(E238,'Item Purchases'!$B$4:$B$30,0)),0))</f>
        <v>3.3159999999999998</v>
      </c>
      <c r="K238" s="180">
        <f t="shared" si="27"/>
        <v>39.792000000000002</v>
      </c>
      <c r="L238" s="178">
        <f t="shared" si="28"/>
        <v>1</v>
      </c>
      <c r="M238" s="178">
        <f>IF(E238="",0,IF(AND(OR(OR(Dashboard!$E$5="All",Dashboard!$E$5=""),AG238=Dashboard!$E$5),OR(OR(Dashboard!$H$5="All",Dashboard!$H$5=""),F238=Dashboard!$H$5),OR(OR(Dashboard!$B$5="All",Dashboard!$B$5=""),C238=Dashboard!$B$5),OR(OR(Dashboard!$K$5="All",Dashboard!$K$5=""),A238=Dashboard!$K$5),OR(OR(Dashboard!$N$5="All",Dashboard!$N$5=""),B238=Dashboard!$N$5),OR(OR(Dashboard!$Q$5="All",Dashboard!$Q$5=""),D238=Dashboard!$Q$5),OR(OR(Dashboard!$U$5="All",Dashboard!$U$5=""),E238=Dashboard!$U$5)),1,0))</f>
        <v>1</v>
      </c>
      <c r="N238" s="178">
        <f>IF(E238="",0,IF(AND(OR(OR(Dashboard!$E$5="All",Dashboard!$E$5=""),AG238=Dashboard!$E$5),OR(OR(Dashboard!$B$5="All",Dashboard!$B$5=""),C238=Dashboard!$B$5),OR(OR(Dashboard!$K$5="All",Dashboard!$K$5=""),A238=Dashboard!$K$5),OR(OR(Dashboard!$N$5="All",Dashboard!$N$5=""),B238=Dashboard!$N$5),OR(OR(Dashboard!$Q$5="All",Dashboard!$Q$5=""),D238=Dashboard!$Q$5),OR(OR(Dashboard!$U$5="All",Dashboard!$U$5=""),E238=Dashboard!$U$5)),1,0))</f>
        <v>1</v>
      </c>
      <c r="O238" s="165">
        <f t="shared" si="29"/>
        <v>144</v>
      </c>
      <c r="AG238" s="178" t="str">
        <f>IF(E238="","",IFERROR(IF(INDEX('Item Purchases'!$AM$4:$AM$30,MATCH(E238,'Item Purchases'!$B$4:$B$30,0))="","Uncategorised",INDEX('Item Purchases'!$AM$4:$AM$30,MATCH(E238,'Item Purchases'!$B$4:$B$30,0))),"Uncategorised"))</f>
        <v>Beverages</v>
      </c>
      <c r="AH238" s="165">
        <f>IF(AND(E238&lt;&gt;"",L238=1),COUNTIFS($E$2:E238,E238,$L$2:L238,1),0)</f>
        <v>9</v>
      </c>
      <c r="AI238" s="165">
        <f t="shared" si="30"/>
        <v>12</v>
      </c>
      <c r="AJ238" s="165">
        <f t="shared" si="31"/>
        <v>1</v>
      </c>
    </row>
    <row r="239" spans="1:36" x14ac:dyDescent="0.25">
      <c r="A239" s="177">
        <f t="shared" si="32"/>
        <v>46276</v>
      </c>
      <c r="B239" s="178" t="str">
        <f t="shared" si="26"/>
        <v>Fri</v>
      </c>
      <c r="C239" s="178" t="str">
        <f>'Pantry Inventory'!$A$34</f>
        <v>Sep Week 2</v>
      </c>
      <c r="D239" s="178" t="str">
        <f>IF('Pantry Inventory'!A58="","",'Pantry Inventory'!A58)</f>
        <v>Fuze Tea</v>
      </c>
      <c r="E239" s="178" t="str">
        <f>IF('Pantry Inventory'!B58="","",'Pantry Inventory'!B58)</f>
        <v>Fuze Tea by Heaven and Earth Jasmine Tea</v>
      </c>
      <c r="F239" s="178" t="str">
        <f>IF(E239="","",IFERROR(IF(INDEX('Item Purchases'!$S$4:$S$30,MATCH(E239,'Item Purchases'!$B$4:$B$30,0))="","Uncategorised",INDEX('Item Purchases'!$S$4:$S$30,MATCH(E239,'Item Purchases'!$B$4:$B$30,0))),"Uncategorised"))</f>
        <v>Tea</v>
      </c>
      <c r="G239" s="178">
        <f>IF(E239="",0,'Pantry Inventory'!M58)</f>
        <v>0</v>
      </c>
      <c r="H239" s="178">
        <f>IF(E239="","",IF('Pantry Inventory'!N58="","",'Pantry Inventory'!N58))</f>
        <v>0</v>
      </c>
      <c r="I239" s="178">
        <f>IF(H239="","",'Pantry Inventory'!O58)</f>
        <v>0</v>
      </c>
      <c r="J239" s="179">
        <f>IF(E239="",0,IFERROR(INDEX('Item Purchases'!$Q$4:$Q$30,MATCH(E239,'Item Purchases'!$B$4:$B$30,0)),0))</f>
        <v>1.167</v>
      </c>
      <c r="K239" s="180">
        <f t="shared" si="27"/>
        <v>0</v>
      </c>
      <c r="L239" s="178">
        <f t="shared" si="28"/>
        <v>1</v>
      </c>
      <c r="M239" s="178">
        <f>IF(E239="",0,IF(AND(OR(OR(Dashboard!$E$5="All",Dashboard!$E$5=""),AG239=Dashboard!$E$5),OR(OR(Dashboard!$H$5="All",Dashboard!$H$5=""),F239=Dashboard!$H$5),OR(OR(Dashboard!$B$5="All",Dashboard!$B$5=""),C239=Dashboard!$B$5),OR(OR(Dashboard!$K$5="All",Dashboard!$K$5=""),A239=Dashboard!$K$5),OR(OR(Dashboard!$N$5="All",Dashboard!$N$5=""),B239=Dashboard!$N$5),OR(OR(Dashboard!$Q$5="All",Dashboard!$Q$5=""),D239=Dashboard!$Q$5),OR(OR(Dashboard!$U$5="All",Dashboard!$U$5=""),E239=Dashboard!$U$5)),1,0))</f>
        <v>1</v>
      </c>
      <c r="N239" s="178">
        <f>IF(E239="",0,IF(AND(OR(OR(Dashboard!$E$5="All",Dashboard!$E$5=""),AG239=Dashboard!$E$5),OR(OR(Dashboard!$B$5="All",Dashboard!$B$5=""),C239=Dashboard!$B$5),OR(OR(Dashboard!$K$5="All",Dashboard!$K$5=""),A239=Dashboard!$K$5),OR(OR(Dashboard!$N$5="All",Dashboard!$N$5=""),B239=Dashboard!$N$5),OR(OR(Dashboard!$Q$5="All",Dashboard!$Q$5=""),D239=Dashboard!$Q$5),OR(OR(Dashboard!$U$5="All",Dashboard!$U$5=""),E239=Dashboard!$U$5)),1,0))</f>
        <v>1</v>
      </c>
      <c r="O239" s="165">
        <f t="shared" si="29"/>
        <v>0</v>
      </c>
      <c r="AG239" s="178" t="str">
        <f>IF(E239="","",IFERROR(IF(INDEX('Item Purchases'!$AM$4:$AM$30,MATCH(E239,'Item Purchases'!$B$4:$B$30,0))="","Uncategorised",INDEX('Item Purchases'!$AM$4:$AM$30,MATCH(E239,'Item Purchases'!$B$4:$B$30,0))),"Uncategorised"))</f>
        <v>Beverages</v>
      </c>
      <c r="AH239" s="165">
        <f>IF(AND(E239&lt;&gt;"",L239=1),COUNTIFS($E$2:E239,E239,$L$2:L239,1),0)</f>
        <v>9</v>
      </c>
      <c r="AI239" s="165">
        <f t="shared" si="30"/>
        <v>0</v>
      </c>
      <c r="AJ239" s="165">
        <f t="shared" si="31"/>
        <v>0</v>
      </c>
    </row>
    <row r="240" spans="1:36" x14ac:dyDescent="0.25">
      <c r="A240" s="177">
        <f t="shared" si="32"/>
        <v>46276</v>
      </c>
      <c r="B240" s="178" t="str">
        <f t="shared" si="26"/>
        <v>Fri</v>
      </c>
      <c r="C240" s="178" t="str">
        <f>'Pantry Inventory'!$A$34</f>
        <v>Sep Week 2</v>
      </c>
      <c r="D240" s="178" t="str">
        <f>IF('Pantry Inventory'!A59="","",'Pantry Inventory'!A59)</f>
        <v>F&amp;N</v>
      </c>
      <c r="E240" s="178" t="str">
        <f>IF('Pantry Inventory'!B59="","",'Pantry Inventory'!B59)</f>
        <v>FN 100 plus (original) 325ml</v>
      </c>
      <c r="F240" s="178" t="str">
        <f>IF(E240="","",IFERROR(IF(INDEX('Item Purchases'!$S$4:$S$30,MATCH(E240,'Item Purchases'!$B$4:$B$30,0))="","Uncategorised",INDEX('Item Purchases'!$S$4:$S$30,MATCH(E240,'Item Purchases'!$B$4:$B$30,0))),"Uncategorised"))</f>
        <v>Other</v>
      </c>
      <c r="G240" s="178">
        <f>IF(E240="",0,'Pantry Inventory'!M59)</f>
        <v>0</v>
      </c>
      <c r="H240" s="178">
        <f>IF(E240="","",IF('Pantry Inventory'!N59="","",'Pantry Inventory'!N59))</f>
        <v>23</v>
      </c>
      <c r="I240" s="178">
        <f>IF(H240="","",'Pantry Inventory'!O59)</f>
        <v>10</v>
      </c>
      <c r="J240" s="179">
        <f>IF(E240="",0,IFERROR(INDEX('Item Purchases'!$Q$4:$Q$30,MATCH(E240,'Item Purchases'!$B$4:$B$30,0)),0))</f>
        <v>1.58</v>
      </c>
      <c r="K240" s="180">
        <f t="shared" si="27"/>
        <v>15.8</v>
      </c>
      <c r="L240" s="178">
        <f t="shared" si="28"/>
        <v>1</v>
      </c>
      <c r="M240" s="178">
        <f>IF(E240="",0,IF(AND(OR(OR(Dashboard!$E$5="All",Dashboard!$E$5=""),AG240=Dashboard!$E$5),OR(OR(Dashboard!$H$5="All",Dashboard!$H$5=""),F240=Dashboard!$H$5),OR(OR(Dashboard!$B$5="All",Dashboard!$B$5=""),C240=Dashboard!$B$5),OR(OR(Dashboard!$K$5="All",Dashboard!$K$5=""),A240=Dashboard!$K$5),OR(OR(Dashboard!$N$5="All",Dashboard!$N$5=""),B240=Dashboard!$N$5),OR(OR(Dashboard!$Q$5="All",Dashboard!$Q$5=""),D240=Dashboard!$Q$5),OR(OR(Dashboard!$U$5="All",Dashboard!$U$5=""),E240=Dashboard!$U$5)),1,0))</f>
        <v>1</v>
      </c>
      <c r="N240" s="178">
        <f>IF(E240="",0,IF(AND(OR(OR(Dashboard!$E$5="All",Dashboard!$E$5=""),AG240=Dashboard!$E$5),OR(OR(Dashboard!$B$5="All",Dashboard!$B$5=""),C240=Dashboard!$B$5),OR(OR(Dashboard!$K$5="All",Dashboard!$K$5=""),A240=Dashboard!$K$5),OR(OR(Dashboard!$N$5="All",Dashboard!$N$5=""),B240=Dashboard!$N$5),OR(OR(Dashboard!$Q$5="All",Dashboard!$Q$5=""),D240=Dashboard!$Q$5),OR(OR(Dashboard!$U$5="All",Dashboard!$U$5=""),E240=Dashboard!$U$5)),1,0))</f>
        <v>1</v>
      </c>
      <c r="O240" s="165">
        <f t="shared" si="29"/>
        <v>100</v>
      </c>
      <c r="AG240" s="178" t="str">
        <f>IF(E240="","",IFERROR(IF(INDEX('Item Purchases'!$AM$4:$AM$30,MATCH(E240,'Item Purchases'!$B$4:$B$30,0))="","Uncategorised",INDEX('Item Purchases'!$AM$4:$AM$30,MATCH(E240,'Item Purchases'!$B$4:$B$30,0))),"Uncategorised"))</f>
        <v>Beverages</v>
      </c>
      <c r="AH240" s="165">
        <f>IF(AND(E240&lt;&gt;"",L240=1),COUNTIFS($E$2:E240,E240,$L$2:L240,1),0)</f>
        <v>9</v>
      </c>
      <c r="AI240" s="165">
        <f t="shared" si="30"/>
        <v>10</v>
      </c>
      <c r="AJ240" s="165">
        <f t="shared" si="31"/>
        <v>1</v>
      </c>
    </row>
    <row r="241" spans="1:36" x14ac:dyDescent="0.25">
      <c r="A241" s="177">
        <f t="shared" si="32"/>
        <v>46276</v>
      </c>
      <c r="B241" s="178" t="str">
        <f t="shared" si="26"/>
        <v>Fri</v>
      </c>
      <c r="C241" s="178" t="str">
        <f>'Pantry Inventory'!$A$34</f>
        <v>Sep Week 2</v>
      </c>
      <c r="D241" s="178" t="str">
        <f>IF('Pantry Inventory'!A60="","",'Pantry Inventory'!A60)</f>
        <v>Spritzer</v>
      </c>
      <c r="E241" s="178" t="str">
        <f>IF('Pantry Inventory'!B60="","",'Pantry Inventory'!B60)</f>
        <v>Spritzer sparkling water (original) 400ml</v>
      </c>
      <c r="F241" s="178" t="str">
        <f>IF(E241="","",IFERROR(IF(INDEX('Item Purchases'!$S$4:$S$30,MATCH(E241,'Item Purchases'!$B$4:$B$30,0))="","Uncategorised",INDEX('Item Purchases'!$S$4:$S$30,MATCH(E241,'Item Purchases'!$B$4:$B$30,0))),"Uncategorised"))</f>
        <v>Other</v>
      </c>
      <c r="G241" s="178">
        <f>IF(E241="",0,'Pantry Inventory'!M60)</f>
        <v>0</v>
      </c>
      <c r="H241" s="178">
        <f>IF(E241="","",IF('Pantry Inventory'!N60="","",'Pantry Inventory'!N60))</f>
        <v>2</v>
      </c>
      <c r="I241" s="178">
        <f>IF(H241="","",'Pantry Inventory'!O60)</f>
        <v>46</v>
      </c>
      <c r="J241" s="179">
        <f>IF(E241="",0,IFERROR(INDEX('Item Purchases'!$Q$4:$Q$30,MATCH(E241,'Item Purchases'!$B$4:$B$30,0)),0))</f>
        <v>1.616666666666666</v>
      </c>
      <c r="K241" s="180">
        <f t="shared" si="27"/>
        <v>74.366666666666632</v>
      </c>
      <c r="L241" s="178">
        <f t="shared" si="28"/>
        <v>1</v>
      </c>
      <c r="M241" s="178">
        <f>IF(E241="",0,IF(AND(OR(OR(Dashboard!$E$5="All",Dashboard!$E$5=""),AG241=Dashboard!$E$5),OR(OR(Dashboard!$H$5="All",Dashboard!$H$5=""),F241=Dashboard!$H$5),OR(OR(Dashboard!$B$5="All",Dashboard!$B$5=""),C241=Dashboard!$B$5),OR(OR(Dashboard!$K$5="All",Dashboard!$K$5=""),A241=Dashboard!$K$5),OR(OR(Dashboard!$N$5="All",Dashboard!$N$5=""),B241=Dashboard!$N$5),OR(OR(Dashboard!$Q$5="All",Dashboard!$Q$5=""),D241=Dashboard!$Q$5),OR(OR(Dashboard!$U$5="All",Dashboard!$U$5=""),E241=Dashboard!$U$5)),1,0))</f>
        <v>1</v>
      </c>
      <c r="N241" s="178">
        <f>IF(E241="",0,IF(AND(OR(OR(Dashboard!$E$5="All",Dashboard!$E$5=""),AG241=Dashboard!$E$5),OR(OR(Dashboard!$B$5="All",Dashboard!$B$5=""),C241=Dashboard!$B$5),OR(OR(Dashboard!$K$5="All",Dashboard!$K$5=""),A241=Dashboard!$K$5),OR(OR(Dashboard!$N$5="All",Dashboard!$N$5=""),B241=Dashboard!$N$5),OR(OR(Dashboard!$Q$5="All",Dashboard!$Q$5=""),D241=Dashboard!$Q$5),OR(OR(Dashboard!$U$5="All",Dashboard!$U$5=""),E241=Dashboard!$U$5)),1,0))</f>
        <v>1</v>
      </c>
      <c r="O241" s="165">
        <f t="shared" si="29"/>
        <v>2116</v>
      </c>
      <c r="AG241" s="178" t="str">
        <f>IF(E241="","",IFERROR(IF(INDEX('Item Purchases'!$AM$4:$AM$30,MATCH(E241,'Item Purchases'!$B$4:$B$30,0))="","Uncategorised",INDEX('Item Purchases'!$AM$4:$AM$30,MATCH(E241,'Item Purchases'!$B$4:$B$30,0))),"Uncategorised"))</f>
        <v>Beverages</v>
      </c>
      <c r="AH241" s="165">
        <f>IF(AND(E241&lt;&gt;"",L241=1),COUNTIFS($E$2:E241,E241,$L$2:L241,1),0)</f>
        <v>9</v>
      </c>
      <c r="AI241" s="165">
        <f t="shared" si="30"/>
        <v>46</v>
      </c>
      <c r="AJ241" s="165">
        <f t="shared" si="31"/>
        <v>1</v>
      </c>
    </row>
    <row r="242" spans="1:36" x14ac:dyDescent="0.25">
      <c r="A242" s="177">
        <f t="shared" si="32"/>
        <v>46276</v>
      </c>
      <c r="B242" s="178" t="str">
        <f t="shared" si="26"/>
        <v>Fri</v>
      </c>
      <c r="C242" s="178" t="str">
        <f>'Pantry Inventory'!$A$34</f>
        <v>Sep Week 2</v>
      </c>
      <c r="D242" s="178" t="str">
        <f>IF('Pantry Inventory'!A61="","",'Pantry Inventory'!A61)</f>
        <v>Oat Side</v>
      </c>
      <c r="E242" s="178" t="str">
        <f>IF('Pantry Inventory'!B61="","",'Pantry Inventory'!B61)</f>
        <v>Oat Side Original 200ml</v>
      </c>
      <c r="F242" s="178" t="str">
        <f>IF(E242="","",IFERROR(IF(INDEX('Item Purchases'!$S$4:$S$30,MATCH(E242,'Item Purchases'!$B$4:$B$30,0))="","Uncategorised",INDEX('Item Purchases'!$S$4:$S$30,MATCH(E242,'Item Purchases'!$B$4:$B$30,0))),"Uncategorised"))</f>
        <v>Other</v>
      </c>
      <c r="G242" s="178">
        <f>IF(E242="",0,'Pantry Inventory'!M61)</f>
        <v>48</v>
      </c>
      <c r="H242" s="178">
        <f>IF(E242="","",IF('Pantry Inventory'!N61="","",'Pantry Inventory'!N61))</f>
        <v>61</v>
      </c>
      <c r="I242" s="178">
        <f>IF(H242="","",'Pantry Inventory'!O61)</f>
        <v>12</v>
      </c>
      <c r="J242" s="179">
        <f>IF(E242="",0,IFERROR(INDEX('Item Purchases'!$Q$4:$Q$30,MATCH(E242,'Item Purchases'!$B$4:$B$30,0)),0))</f>
        <v>3</v>
      </c>
      <c r="K242" s="180">
        <f t="shared" si="27"/>
        <v>36</v>
      </c>
      <c r="L242" s="178">
        <f t="shared" si="28"/>
        <v>1</v>
      </c>
      <c r="M242" s="178">
        <f>IF(E242="",0,IF(AND(OR(OR(Dashboard!$E$5="All",Dashboard!$E$5=""),AG242=Dashboard!$E$5),OR(OR(Dashboard!$H$5="All",Dashboard!$H$5=""),F242=Dashboard!$H$5),OR(OR(Dashboard!$B$5="All",Dashboard!$B$5=""),C242=Dashboard!$B$5),OR(OR(Dashboard!$K$5="All",Dashboard!$K$5=""),A242=Dashboard!$K$5),OR(OR(Dashboard!$N$5="All",Dashboard!$N$5=""),B242=Dashboard!$N$5),OR(OR(Dashboard!$Q$5="All",Dashboard!$Q$5=""),D242=Dashboard!$Q$5),OR(OR(Dashboard!$U$5="All",Dashboard!$U$5=""),E242=Dashboard!$U$5)),1,0))</f>
        <v>1</v>
      </c>
      <c r="N242" s="178">
        <f>IF(E242="",0,IF(AND(OR(OR(Dashboard!$E$5="All",Dashboard!$E$5=""),AG242=Dashboard!$E$5),OR(OR(Dashboard!$B$5="All",Dashboard!$B$5=""),C242=Dashboard!$B$5),OR(OR(Dashboard!$K$5="All",Dashboard!$K$5=""),A242=Dashboard!$K$5),OR(OR(Dashboard!$N$5="All",Dashboard!$N$5=""),B242=Dashboard!$N$5),OR(OR(Dashboard!$Q$5="All",Dashboard!$Q$5=""),D242=Dashboard!$Q$5),OR(OR(Dashboard!$U$5="All",Dashboard!$U$5=""),E242=Dashboard!$U$5)),1,0))</f>
        <v>1</v>
      </c>
      <c r="O242" s="165">
        <f t="shared" si="29"/>
        <v>144</v>
      </c>
      <c r="AG242" s="178" t="str">
        <f>IF(E242="","",IFERROR(IF(INDEX('Item Purchases'!$AM$4:$AM$30,MATCH(E242,'Item Purchases'!$B$4:$B$30,0))="","Uncategorised",INDEX('Item Purchases'!$AM$4:$AM$30,MATCH(E242,'Item Purchases'!$B$4:$B$30,0))),"Uncategorised"))</f>
        <v>Beverages</v>
      </c>
      <c r="AH242" s="165">
        <f>IF(AND(E242&lt;&gt;"",L242=1),COUNTIFS($E$2:E242,E242,$L$2:L242,1),0)</f>
        <v>9</v>
      </c>
      <c r="AI242" s="165">
        <f t="shared" si="30"/>
        <v>12</v>
      </c>
      <c r="AJ242" s="165">
        <f t="shared" si="31"/>
        <v>1</v>
      </c>
    </row>
    <row r="243" spans="1:36" x14ac:dyDescent="0.25">
      <c r="A243" s="177">
        <f t="shared" si="32"/>
        <v>46276</v>
      </c>
      <c r="B243" s="178" t="str">
        <f t="shared" si="26"/>
        <v>Fri</v>
      </c>
      <c r="C243" s="178" t="str">
        <f>'Pantry Inventory'!$A$34</f>
        <v>Sep Week 2</v>
      </c>
      <c r="D243" s="178" t="str">
        <f>IF('Pantry Inventory'!A62="","",'Pantry Inventory'!A62)</f>
        <v>Oat Side</v>
      </c>
      <c r="E243" s="178" t="str">
        <f>IF('Pantry Inventory'!B62="","",'Pantry Inventory'!B62)</f>
        <v>Oat Side Chocolate 200ml</v>
      </c>
      <c r="F243" s="178" t="str">
        <f>IF(E243="","",IFERROR(IF(INDEX('Item Purchases'!$S$4:$S$30,MATCH(E243,'Item Purchases'!$B$4:$B$30,0))="","Uncategorised",INDEX('Item Purchases'!$S$4:$S$30,MATCH(E243,'Item Purchases'!$B$4:$B$30,0))),"Uncategorised"))</f>
        <v>Other</v>
      </c>
      <c r="G243" s="178">
        <f>IF(E243="",0,'Pantry Inventory'!M62)</f>
        <v>48</v>
      </c>
      <c r="H243" s="178">
        <f>IF(E243="","",IF('Pantry Inventory'!N62="","",'Pantry Inventory'!N62))</f>
        <v>48</v>
      </c>
      <c r="I243" s="178">
        <f>IF(H243="","",'Pantry Inventory'!O62)</f>
        <v>17</v>
      </c>
      <c r="J243" s="179">
        <f>IF(E243="",0,IFERROR(INDEX('Item Purchases'!$Q$4:$Q$30,MATCH(E243,'Item Purchases'!$B$4:$B$30,0)),0))</f>
        <v>3</v>
      </c>
      <c r="K243" s="180">
        <f t="shared" si="27"/>
        <v>51</v>
      </c>
      <c r="L243" s="178">
        <f t="shared" si="28"/>
        <v>1</v>
      </c>
      <c r="M243" s="178">
        <f>IF(E243="",0,IF(AND(OR(OR(Dashboard!$E$5="All",Dashboard!$E$5=""),AG243=Dashboard!$E$5),OR(OR(Dashboard!$H$5="All",Dashboard!$H$5=""),F243=Dashboard!$H$5),OR(OR(Dashboard!$B$5="All",Dashboard!$B$5=""),C243=Dashboard!$B$5),OR(OR(Dashboard!$K$5="All",Dashboard!$K$5=""),A243=Dashboard!$K$5),OR(OR(Dashboard!$N$5="All",Dashboard!$N$5=""),B243=Dashboard!$N$5),OR(OR(Dashboard!$Q$5="All",Dashboard!$Q$5=""),D243=Dashboard!$Q$5),OR(OR(Dashboard!$U$5="All",Dashboard!$U$5=""),E243=Dashboard!$U$5)),1,0))</f>
        <v>1</v>
      </c>
      <c r="N243" s="178">
        <f>IF(E243="",0,IF(AND(OR(OR(Dashboard!$E$5="All",Dashboard!$E$5=""),AG243=Dashboard!$E$5),OR(OR(Dashboard!$B$5="All",Dashboard!$B$5=""),C243=Dashboard!$B$5),OR(OR(Dashboard!$K$5="All",Dashboard!$K$5=""),A243=Dashboard!$K$5),OR(OR(Dashboard!$N$5="All",Dashboard!$N$5=""),B243=Dashboard!$N$5),OR(OR(Dashboard!$Q$5="All",Dashboard!$Q$5=""),D243=Dashboard!$Q$5),OR(OR(Dashboard!$U$5="All",Dashboard!$U$5=""),E243=Dashboard!$U$5)),1,0))</f>
        <v>1</v>
      </c>
      <c r="O243" s="165">
        <f t="shared" si="29"/>
        <v>289</v>
      </c>
      <c r="AG243" s="178" t="str">
        <f>IF(E243="","",IFERROR(IF(INDEX('Item Purchases'!$AM$4:$AM$30,MATCH(E243,'Item Purchases'!$B$4:$B$30,0))="","Uncategorised",INDEX('Item Purchases'!$AM$4:$AM$30,MATCH(E243,'Item Purchases'!$B$4:$B$30,0))),"Uncategorised"))</f>
        <v>Beverages</v>
      </c>
      <c r="AH243" s="165">
        <f>IF(AND(E243&lt;&gt;"",L243=1),COUNTIFS($E$2:E243,E243,$L$2:L243,1),0)</f>
        <v>9</v>
      </c>
      <c r="AI243" s="165">
        <f t="shared" si="30"/>
        <v>17</v>
      </c>
      <c r="AJ243" s="165">
        <f t="shared" si="31"/>
        <v>1</v>
      </c>
    </row>
    <row r="244" spans="1:36" x14ac:dyDescent="0.25">
      <c r="A244" s="177">
        <f t="shared" si="32"/>
        <v>46276</v>
      </c>
      <c r="B244" s="178" t="str">
        <f t="shared" si="26"/>
        <v>Fri</v>
      </c>
      <c r="C244" s="178" t="str">
        <f>'Pantry Inventory'!$A$34</f>
        <v>Sep Week 2</v>
      </c>
      <c r="D244" s="178" t="str">
        <f>IF('Pantry Inventory'!A63="","",'Pantry Inventory'!A63)</f>
        <v/>
      </c>
      <c r="E244" s="178" t="str">
        <f>IF('Pantry Inventory'!B63="","",'Pantry Inventory'!B63)</f>
        <v/>
      </c>
      <c r="F244" s="178" t="str">
        <f>IF(E244="","",IFERROR(IF(INDEX('Item Purchases'!$S$4:$S$30,MATCH(E244,'Item Purchases'!$B$4:$B$30,0))="","Uncategorised",INDEX('Item Purchases'!$S$4:$S$30,MATCH(E244,'Item Purchases'!$B$4:$B$30,0))),"Uncategorised"))</f>
        <v/>
      </c>
      <c r="G244" s="178">
        <f>IF(E244="",0,'Pantry Inventory'!M63)</f>
        <v>0</v>
      </c>
      <c r="H244" s="178" t="str">
        <f>IF(E244="","",IF('Pantry Inventory'!N63="","",'Pantry Inventory'!N63))</f>
        <v/>
      </c>
      <c r="I244" s="178" t="str">
        <f>IF(H244="","",'Pantry Inventory'!O63)</f>
        <v/>
      </c>
      <c r="J244" s="179">
        <f>IF(E244="",0,IFERROR(INDEX('Item Purchases'!$Q$4:$Q$30,MATCH(E244,'Item Purchases'!$B$4:$B$30,0)),0))</f>
        <v>0</v>
      </c>
      <c r="K244" s="180" t="str">
        <f t="shared" si="27"/>
        <v/>
      </c>
      <c r="L244" s="178">
        <f t="shared" si="28"/>
        <v>0</v>
      </c>
      <c r="M244" s="178">
        <f>IF(E244="",0,IF(AND(OR(OR(Dashboard!$E$5="All",Dashboard!$E$5=""),AG244=Dashboard!$E$5),OR(OR(Dashboard!$H$5="All",Dashboard!$H$5=""),F244=Dashboard!$H$5),OR(OR(Dashboard!$B$5="All",Dashboard!$B$5=""),C244=Dashboard!$B$5),OR(OR(Dashboard!$K$5="All",Dashboard!$K$5=""),A244=Dashboard!$K$5),OR(OR(Dashboard!$N$5="All",Dashboard!$N$5=""),B244=Dashboard!$N$5),OR(OR(Dashboard!$Q$5="All",Dashboard!$Q$5=""),D244=Dashboard!$Q$5),OR(OR(Dashboard!$U$5="All",Dashboard!$U$5=""),E244=Dashboard!$U$5)),1,0))</f>
        <v>0</v>
      </c>
      <c r="N244" s="178">
        <f>IF(E244="",0,IF(AND(OR(OR(Dashboard!$E$5="All",Dashboard!$E$5=""),AG244=Dashboard!$E$5),OR(OR(Dashboard!$B$5="All",Dashboard!$B$5=""),C244=Dashboard!$B$5),OR(OR(Dashboard!$K$5="All",Dashboard!$K$5=""),A244=Dashboard!$K$5),OR(OR(Dashboard!$N$5="All",Dashboard!$N$5=""),B244=Dashboard!$N$5),OR(OR(Dashboard!$Q$5="All",Dashboard!$Q$5=""),D244=Dashboard!$Q$5),OR(OR(Dashboard!$U$5="All",Dashboard!$U$5=""),E244=Dashboard!$U$5)),1,0))</f>
        <v>0</v>
      </c>
      <c r="O244" s="165">
        <f t="shared" si="29"/>
        <v>0</v>
      </c>
      <c r="AG244" s="178" t="str">
        <f>IF(E244="","",IFERROR(IF(INDEX('Item Purchases'!$AM$4:$AM$30,MATCH(E244,'Item Purchases'!$B$4:$B$30,0))="","Uncategorised",INDEX('Item Purchases'!$AM$4:$AM$30,MATCH(E244,'Item Purchases'!$B$4:$B$30,0))),"Uncategorised"))</f>
        <v/>
      </c>
      <c r="AH244" s="165">
        <f>IF(AND(E244&lt;&gt;"",L244=1),COUNTIFS($E$2:E244,E244,$L$2:L244,1),0)</f>
        <v>0</v>
      </c>
      <c r="AI244" s="165">
        <f t="shared" si="30"/>
        <v>0</v>
      </c>
      <c r="AJ244" s="165">
        <f t="shared" si="31"/>
        <v>0</v>
      </c>
    </row>
    <row r="245" spans="1:36" x14ac:dyDescent="0.25">
      <c r="A245" s="177">
        <f t="shared" ref="A245:A271" si="33">IF($Z$11="",0,$Z$11)</f>
        <v>46279</v>
      </c>
      <c r="B245" s="178" t="str">
        <f t="shared" si="26"/>
        <v>Mon</v>
      </c>
      <c r="C245" s="178" t="str">
        <f>'Pantry Inventory'!$A$34</f>
        <v>Sep Week 2</v>
      </c>
      <c r="D245" s="178" t="str">
        <f>IF('Pantry Inventory'!A37="","",'Pantry Inventory'!A37)</f>
        <v>Julie's</v>
      </c>
      <c r="E245" s="178" t="str">
        <f>IF('Pantry Inventory'!B37="","",'Pantry Inventory'!B37)</f>
        <v>Julie's Peanut Butter Sandwich 360g (12pkts x 30g)</v>
      </c>
      <c r="F245" s="178" t="str">
        <f>IF(E245="","",IFERROR(IF(INDEX('Item Purchases'!$S$4:$S$30,MATCH(E245,'Item Purchases'!$B$4:$B$30,0))="","Uncategorised",INDEX('Item Purchases'!$S$4:$S$30,MATCH(E245,'Item Purchases'!$B$4:$B$30,0))),"Uncategorised"))</f>
        <v>Sweet</v>
      </c>
      <c r="G245" s="178">
        <f>IF(E245="",0,'Pantry Inventory'!P37)</f>
        <v>0</v>
      </c>
      <c r="H245" s="178">
        <f>IF(E245="","",IF('Pantry Inventory'!Q37="","",'Pantry Inventory'!Q37))</f>
        <v>11</v>
      </c>
      <c r="I245" s="178">
        <f>IF(H245="","",'Pantry Inventory'!R37)</f>
        <v>11</v>
      </c>
      <c r="J245" s="179">
        <f>IF(E245="",0,IFERROR(INDEX('Item Purchases'!$Q$4:$Q$30,MATCH(E245,'Item Purchases'!$B$4:$B$30,0)),0))</f>
        <v>1.083</v>
      </c>
      <c r="K245" s="180">
        <f t="shared" si="27"/>
        <v>11.913</v>
      </c>
      <c r="L245" s="178">
        <f t="shared" si="28"/>
        <v>1</v>
      </c>
      <c r="M245" s="178">
        <f>IF(E245="",0,IF(AND(OR(OR(Dashboard!$E$5="All",Dashboard!$E$5=""),AG245=Dashboard!$E$5),OR(OR(Dashboard!$H$5="All",Dashboard!$H$5=""),F245=Dashboard!$H$5),OR(OR(Dashboard!$B$5="All",Dashboard!$B$5=""),C245=Dashboard!$B$5),OR(OR(Dashboard!$K$5="All",Dashboard!$K$5=""),A245=Dashboard!$K$5),OR(OR(Dashboard!$N$5="All",Dashboard!$N$5=""),B245=Dashboard!$N$5),OR(OR(Dashboard!$Q$5="All",Dashboard!$Q$5=""),D245=Dashboard!$Q$5),OR(OR(Dashboard!$U$5="All",Dashboard!$U$5=""),E245=Dashboard!$U$5)),1,0))</f>
        <v>1</v>
      </c>
      <c r="N245" s="178">
        <f>IF(E245="",0,IF(AND(OR(OR(Dashboard!$E$5="All",Dashboard!$E$5=""),AG245=Dashboard!$E$5),OR(OR(Dashboard!$B$5="All",Dashboard!$B$5=""),C245=Dashboard!$B$5),OR(OR(Dashboard!$K$5="All",Dashboard!$K$5=""),A245=Dashboard!$K$5),OR(OR(Dashboard!$N$5="All",Dashboard!$N$5=""),B245=Dashboard!$N$5),OR(OR(Dashboard!$Q$5="All",Dashboard!$Q$5=""),D245=Dashboard!$Q$5),OR(OR(Dashboard!$U$5="All",Dashboard!$U$5=""),E245=Dashboard!$U$5)),1,0))</f>
        <v>1</v>
      </c>
      <c r="O245" s="165">
        <f t="shared" si="29"/>
        <v>121</v>
      </c>
      <c r="AG245" s="178" t="str">
        <f>IF(E245="","",IFERROR(IF(INDEX('Item Purchases'!$AM$4:$AM$30,MATCH(E245,'Item Purchases'!$B$4:$B$30,0))="","Uncategorised",INDEX('Item Purchases'!$AM$4:$AM$30,MATCH(E245,'Item Purchases'!$B$4:$B$30,0))),"Uncategorised"))</f>
        <v>Snacks</v>
      </c>
      <c r="AH245" s="165">
        <f>IF(AND(E245&lt;&gt;"",L245=1),COUNTIFS($E$2:E245,E245,$L$2:L245,1),0)</f>
        <v>10</v>
      </c>
      <c r="AI245" s="165">
        <f t="shared" si="30"/>
        <v>11</v>
      </c>
      <c r="AJ245" s="165">
        <f t="shared" si="31"/>
        <v>1</v>
      </c>
    </row>
    <row r="246" spans="1:36" x14ac:dyDescent="0.25">
      <c r="A246" s="177">
        <f t="shared" si="33"/>
        <v>46279</v>
      </c>
      <c r="B246" s="178" t="str">
        <f t="shared" si="26"/>
        <v>Mon</v>
      </c>
      <c r="C246" s="178" t="str">
        <f>'Pantry Inventory'!$A$34</f>
        <v>Sep Week 2</v>
      </c>
      <c r="D246" s="178" t="str">
        <f>IF('Pantry Inventory'!A38="","",'Pantry Inventory'!A38)</f>
        <v>Julie's</v>
      </c>
      <c r="E246" s="178" t="str">
        <f>IF('Pantry Inventory'!B38="","",'Pantry Inventory'!B38)</f>
        <v>Julies Butter Waffles</v>
      </c>
      <c r="F246" s="178" t="str">
        <f>IF(E246="","",IFERROR(IF(INDEX('Item Purchases'!$S$4:$S$30,MATCH(E246,'Item Purchases'!$B$4:$B$30,0))="","Uncategorised",INDEX('Item Purchases'!$S$4:$S$30,MATCH(E246,'Item Purchases'!$B$4:$B$30,0))),"Uncategorised"))</f>
        <v>Sweet</v>
      </c>
      <c r="G246" s="178">
        <f>IF(E246="",0,'Pantry Inventory'!P38)</f>
        <v>0</v>
      </c>
      <c r="H246" s="178">
        <f>IF(E246="","",IF('Pantry Inventory'!Q38="","",'Pantry Inventory'!Q38))</f>
        <v>5</v>
      </c>
      <c r="I246" s="178">
        <f>IF(H246="","",'Pantry Inventory'!R38)</f>
        <v>5</v>
      </c>
      <c r="J246" s="179">
        <f>IF(E246="",0,IFERROR(INDEX('Item Purchases'!$Q$4:$Q$30,MATCH(E246,'Item Purchases'!$B$4:$B$30,0)),0))</f>
        <v>5.15</v>
      </c>
      <c r="K246" s="180">
        <f t="shared" si="27"/>
        <v>25.75</v>
      </c>
      <c r="L246" s="178">
        <f t="shared" si="28"/>
        <v>1</v>
      </c>
      <c r="M246" s="178">
        <f>IF(E246="",0,IF(AND(OR(OR(Dashboard!$E$5="All",Dashboard!$E$5=""),AG246=Dashboard!$E$5),OR(OR(Dashboard!$H$5="All",Dashboard!$H$5=""),F246=Dashboard!$H$5),OR(OR(Dashboard!$B$5="All",Dashboard!$B$5=""),C246=Dashboard!$B$5),OR(OR(Dashboard!$K$5="All",Dashboard!$K$5=""),A246=Dashboard!$K$5),OR(OR(Dashboard!$N$5="All",Dashboard!$N$5=""),B246=Dashboard!$N$5),OR(OR(Dashboard!$Q$5="All",Dashboard!$Q$5=""),D246=Dashboard!$Q$5),OR(OR(Dashboard!$U$5="All",Dashboard!$U$5=""),E246=Dashboard!$U$5)),1,0))</f>
        <v>1</v>
      </c>
      <c r="N246" s="178">
        <f>IF(E246="",0,IF(AND(OR(OR(Dashboard!$E$5="All",Dashboard!$E$5=""),AG246=Dashboard!$E$5),OR(OR(Dashboard!$B$5="All",Dashboard!$B$5=""),C246=Dashboard!$B$5),OR(OR(Dashboard!$K$5="All",Dashboard!$K$5=""),A246=Dashboard!$K$5),OR(OR(Dashboard!$N$5="All",Dashboard!$N$5=""),B246=Dashboard!$N$5),OR(OR(Dashboard!$Q$5="All",Dashboard!$Q$5=""),D246=Dashboard!$Q$5),OR(OR(Dashboard!$U$5="All",Dashboard!$U$5=""),E246=Dashboard!$U$5)),1,0))</f>
        <v>1</v>
      </c>
      <c r="O246" s="165">
        <f t="shared" si="29"/>
        <v>25</v>
      </c>
      <c r="AG246" s="178" t="str">
        <f>IF(E246="","",IFERROR(IF(INDEX('Item Purchases'!$AM$4:$AM$30,MATCH(E246,'Item Purchases'!$B$4:$B$30,0))="","Uncategorised",INDEX('Item Purchases'!$AM$4:$AM$30,MATCH(E246,'Item Purchases'!$B$4:$B$30,0))),"Uncategorised"))</f>
        <v>Snacks</v>
      </c>
      <c r="AH246" s="165">
        <f>IF(AND(E246&lt;&gt;"",L246=1),COUNTIFS($E$2:E246,E246,$L$2:L246,1),0)</f>
        <v>10</v>
      </c>
      <c r="AI246" s="165">
        <f t="shared" si="30"/>
        <v>5</v>
      </c>
      <c r="AJ246" s="165">
        <f t="shared" si="31"/>
        <v>1</v>
      </c>
    </row>
    <row r="247" spans="1:36" x14ac:dyDescent="0.25">
      <c r="A247" s="177">
        <f t="shared" si="33"/>
        <v>46279</v>
      </c>
      <c r="B247" s="178" t="str">
        <f t="shared" si="26"/>
        <v>Mon</v>
      </c>
      <c r="C247" s="178" t="str">
        <f>'Pantry Inventory'!$A$34</f>
        <v>Sep Week 2</v>
      </c>
      <c r="D247" s="178" t="str">
        <f>IF('Pantry Inventory'!A39="","",'Pantry Inventory'!A39)</f>
        <v>Julie's</v>
      </c>
      <c r="E247" s="178" t="str">
        <f>IF('Pantry Inventory'!B39="","",'Pantry Inventory'!B39)</f>
        <v>Julies Choco More Sandwich (44G)</v>
      </c>
      <c r="F247" s="178" t="str">
        <f>IF(E247="","",IFERROR(IF(INDEX('Item Purchases'!$S$4:$S$30,MATCH(E247,'Item Purchases'!$B$4:$B$30,0))="","Uncategorised",INDEX('Item Purchases'!$S$4:$S$30,MATCH(E247,'Item Purchases'!$B$4:$B$30,0))),"Uncategorised"))</f>
        <v>Sweet</v>
      </c>
      <c r="G247" s="178">
        <f>IF(E247="",0,'Pantry Inventory'!P39)</f>
        <v>0</v>
      </c>
      <c r="H247" s="178">
        <f>IF(E247="","",IF('Pantry Inventory'!Q39="","",'Pantry Inventory'!Q39))</f>
        <v>0</v>
      </c>
      <c r="I247" s="178">
        <f>IF(H247="","",'Pantry Inventory'!R39)</f>
        <v>0</v>
      </c>
      <c r="J247" s="179">
        <f>IF(E247="",0,IFERROR(INDEX('Item Purchases'!$Q$4:$Q$30,MATCH(E247,'Item Purchases'!$B$4:$B$30,0)),0))</f>
        <v>1.2</v>
      </c>
      <c r="K247" s="180">
        <f t="shared" si="27"/>
        <v>0</v>
      </c>
      <c r="L247" s="178">
        <f t="shared" si="28"/>
        <v>1</v>
      </c>
      <c r="M247" s="178">
        <f>IF(E247="",0,IF(AND(OR(OR(Dashboard!$E$5="All",Dashboard!$E$5=""),AG247=Dashboard!$E$5),OR(OR(Dashboard!$H$5="All",Dashboard!$H$5=""),F247=Dashboard!$H$5),OR(OR(Dashboard!$B$5="All",Dashboard!$B$5=""),C247=Dashboard!$B$5),OR(OR(Dashboard!$K$5="All",Dashboard!$K$5=""),A247=Dashboard!$K$5),OR(OR(Dashboard!$N$5="All",Dashboard!$N$5=""),B247=Dashboard!$N$5),OR(OR(Dashboard!$Q$5="All",Dashboard!$Q$5=""),D247=Dashboard!$Q$5),OR(OR(Dashboard!$U$5="All",Dashboard!$U$5=""),E247=Dashboard!$U$5)),1,0))</f>
        <v>1</v>
      </c>
      <c r="N247" s="178">
        <f>IF(E247="",0,IF(AND(OR(OR(Dashboard!$E$5="All",Dashboard!$E$5=""),AG247=Dashboard!$E$5),OR(OR(Dashboard!$B$5="All",Dashboard!$B$5=""),C247=Dashboard!$B$5),OR(OR(Dashboard!$K$5="All",Dashboard!$K$5=""),A247=Dashboard!$K$5),OR(OR(Dashboard!$N$5="All",Dashboard!$N$5=""),B247=Dashboard!$N$5),OR(OR(Dashboard!$Q$5="All",Dashboard!$Q$5=""),D247=Dashboard!$Q$5),OR(OR(Dashboard!$U$5="All",Dashboard!$U$5=""),E247=Dashboard!$U$5)),1,0))</f>
        <v>1</v>
      </c>
      <c r="O247" s="165">
        <f t="shared" si="29"/>
        <v>0</v>
      </c>
      <c r="AG247" s="178" t="str">
        <f>IF(E247="","",IFERROR(IF(INDEX('Item Purchases'!$AM$4:$AM$30,MATCH(E247,'Item Purchases'!$B$4:$B$30,0))="","Uncategorised",INDEX('Item Purchases'!$AM$4:$AM$30,MATCH(E247,'Item Purchases'!$B$4:$B$30,0))),"Uncategorised"))</f>
        <v>Snacks</v>
      </c>
      <c r="AH247" s="165">
        <f>IF(AND(E247&lt;&gt;"",L247=1),COUNTIFS($E$2:E247,E247,$L$2:L247,1),0)</f>
        <v>10</v>
      </c>
      <c r="AI247" s="165">
        <f t="shared" si="30"/>
        <v>0</v>
      </c>
      <c r="AJ247" s="165">
        <f t="shared" si="31"/>
        <v>0</v>
      </c>
    </row>
    <row r="248" spans="1:36" x14ac:dyDescent="0.25">
      <c r="A248" s="177">
        <f t="shared" si="33"/>
        <v>46279</v>
      </c>
      <c r="B248" s="178" t="str">
        <f t="shared" si="26"/>
        <v>Mon</v>
      </c>
      <c r="C248" s="178" t="str">
        <f>'Pantry Inventory'!$A$34</f>
        <v>Sep Week 2</v>
      </c>
      <c r="D248" s="178" t="str">
        <f>IF('Pantry Inventory'!A40="","",'Pantry Inventory'!A40)</f>
        <v>Julie's</v>
      </c>
      <c r="E248" s="178" t="str">
        <f>IF('Pantry Inventory'!B40="","",'Pantry Inventory'!B40)</f>
        <v>Julies Cheese Sandwich (28G)</v>
      </c>
      <c r="F248" s="178" t="str">
        <f>IF(E248="","",IFERROR(IF(INDEX('Item Purchases'!$S$4:$S$30,MATCH(E248,'Item Purchases'!$B$4:$B$30,0))="","Uncategorised",INDEX('Item Purchases'!$S$4:$S$30,MATCH(E248,'Item Purchases'!$B$4:$B$30,0))),"Uncategorised"))</f>
        <v>Savoury</v>
      </c>
      <c r="G248" s="178">
        <f>IF(E248="",0,'Pantry Inventory'!P40)</f>
        <v>0</v>
      </c>
      <c r="H248" s="178">
        <f>IF(E248="","",IF('Pantry Inventory'!Q40="","",'Pantry Inventory'!Q40))</f>
        <v>26</v>
      </c>
      <c r="I248" s="178">
        <f>IF(H248="","",'Pantry Inventory'!R40)</f>
        <v>5</v>
      </c>
      <c r="J248" s="179">
        <f>IF(E248="",0,IFERROR(INDEX('Item Purchases'!$Q$4:$Q$30,MATCH(E248,'Item Purchases'!$B$4:$B$30,0)),0))</f>
        <v>1.1000000000000001</v>
      </c>
      <c r="K248" s="180">
        <f t="shared" si="27"/>
        <v>5.5</v>
      </c>
      <c r="L248" s="178">
        <f t="shared" si="28"/>
        <v>1</v>
      </c>
      <c r="M248" s="178">
        <f>IF(E248="",0,IF(AND(OR(OR(Dashboard!$E$5="All",Dashboard!$E$5=""),AG248=Dashboard!$E$5),OR(OR(Dashboard!$H$5="All",Dashboard!$H$5=""),F248=Dashboard!$H$5),OR(OR(Dashboard!$B$5="All",Dashboard!$B$5=""),C248=Dashboard!$B$5),OR(OR(Dashboard!$K$5="All",Dashboard!$K$5=""),A248=Dashboard!$K$5),OR(OR(Dashboard!$N$5="All",Dashboard!$N$5=""),B248=Dashboard!$N$5),OR(OR(Dashboard!$Q$5="All",Dashboard!$Q$5=""),D248=Dashboard!$Q$5),OR(OR(Dashboard!$U$5="All",Dashboard!$U$5=""),E248=Dashboard!$U$5)),1,0))</f>
        <v>1</v>
      </c>
      <c r="N248" s="178">
        <f>IF(E248="",0,IF(AND(OR(OR(Dashboard!$E$5="All",Dashboard!$E$5=""),AG248=Dashboard!$E$5),OR(OR(Dashboard!$B$5="All",Dashboard!$B$5=""),C248=Dashboard!$B$5),OR(OR(Dashboard!$K$5="All",Dashboard!$K$5=""),A248=Dashboard!$K$5),OR(OR(Dashboard!$N$5="All",Dashboard!$N$5=""),B248=Dashboard!$N$5),OR(OR(Dashboard!$Q$5="All",Dashboard!$Q$5=""),D248=Dashboard!$Q$5),OR(OR(Dashboard!$U$5="All",Dashboard!$U$5=""),E248=Dashboard!$U$5)),1,0))</f>
        <v>1</v>
      </c>
      <c r="O248" s="165">
        <f t="shared" si="29"/>
        <v>25</v>
      </c>
      <c r="AG248" s="178" t="str">
        <f>IF(E248="","",IFERROR(IF(INDEX('Item Purchases'!$AM$4:$AM$30,MATCH(E248,'Item Purchases'!$B$4:$B$30,0))="","Uncategorised",INDEX('Item Purchases'!$AM$4:$AM$30,MATCH(E248,'Item Purchases'!$B$4:$B$30,0))),"Uncategorised"))</f>
        <v>Snacks</v>
      </c>
      <c r="AH248" s="165">
        <f>IF(AND(E248&lt;&gt;"",L248=1),COUNTIFS($E$2:E248,E248,$L$2:L248,1),0)</f>
        <v>10</v>
      </c>
      <c r="AI248" s="165">
        <f t="shared" si="30"/>
        <v>5</v>
      </c>
      <c r="AJ248" s="165">
        <f t="shared" si="31"/>
        <v>1</v>
      </c>
    </row>
    <row r="249" spans="1:36" x14ac:dyDescent="0.25">
      <c r="A249" s="177">
        <f t="shared" si="33"/>
        <v>46279</v>
      </c>
      <c r="B249" s="178" t="str">
        <f t="shared" si="26"/>
        <v>Mon</v>
      </c>
      <c r="C249" s="178" t="str">
        <f>'Pantry Inventory'!$A$34</f>
        <v>Sep Week 2</v>
      </c>
      <c r="D249" s="178" t="str">
        <f>IF('Pantry Inventory'!A41="","",'Pantry Inventory'!A41)</f>
        <v>Nature Valley</v>
      </c>
      <c r="E249" s="178" t="str">
        <f>IF('Pantry Inventory'!B41="","",'Pantry Inventory'!B41)</f>
        <v>NV OATS &amp; DARK CHOC 42GX5</v>
      </c>
      <c r="F249" s="178" t="str">
        <f>IF(E249="","",IFERROR(IF(INDEX('Item Purchases'!$S$4:$S$30,MATCH(E249,'Item Purchases'!$B$4:$B$30,0))="","Uncategorised",INDEX('Item Purchases'!$S$4:$S$30,MATCH(E249,'Item Purchases'!$B$4:$B$30,0))),"Uncategorised"))</f>
        <v>Sweet</v>
      </c>
      <c r="G249" s="178">
        <f>IF(E249="",0,'Pantry Inventory'!P41)</f>
        <v>0</v>
      </c>
      <c r="H249" s="178">
        <f>IF(E249="","",IF('Pantry Inventory'!Q41="","",'Pantry Inventory'!Q41))</f>
        <v>0</v>
      </c>
      <c r="I249" s="178">
        <f>IF(H249="","",'Pantry Inventory'!R41)</f>
        <v>0</v>
      </c>
      <c r="J249" s="179">
        <f>IF(E249="",0,IFERROR(INDEX('Item Purchases'!$Q$4:$Q$30,MATCH(E249,'Item Purchases'!$B$4:$B$30,0)),0))</f>
        <v>2.78</v>
      </c>
      <c r="K249" s="180">
        <f t="shared" si="27"/>
        <v>0</v>
      </c>
      <c r="L249" s="178">
        <f t="shared" si="28"/>
        <v>1</v>
      </c>
      <c r="M249" s="178">
        <f>IF(E249="",0,IF(AND(OR(OR(Dashboard!$E$5="All",Dashboard!$E$5=""),AG249=Dashboard!$E$5),OR(OR(Dashboard!$H$5="All",Dashboard!$H$5=""),F249=Dashboard!$H$5),OR(OR(Dashboard!$B$5="All",Dashboard!$B$5=""),C249=Dashboard!$B$5),OR(OR(Dashboard!$K$5="All",Dashboard!$K$5=""),A249=Dashboard!$K$5),OR(OR(Dashboard!$N$5="All",Dashboard!$N$5=""),B249=Dashboard!$N$5),OR(OR(Dashboard!$Q$5="All",Dashboard!$Q$5=""),D249=Dashboard!$Q$5),OR(OR(Dashboard!$U$5="All",Dashboard!$U$5=""),E249=Dashboard!$U$5)),1,0))</f>
        <v>1</v>
      </c>
      <c r="N249" s="178">
        <f>IF(E249="",0,IF(AND(OR(OR(Dashboard!$E$5="All",Dashboard!$E$5=""),AG249=Dashboard!$E$5),OR(OR(Dashboard!$B$5="All",Dashboard!$B$5=""),C249=Dashboard!$B$5),OR(OR(Dashboard!$K$5="All",Dashboard!$K$5=""),A249=Dashboard!$K$5),OR(OR(Dashboard!$N$5="All",Dashboard!$N$5=""),B249=Dashboard!$N$5),OR(OR(Dashboard!$Q$5="All",Dashboard!$Q$5=""),D249=Dashboard!$Q$5),OR(OR(Dashboard!$U$5="All",Dashboard!$U$5=""),E249=Dashboard!$U$5)),1,0))</f>
        <v>1</v>
      </c>
      <c r="O249" s="165">
        <f t="shared" si="29"/>
        <v>0</v>
      </c>
      <c r="AG249" s="178" t="str">
        <f>IF(E249="","",IFERROR(IF(INDEX('Item Purchases'!$AM$4:$AM$30,MATCH(E249,'Item Purchases'!$B$4:$B$30,0))="","Uncategorised",INDEX('Item Purchases'!$AM$4:$AM$30,MATCH(E249,'Item Purchases'!$B$4:$B$30,0))),"Uncategorised"))</f>
        <v>Snacks</v>
      </c>
      <c r="AH249" s="165">
        <f>IF(AND(E249&lt;&gt;"",L249=1),COUNTIFS($E$2:E249,E249,$L$2:L249,1),0)</f>
        <v>10</v>
      </c>
      <c r="AI249" s="165">
        <f t="shared" si="30"/>
        <v>0</v>
      </c>
      <c r="AJ249" s="165">
        <f t="shared" si="31"/>
        <v>0</v>
      </c>
    </row>
    <row r="250" spans="1:36" x14ac:dyDescent="0.25">
      <c r="A250" s="177">
        <f t="shared" si="33"/>
        <v>46279</v>
      </c>
      <c r="B250" s="178" t="str">
        <f t="shared" si="26"/>
        <v>Mon</v>
      </c>
      <c r="C250" s="178" t="str">
        <f>'Pantry Inventory'!$A$34</f>
        <v>Sep Week 2</v>
      </c>
      <c r="D250" s="178" t="str">
        <f>IF('Pantry Inventory'!A42="","",'Pantry Inventory'!A42)</f>
        <v>Nature Valley</v>
      </c>
      <c r="E250" s="178" t="str">
        <f>IF('Pantry Inventory'!B42="","",'Pantry Inventory'!B42)</f>
        <v xml:space="preserve">NV PROTEIN - SALTED CARAMEL 40G </v>
      </c>
      <c r="F250" s="178" t="str">
        <f>IF(E250="","",IFERROR(IF(INDEX('Item Purchases'!$S$4:$S$30,MATCH(E250,'Item Purchases'!$B$4:$B$30,0))="","Uncategorised",INDEX('Item Purchases'!$S$4:$S$30,MATCH(E250,'Item Purchases'!$B$4:$B$30,0))),"Uncategorised"))</f>
        <v>Sweet</v>
      </c>
      <c r="G250" s="178">
        <f>IF(E250="",0,'Pantry Inventory'!P42)</f>
        <v>0</v>
      </c>
      <c r="H250" s="178">
        <f>IF(E250="","",IF('Pantry Inventory'!Q42="","",'Pantry Inventory'!Q42))</f>
        <v>0</v>
      </c>
      <c r="I250" s="178">
        <f>IF(H250="","",'Pantry Inventory'!R42)</f>
        <v>0</v>
      </c>
      <c r="J250" s="179">
        <f>IF(E250="",0,IFERROR(INDEX('Item Purchases'!$Q$4:$Q$30,MATCH(E250,'Item Purchases'!$B$4:$B$30,0)),0))</f>
        <v>4.9000000000000004</v>
      </c>
      <c r="K250" s="180">
        <f t="shared" si="27"/>
        <v>0</v>
      </c>
      <c r="L250" s="178">
        <f t="shared" si="28"/>
        <v>1</v>
      </c>
      <c r="M250" s="178">
        <f>IF(E250="",0,IF(AND(OR(OR(Dashboard!$E$5="All",Dashboard!$E$5=""),AG250=Dashboard!$E$5),OR(OR(Dashboard!$H$5="All",Dashboard!$H$5=""),F250=Dashboard!$H$5),OR(OR(Dashboard!$B$5="All",Dashboard!$B$5=""),C250=Dashboard!$B$5),OR(OR(Dashboard!$K$5="All",Dashboard!$K$5=""),A250=Dashboard!$K$5),OR(OR(Dashboard!$N$5="All",Dashboard!$N$5=""),B250=Dashboard!$N$5),OR(OR(Dashboard!$Q$5="All",Dashboard!$Q$5=""),D250=Dashboard!$Q$5),OR(OR(Dashboard!$U$5="All",Dashboard!$U$5=""),E250=Dashboard!$U$5)),1,0))</f>
        <v>1</v>
      </c>
      <c r="N250" s="178">
        <f>IF(E250="",0,IF(AND(OR(OR(Dashboard!$E$5="All",Dashboard!$E$5=""),AG250=Dashboard!$E$5),OR(OR(Dashboard!$B$5="All",Dashboard!$B$5=""),C250=Dashboard!$B$5),OR(OR(Dashboard!$K$5="All",Dashboard!$K$5=""),A250=Dashboard!$K$5),OR(OR(Dashboard!$N$5="All",Dashboard!$N$5=""),B250=Dashboard!$N$5),OR(OR(Dashboard!$Q$5="All",Dashboard!$Q$5=""),D250=Dashboard!$Q$5),OR(OR(Dashboard!$U$5="All",Dashboard!$U$5=""),E250=Dashboard!$U$5)),1,0))</f>
        <v>1</v>
      </c>
      <c r="O250" s="165">
        <f t="shared" si="29"/>
        <v>0</v>
      </c>
      <c r="AG250" s="178" t="str">
        <f>IF(E250="","",IFERROR(IF(INDEX('Item Purchases'!$AM$4:$AM$30,MATCH(E250,'Item Purchases'!$B$4:$B$30,0))="","Uncategorised",INDEX('Item Purchases'!$AM$4:$AM$30,MATCH(E250,'Item Purchases'!$B$4:$B$30,0))),"Uncategorised"))</f>
        <v>Snacks</v>
      </c>
      <c r="AH250" s="165">
        <f>IF(AND(E250&lt;&gt;"",L250=1),COUNTIFS($E$2:E250,E250,$L$2:L250,1),0)</f>
        <v>10</v>
      </c>
      <c r="AI250" s="165">
        <f t="shared" si="30"/>
        <v>0</v>
      </c>
      <c r="AJ250" s="165">
        <f t="shared" si="31"/>
        <v>0</v>
      </c>
    </row>
    <row r="251" spans="1:36" x14ac:dyDescent="0.25">
      <c r="A251" s="177">
        <f t="shared" si="33"/>
        <v>46279</v>
      </c>
      <c r="B251" s="178" t="str">
        <f t="shared" si="26"/>
        <v>Mon</v>
      </c>
      <c r="C251" s="178" t="str">
        <f>'Pantry Inventory'!$A$34</f>
        <v>Sep Week 2</v>
      </c>
      <c r="D251" s="178" t="str">
        <f>IF('Pantry Inventory'!A43="","",'Pantry Inventory'!A43)</f>
        <v>BBMG</v>
      </c>
      <c r="E251" s="178" t="str">
        <f>IF('Pantry Inventory'!B43="","",'Pantry Inventory'!B43)</f>
        <v>BBMG 90G</v>
      </c>
      <c r="F251" s="178" t="str">
        <f>IF(E251="","",IFERROR(IF(INDEX('Item Purchases'!$S$4:$S$30,MATCH(E251,'Item Purchases'!$B$4:$B$30,0))="","Uncategorised",INDEX('Item Purchases'!$S$4:$S$30,MATCH(E251,'Item Purchases'!$B$4:$B$30,0))),"Uncategorised"))</f>
        <v>Savoury</v>
      </c>
      <c r="G251" s="178">
        <f>IF(E251="",0,'Pantry Inventory'!P43)</f>
        <v>0</v>
      </c>
      <c r="H251" s="178">
        <f>IF(E251="","",IF('Pantry Inventory'!Q43="","",'Pantry Inventory'!Q43))</f>
        <v>0</v>
      </c>
      <c r="I251" s="178">
        <f>IF(H251="","",'Pantry Inventory'!R43)</f>
        <v>0</v>
      </c>
      <c r="J251" s="179">
        <f>IF(E251="",0,IFERROR(INDEX('Item Purchases'!$Q$4:$Q$30,MATCH(E251,'Item Purchases'!$B$4:$B$30,0)),0))</f>
        <v>0.34300000000000003</v>
      </c>
      <c r="K251" s="180">
        <f t="shared" si="27"/>
        <v>0</v>
      </c>
      <c r="L251" s="178">
        <f t="shared" si="28"/>
        <v>1</v>
      </c>
      <c r="M251" s="178">
        <f>IF(E251="",0,IF(AND(OR(OR(Dashboard!$E$5="All",Dashboard!$E$5=""),AG251=Dashboard!$E$5),OR(OR(Dashboard!$H$5="All",Dashboard!$H$5=""),F251=Dashboard!$H$5),OR(OR(Dashboard!$B$5="All",Dashboard!$B$5=""),C251=Dashboard!$B$5),OR(OR(Dashboard!$K$5="All",Dashboard!$K$5=""),A251=Dashboard!$K$5),OR(OR(Dashboard!$N$5="All",Dashboard!$N$5=""),B251=Dashboard!$N$5),OR(OR(Dashboard!$Q$5="All",Dashboard!$Q$5=""),D251=Dashboard!$Q$5),OR(OR(Dashboard!$U$5="All",Dashboard!$U$5=""),E251=Dashboard!$U$5)),1,0))</f>
        <v>1</v>
      </c>
      <c r="N251" s="178">
        <f>IF(E251="",0,IF(AND(OR(OR(Dashboard!$E$5="All",Dashboard!$E$5=""),AG251=Dashboard!$E$5),OR(OR(Dashboard!$B$5="All",Dashboard!$B$5=""),C251=Dashboard!$B$5),OR(OR(Dashboard!$K$5="All",Dashboard!$K$5=""),A251=Dashboard!$K$5),OR(OR(Dashboard!$N$5="All",Dashboard!$N$5=""),B251=Dashboard!$N$5),OR(OR(Dashboard!$Q$5="All",Dashboard!$Q$5=""),D251=Dashboard!$Q$5),OR(OR(Dashboard!$U$5="All",Dashboard!$U$5=""),E251=Dashboard!$U$5)),1,0))</f>
        <v>1</v>
      </c>
      <c r="O251" s="165">
        <f t="shared" si="29"/>
        <v>0</v>
      </c>
      <c r="AG251" s="178" t="str">
        <f>IF(E251="","",IFERROR(IF(INDEX('Item Purchases'!$AM$4:$AM$30,MATCH(E251,'Item Purchases'!$B$4:$B$30,0))="","Uncategorised",INDEX('Item Purchases'!$AM$4:$AM$30,MATCH(E251,'Item Purchases'!$B$4:$B$30,0))),"Uncategorised"))</f>
        <v>Snacks</v>
      </c>
      <c r="AH251" s="165">
        <f>IF(AND(E251&lt;&gt;"",L251=1),COUNTIFS($E$2:E251,E251,$L$2:L251,1),0)</f>
        <v>10</v>
      </c>
      <c r="AI251" s="165">
        <f t="shared" si="30"/>
        <v>0</v>
      </c>
      <c r="AJ251" s="165">
        <f t="shared" si="31"/>
        <v>0</v>
      </c>
    </row>
    <row r="252" spans="1:36" x14ac:dyDescent="0.25">
      <c r="A252" s="177">
        <f t="shared" si="33"/>
        <v>46279</v>
      </c>
      <c r="B252" s="178" t="str">
        <f t="shared" si="26"/>
        <v>Mon</v>
      </c>
      <c r="C252" s="178" t="str">
        <f>'Pantry Inventory'!$A$34</f>
        <v>Sep Week 2</v>
      </c>
      <c r="D252" s="178" t="str">
        <f>IF('Pantry Inventory'!A44="","",'Pantry Inventory'!A44)</f>
        <v>Lays</v>
      </c>
      <c r="E252" s="178" t="str">
        <f>IF('Pantry Inventory'!B44="","",'Pantry Inventory'!B44)</f>
        <v>Lays Potato Chips (Original) 50g</v>
      </c>
      <c r="F252" s="178" t="str">
        <f>IF(E252="","",IFERROR(IF(INDEX('Item Purchases'!$S$4:$S$30,MATCH(E252,'Item Purchases'!$B$4:$B$30,0))="","Uncategorised",INDEX('Item Purchases'!$S$4:$S$30,MATCH(E252,'Item Purchases'!$B$4:$B$30,0))),"Uncategorised"))</f>
        <v>Savoury</v>
      </c>
      <c r="G252" s="178">
        <f>IF(E252="",0,'Pantry Inventory'!P44)</f>
        <v>0</v>
      </c>
      <c r="H252" s="178">
        <f>IF(E252="","",IF('Pantry Inventory'!Q44="","",'Pantry Inventory'!Q44))</f>
        <v>39</v>
      </c>
      <c r="I252" s="178">
        <f>IF(H252="","",'Pantry Inventory'!R44)</f>
        <v>1</v>
      </c>
      <c r="J252" s="179">
        <f>IF(E252="",0,IFERROR(INDEX('Item Purchases'!$Q$4:$Q$30,MATCH(E252,'Item Purchases'!$B$4:$B$30,0)),0))</f>
        <v>3.4580000000000002</v>
      </c>
      <c r="K252" s="180">
        <f t="shared" si="27"/>
        <v>3.4580000000000002</v>
      </c>
      <c r="L252" s="178">
        <f t="shared" si="28"/>
        <v>1</v>
      </c>
      <c r="M252" s="178">
        <f>IF(E252="",0,IF(AND(OR(OR(Dashboard!$E$5="All",Dashboard!$E$5=""),AG252=Dashboard!$E$5),OR(OR(Dashboard!$H$5="All",Dashboard!$H$5=""),F252=Dashboard!$H$5),OR(OR(Dashboard!$B$5="All",Dashboard!$B$5=""),C252=Dashboard!$B$5),OR(OR(Dashboard!$K$5="All",Dashboard!$K$5=""),A252=Dashboard!$K$5),OR(OR(Dashboard!$N$5="All",Dashboard!$N$5=""),B252=Dashboard!$N$5),OR(OR(Dashboard!$Q$5="All",Dashboard!$Q$5=""),D252=Dashboard!$Q$5),OR(OR(Dashboard!$U$5="All",Dashboard!$U$5=""),E252=Dashboard!$U$5)),1,0))</f>
        <v>1</v>
      </c>
      <c r="N252" s="178">
        <f>IF(E252="",0,IF(AND(OR(OR(Dashboard!$E$5="All",Dashboard!$E$5=""),AG252=Dashboard!$E$5),OR(OR(Dashboard!$B$5="All",Dashboard!$B$5=""),C252=Dashboard!$B$5),OR(OR(Dashboard!$K$5="All",Dashboard!$K$5=""),A252=Dashboard!$K$5),OR(OR(Dashboard!$N$5="All",Dashboard!$N$5=""),B252=Dashboard!$N$5),OR(OR(Dashboard!$Q$5="All",Dashboard!$Q$5=""),D252=Dashboard!$Q$5),OR(OR(Dashboard!$U$5="All",Dashboard!$U$5=""),E252=Dashboard!$U$5)),1,0))</f>
        <v>1</v>
      </c>
      <c r="O252" s="165">
        <f t="shared" si="29"/>
        <v>1</v>
      </c>
      <c r="AG252" s="178" t="str">
        <f>IF(E252="","",IFERROR(IF(INDEX('Item Purchases'!$AM$4:$AM$30,MATCH(E252,'Item Purchases'!$B$4:$B$30,0))="","Uncategorised",INDEX('Item Purchases'!$AM$4:$AM$30,MATCH(E252,'Item Purchases'!$B$4:$B$30,0))),"Uncategorised"))</f>
        <v>Snacks</v>
      </c>
      <c r="AH252" s="165">
        <f>IF(AND(E252&lt;&gt;"",L252=1),COUNTIFS($E$2:E252,E252,$L$2:L252,1),0)</f>
        <v>10</v>
      </c>
      <c r="AI252" s="165">
        <f t="shared" si="30"/>
        <v>1</v>
      </c>
      <c r="AJ252" s="165">
        <f t="shared" si="31"/>
        <v>1</v>
      </c>
    </row>
    <row r="253" spans="1:36" x14ac:dyDescent="0.25">
      <c r="A253" s="177">
        <f t="shared" si="33"/>
        <v>46279</v>
      </c>
      <c r="B253" s="178" t="str">
        <f t="shared" si="26"/>
        <v>Mon</v>
      </c>
      <c r="C253" s="178" t="str">
        <f>'Pantry Inventory'!$A$34</f>
        <v>Sep Week 2</v>
      </c>
      <c r="D253" s="178" t="str">
        <f>IF('Pantry Inventory'!A45="","",'Pantry Inventory'!A45)</f>
        <v>Lays</v>
      </c>
      <c r="E253" s="178" t="str">
        <f>IF('Pantry Inventory'!B45="","",'Pantry Inventory'!B45)</f>
        <v xml:space="preserve">Lays Double Crunch - Seaweed Flav (50g) </v>
      </c>
      <c r="F253" s="178" t="str">
        <f>IF(E253="","",IFERROR(IF(INDEX('Item Purchases'!$S$4:$S$30,MATCH(E253,'Item Purchases'!$B$4:$B$30,0))="","Uncategorised",INDEX('Item Purchases'!$S$4:$S$30,MATCH(E253,'Item Purchases'!$B$4:$B$30,0))),"Uncategorised"))</f>
        <v>Savoury</v>
      </c>
      <c r="G253" s="178">
        <f>IF(E253="",0,'Pantry Inventory'!P45)</f>
        <v>0</v>
      </c>
      <c r="H253" s="178">
        <f>IF(E253="","",IF('Pantry Inventory'!Q45="","",'Pantry Inventory'!Q45))</f>
        <v>17</v>
      </c>
      <c r="I253" s="178">
        <f>IF(H253="","",'Pantry Inventory'!R45)</f>
        <v>14</v>
      </c>
      <c r="J253" s="179">
        <f>IF(E253="",0,IFERROR(INDEX('Item Purchases'!$Q$4:$Q$30,MATCH(E253,'Item Purchases'!$B$4:$B$30,0)),0))</f>
        <v>4</v>
      </c>
      <c r="K253" s="180">
        <f t="shared" si="27"/>
        <v>56</v>
      </c>
      <c r="L253" s="178">
        <f t="shared" si="28"/>
        <v>1</v>
      </c>
      <c r="M253" s="178">
        <f>IF(E253="",0,IF(AND(OR(OR(Dashboard!$E$5="All",Dashboard!$E$5=""),AG253=Dashboard!$E$5),OR(OR(Dashboard!$H$5="All",Dashboard!$H$5=""),F253=Dashboard!$H$5),OR(OR(Dashboard!$B$5="All",Dashboard!$B$5=""),C253=Dashboard!$B$5),OR(OR(Dashboard!$K$5="All",Dashboard!$K$5=""),A253=Dashboard!$K$5),OR(OR(Dashboard!$N$5="All",Dashboard!$N$5=""),B253=Dashboard!$N$5),OR(OR(Dashboard!$Q$5="All",Dashboard!$Q$5=""),D253=Dashboard!$Q$5),OR(OR(Dashboard!$U$5="All",Dashboard!$U$5=""),E253=Dashboard!$U$5)),1,0))</f>
        <v>1</v>
      </c>
      <c r="N253" s="178">
        <f>IF(E253="",0,IF(AND(OR(OR(Dashboard!$E$5="All",Dashboard!$E$5=""),AG253=Dashboard!$E$5),OR(OR(Dashboard!$B$5="All",Dashboard!$B$5=""),C253=Dashboard!$B$5),OR(OR(Dashboard!$K$5="All",Dashboard!$K$5=""),A253=Dashboard!$K$5),OR(OR(Dashboard!$N$5="All",Dashboard!$N$5=""),B253=Dashboard!$N$5),OR(OR(Dashboard!$Q$5="All",Dashboard!$Q$5=""),D253=Dashboard!$Q$5),OR(OR(Dashboard!$U$5="All",Dashboard!$U$5=""),E253=Dashboard!$U$5)),1,0))</f>
        <v>1</v>
      </c>
      <c r="O253" s="165">
        <f t="shared" si="29"/>
        <v>196</v>
      </c>
      <c r="AG253" s="178" t="str">
        <f>IF(E253="","",IFERROR(IF(INDEX('Item Purchases'!$AM$4:$AM$30,MATCH(E253,'Item Purchases'!$B$4:$B$30,0))="","Uncategorised",INDEX('Item Purchases'!$AM$4:$AM$30,MATCH(E253,'Item Purchases'!$B$4:$B$30,0))),"Uncategorised"))</f>
        <v>Snacks</v>
      </c>
      <c r="AH253" s="165">
        <f>IF(AND(E253&lt;&gt;"",L253=1),COUNTIFS($E$2:E253,E253,$L$2:L253,1),0)</f>
        <v>10</v>
      </c>
      <c r="AI253" s="165">
        <f t="shared" si="30"/>
        <v>14</v>
      </c>
      <c r="AJ253" s="165">
        <f t="shared" si="31"/>
        <v>1</v>
      </c>
    </row>
    <row r="254" spans="1:36" x14ac:dyDescent="0.25">
      <c r="A254" s="177">
        <f t="shared" si="33"/>
        <v>46279</v>
      </c>
      <c r="B254" s="178" t="str">
        <f t="shared" si="26"/>
        <v>Mon</v>
      </c>
      <c r="C254" s="178" t="str">
        <f>'Pantry Inventory'!$A$34</f>
        <v>Sep Week 2</v>
      </c>
      <c r="D254" s="178" t="str">
        <f>IF('Pantry Inventory'!A46="","",'Pantry Inventory'!A46)</f>
        <v>Munchy</v>
      </c>
      <c r="E254" s="178" t="str">
        <f>IF('Pantry Inventory'!B46="","",'Pantry Inventory'!B46)</f>
        <v>Munchy Oat Krunch - Dark Choco</v>
      </c>
      <c r="F254" s="178" t="str">
        <f>IF(E254="","",IFERROR(IF(INDEX('Item Purchases'!$S$4:$S$30,MATCH(E254,'Item Purchases'!$B$4:$B$30,0))="","Uncategorised",INDEX('Item Purchases'!$S$4:$S$30,MATCH(E254,'Item Purchases'!$B$4:$B$30,0))),"Uncategorised"))</f>
        <v>Sweet</v>
      </c>
      <c r="G254" s="178">
        <f>IF(E254="",0,'Pantry Inventory'!P46)</f>
        <v>0</v>
      </c>
      <c r="H254" s="178">
        <f>IF(E254="","",IF('Pantry Inventory'!Q46="","",'Pantry Inventory'!Q46))</f>
        <v>0</v>
      </c>
      <c r="I254" s="178">
        <f>IF(H254="","",'Pantry Inventory'!R46)</f>
        <v>12</v>
      </c>
      <c r="J254" s="179">
        <f>IF(E254="",0,IFERROR(INDEX('Item Purchases'!$Q$4:$Q$30,MATCH(E254,'Item Purchases'!$B$4:$B$30,0)),0))</f>
        <v>0.73</v>
      </c>
      <c r="K254" s="180">
        <f t="shared" si="27"/>
        <v>8.76</v>
      </c>
      <c r="L254" s="178">
        <f t="shared" si="28"/>
        <v>1</v>
      </c>
      <c r="M254" s="178">
        <f>IF(E254="",0,IF(AND(OR(OR(Dashboard!$E$5="All",Dashboard!$E$5=""),AG254=Dashboard!$E$5),OR(OR(Dashboard!$H$5="All",Dashboard!$H$5=""),F254=Dashboard!$H$5),OR(OR(Dashboard!$B$5="All",Dashboard!$B$5=""),C254=Dashboard!$B$5),OR(OR(Dashboard!$K$5="All",Dashboard!$K$5=""),A254=Dashboard!$K$5),OR(OR(Dashboard!$N$5="All",Dashboard!$N$5=""),B254=Dashboard!$N$5),OR(OR(Dashboard!$Q$5="All",Dashboard!$Q$5=""),D254=Dashboard!$Q$5),OR(OR(Dashboard!$U$5="All",Dashboard!$U$5=""),E254=Dashboard!$U$5)),1,0))</f>
        <v>1</v>
      </c>
      <c r="N254" s="178">
        <f>IF(E254="",0,IF(AND(OR(OR(Dashboard!$E$5="All",Dashboard!$E$5=""),AG254=Dashboard!$E$5),OR(OR(Dashboard!$B$5="All",Dashboard!$B$5=""),C254=Dashboard!$B$5),OR(OR(Dashboard!$K$5="All",Dashboard!$K$5=""),A254=Dashboard!$K$5),OR(OR(Dashboard!$N$5="All",Dashboard!$N$5=""),B254=Dashboard!$N$5),OR(OR(Dashboard!$Q$5="All",Dashboard!$Q$5=""),D254=Dashboard!$Q$5),OR(OR(Dashboard!$U$5="All",Dashboard!$U$5=""),E254=Dashboard!$U$5)),1,0))</f>
        <v>1</v>
      </c>
      <c r="O254" s="165">
        <f t="shared" si="29"/>
        <v>0</v>
      </c>
      <c r="AG254" s="178" t="str">
        <f>IF(E254="","",IFERROR(IF(INDEX('Item Purchases'!$AM$4:$AM$30,MATCH(E254,'Item Purchases'!$B$4:$B$30,0))="","Uncategorised",INDEX('Item Purchases'!$AM$4:$AM$30,MATCH(E254,'Item Purchases'!$B$4:$B$30,0))),"Uncategorised"))</f>
        <v>Snacks</v>
      </c>
      <c r="AH254" s="165">
        <f>IF(AND(E254&lt;&gt;"",L254=1),COUNTIFS($E$2:E254,E254,$L$2:L254,1),0)</f>
        <v>10</v>
      </c>
      <c r="AI254" s="165">
        <f t="shared" si="30"/>
        <v>12</v>
      </c>
      <c r="AJ254" s="165">
        <f t="shared" si="31"/>
        <v>0</v>
      </c>
    </row>
    <row r="255" spans="1:36" x14ac:dyDescent="0.25">
      <c r="A255" s="177">
        <f t="shared" si="33"/>
        <v>46279</v>
      </c>
      <c r="B255" s="178" t="str">
        <f t="shared" si="26"/>
        <v>Mon</v>
      </c>
      <c r="C255" s="178" t="str">
        <f>'Pantry Inventory'!$A$34</f>
        <v>Sep Week 2</v>
      </c>
      <c r="D255" s="178" t="str">
        <f>IF('Pantry Inventory'!A47="","",'Pantry Inventory'!A47)</f>
        <v>Munchy</v>
      </c>
      <c r="E255" s="178" t="str">
        <f>IF('Pantry Inventory'!B47="","",'Pantry Inventory'!B47)</f>
        <v>Munchy Oat Krunch - Strawberry &amp; Blackcurrant</v>
      </c>
      <c r="F255" s="178" t="str">
        <f>IF(E255="","",IFERROR(IF(INDEX('Item Purchases'!$S$4:$S$30,MATCH(E255,'Item Purchases'!$B$4:$B$30,0))="","Uncategorised",INDEX('Item Purchases'!$S$4:$S$30,MATCH(E255,'Item Purchases'!$B$4:$B$30,0))),"Uncategorised"))</f>
        <v>Sweet</v>
      </c>
      <c r="G255" s="178">
        <f>IF(E255="",0,'Pantry Inventory'!P47)</f>
        <v>0</v>
      </c>
      <c r="H255" s="178">
        <f>IF(E255="","",IF('Pantry Inventory'!Q47="","",'Pantry Inventory'!Q47))</f>
        <v>25</v>
      </c>
      <c r="I255" s="178">
        <f>IF(H255="","",'Pantry Inventory'!R47)</f>
        <v>9</v>
      </c>
      <c r="J255" s="179">
        <f>IF(E255="",0,IFERROR(INDEX('Item Purchases'!$Q$4:$Q$30,MATCH(E255,'Item Purchases'!$B$4:$B$30,0)),0))</f>
        <v>0.73</v>
      </c>
      <c r="K255" s="180">
        <f t="shared" si="27"/>
        <v>6.57</v>
      </c>
      <c r="L255" s="178">
        <f t="shared" si="28"/>
        <v>1</v>
      </c>
      <c r="M255" s="178">
        <f>IF(E255="",0,IF(AND(OR(OR(Dashboard!$E$5="All",Dashboard!$E$5=""),AG255=Dashboard!$E$5),OR(OR(Dashboard!$H$5="All",Dashboard!$H$5=""),F255=Dashboard!$H$5),OR(OR(Dashboard!$B$5="All",Dashboard!$B$5=""),C255=Dashboard!$B$5),OR(OR(Dashboard!$K$5="All",Dashboard!$K$5=""),A255=Dashboard!$K$5),OR(OR(Dashboard!$N$5="All",Dashboard!$N$5=""),B255=Dashboard!$N$5),OR(OR(Dashboard!$Q$5="All",Dashboard!$Q$5=""),D255=Dashboard!$Q$5),OR(OR(Dashboard!$U$5="All",Dashboard!$U$5=""),E255=Dashboard!$U$5)),1,0))</f>
        <v>1</v>
      </c>
      <c r="N255" s="178">
        <f>IF(E255="",0,IF(AND(OR(OR(Dashboard!$E$5="All",Dashboard!$E$5=""),AG255=Dashboard!$E$5),OR(OR(Dashboard!$B$5="All",Dashboard!$B$5=""),C255=Dashboard!$B$5),OR(OR(Dashboard!$K$5="All",Dashboard!$K$5=""),A255=Dashboard!$K$5),OR(OR(Dashboard!$N$5="All",Dashboard!$N$5=""),B255=Dashboard!$N$5),OR(OR(Dashboard!$Q$5="All",Dashboard!$Q$5=""),D255=Dashboard!$Q$5),OR(OR(Dashboard!$U$5="All",Dashboard!$U$5=""),E255=Dashboard!$U$5)),1,0))</f>
        <v>1</v>
      </c>
      <c r="O255" s="165">
        <f t="shared" si="29"/>
        <v>81</v>
      </c>
      <c r="AG255" s="178" t="str">
        <f>IF(E255="","",IFERROR(IF(INDEX('Item Purchases'!$AM$4:$AM$30,MATCH(E255,'Item Purchases'!$B$4:$B$30,0))="","Uncategorised",INDEX('Item Purchases'!$AM$4:$AM$30,MATCH(E255,'Item Purchases'!$B$4:$B$30,0))),"Uncategorised"))</f>
        <v>Snacks</v>
      </c>
      <c r="AH255" s="165">
        <f>IF(AND(E255&lt;&gt;"",L255=1),COUNTIFS($E$2:E255,E255,$L$2:L255,1),0)</f>
        <v>10</v>
      </c>
      <c r="AI255" s="165">
        <f t="shared" si="30"/>
        <v>9</v>
      </c>
      <c r="AJ255" s="165">
        <f t="shared" si="31"/>
        <v>1</v>
      </c>
    </row>
    <row r="256" spans="1:36" x14ac:dyDescent="0.25">
      <c r="A256" s="177">
        <f t="shared" si="33"/>
        <v>46279</v>
      </c>
      <c r="B256" s="178" t="str">
        <f t="shared" si="26"/>
        <v>Mon</v>
      </c>
      <c r="C256" s="178" t="str">
        <f>'Pantry Inventory'!$A$34</f>
        <v>Sep Week 2</v>
      </c>
      <c r="D256" s="178" t="str">
        <f>IF('Pantry Inventory'!A48="","",'Pantry Inventory'!A48)</f>
        <v/>
      </c>
      <c r="E256" s="178" t="str">
        <f>IF('Pantry Inventory'!B48="","",'Pantry Inventory'!B48)</f>
        <v/>
      </c>
      <c r="F256" s="178" t="str">
        <f>IF(E256="","",IFERROR(IF(INDEX('Item Purchases'!$S$4:$S$30,MATCH(E256,'Item Purchases'!$B$4:$B$30,0))="","Uncategorised",INDEX('Item Purchases'!$S$4:$S$30,MATCH(E256,'Item Purchases'!$B$4:$B$30,0))),"Uncategorised"))</f>
        <v/>
      </c>
      <c r="G256" s="178">
        <f>IF(E256="",0,'Pantry Inventory'!P48)</f>
        <v>0</v>
      </c>
      <c r="H256" s="178" t="str">
        <f>IF(E256="","",IF('Pantry Inventory'!Q48="","",'Pantry Inventory'!Q48))</f>
        <v/>
      </c>
      <c r="I256" s="178" t="str">
        <f>IF(H256="","",'Pantry Inventory'!R48)</f>
        <v/>
      </c>
      <c r="J256" s="179">
        <f>IF(E256="",0,IFERROR(INDEX('Item Purchases'!$Q$4:$Q$30,MATCH(E256,'Item Purchases'!$B$4:$B$30,0)),0))</f>
        <v>0</v>
      </c>
      <c r="K256" s="180" t="str">
        <f t="shared" si="27"/>
        <v/>
      </c>
      <c r="L256" s="178">
        <f t="shared" si="28"/>
        <v>0</v>
      </c>
      <c r="M256" s="178">
        <f>IF(E256="",0,IF(AND(OR(OR(Dashboard!$E$5="All",Dashboard!$E$5=""),AG256=Dashboard!$E$5),OR(OR(Dashboard!$H$5="All",Dashboard!$H$5=""),F256=Dashboard!$H$5),OR(OR(Dashboard!$B$5="All",Dashboard!$B$5=""),C256=Dashboard!$B$5),OR(OR(Dashboard!$K$5="All",Dashboard!$K$5=""),A256=Dashboard!$K$5),OR(OR(Dashboard!$N$5="All",Dashboard!$N$5=""),B256=Dashboard!$N$5),OR(OR(Dashboard!$Q$5="All",Dashboard!$Q$5=""),D256=Dashboard!$Q$5),OR(OR(Dashboard!$U$5="All",Dashboard!$U$5=""),E256=Dashboard!$U$5)),1,0))</f>
        <v>0</v>
      </c>
      <c r="N256" s="178">
        <f>IF(E256="",0,IF(AND(OR(OR(Dashboard!$E$5="All",Dashboard!$E$5=""),AG256=Dashboard!$E$5),OR(OR(Dashboard!$B$5="All",Dashboard!$B$5=""),C256=Dashboard!$B$5),OR(OR(Dashboard!$K$5="All",Dashboard!$K$5=""),A256=Dashboard!$K$5),OR(OR(Dashboard!$N$5="All",Dashboard!$N$5=""),B256=Dashboard!$N$5),OR(OR(Dashboard!$Q$5="All",Dashboard!$Q$5=""),D256=Dashboard!$Q$5),OR(OR(Dashboard!$U$5="All",Dashboard!$U$5=""),E256=Dashboard!$U$5)),1,0))</f>
        <v>0</v>
      </c>
      <c r="O256" s="165">
        <f t="shared" si="29"/>
        <v>0</v>
      </c>
      <c r="AG256" s="178" t="str">
        <f>IF(E256="","",IFERROR(IF(INDEX('Item Purchases'!$AM$4:$AM$30,MATCH(E256,'Item Purchases'!$B$4:$B$30,0))="","Uncategorised",INDEX('Item Purchases'!$AM$4:$AM$30,MATCH(E256,'Item Purchases'!$B$4:$B$30,0))),"Uncategorised"))</f>
        <v/>
      </c>
      <c r="AH256" s="165">
        <f>IF(AND(E256&lt;&gt;"",L256=1),COUNTIFS($E$2:E256,E256,$L$2:L256,1),0)</f>
        <v>0</v>
      </c>
      <c r="AI256" s="165">
        <f t="shared" si="30"/>
        <v>0</v>
      </c>
      <c r="AJ256" s="165">
        <f t="shared" si="31"/>
        <v>0</v>
      </c>
    </row>
    <row r="257" spans="1:36" x14ac:dyDescent="0.25">
      <c r="A257" s="177">
        <f t="shared" si="33"/>
        <v>46279</v>
      </c>
      <c r="B257" s="178" t="str">
        <f t="shared" si="26"/>
        <v>Mon</v>
      </c>
      <c r="C257" s="178" t="str">
        <f>'Pantry Inventory'!$A$34</f>
        <v>Sep Week 2</v>
      </c>
      <c r="D257" s="178" t="str">
        <f>IF('Pantry Inventory'!A49="","",'Pantry Inventory'!A49)</f>
        <v>Nestle</v>
      </c>
      <c r="E257" s="178" t="str">
        <f>IF('Pantry Inventory'!B49="","",'Pantry Inventory'!B49)</f>
        <v>Milo 200ml</v>
      </c>
      <c r="F257" s="178" t="str">
        <f>IF(E257="","",IFERROR(IF(INDEX('Item Purchases'!$S$4:$S$30,MATCH(E257,'Item Purchases'!$B$4:$B$30,0))="","Uncategorised",INDEX('Item Purchases'!$S$4:$S$30,MATCH(E257,'Item Purchases'!$B$4:$B$30,0))),"Uncategorised"))</f>
        <v>Other</v>
      </c>
      <c r="G257" s="178">
        <f>IF(E257="",0,'Pantry Inventory'!P49)</f>
        <v>0</v>
      </c>
      <c r="H257" s="178">
        <f>IF(E257="","",IF('Pantry Inventory'!Q49="","",'Pantry Inventory'!Q49))</f>
        <v>33</v>
      </c>
      <c r="I257" s="178">
        <f>IF(H257="","",'Pantry Inventory'!R49)</f>
        <v>5</v>
      </c>
      <c r="J257" s="179">
        <f>IF(E257="",0,IFERROR(INDEX('Item Purchases'!$Q$4:$Q$30,MATCH(E257,'Item Purchases'!$B$4:$B$30,0)),0))</f>
        <v>2.37</v>
      </c>
      <c r="K257" s="180">
        <f t="shared" si="27"/>
        <v>11.850000000000001</v>
      </c>
      <c r="L257" s="178">
        <f t="shared" si="28"/>
        <v>1</v>
      </c>
      <c r="M257" s="178">
        <f>IF(E257="",0,IF(AND(OR(OR(Dashboard!$E$5="All",Dashboard!$E$5=""),AG257=Dashboard!$E$5),OR(OR(Dashboard!$H$5="All",Dashboard!$H$5=""),F257=Dashboard!$H$5),OR(OR(Dashboard!$B$5="All",Dashboard!$B$5=""),C257=Dashboard!$B$5),OR(OR(Dashboard!$K$5="All",Dashboard!$K$5=""),A257=Dashboard!$K$5),OR(OR(Dashboard!$N$5="All",Dashboard!$N$5=""),B257=Dashboard!$N$5),OR(OR(Dashboard!$Q$5="All",Dashboard!$Q$5=""),D257=Dashboard!$Q$5),OR(OR(Dashboard!$U$5="All",Dashboard!$U$5=""),E257=Dashboard!$U$5)),1,0))</f>
        <v>1</v>
      </c>
      <c r="N257" s="178">
        <f>IF(E257="",0,IF(AND(OR(OR(Dashboard!$E$5="All",Dashboard!$E$5=""),AG257=Dashboard!$E$5),OR(OR(Dashboard!$B$5="All",Dashboard!$B$5=""),C257=Dashboard!$B$5),OR(OR(Dashboard!$K$5="All",Dashboard!$K$5=""),A257=Dashboard!$K$5),OR(OR(Dashboard!$N$5="All",Dashboard!$N$5=""),B257=Dashboard!$N$5),OR(OR(Dashboard!$Q$5="All",Dashboard!$Q$5=""),D257=Dashboard!$Q$5),OR(OR(Dashboard!$U$5="All",Dashboard!$U$5=""),E257=Dashboard!$U$5)),1,0))</f>
        <v>1</v>
      </c>
      <c r="O257" s="165">
        <f t="shared" si="29"/>
        <v>25</v>
      </c>
      <c r="AG257" s="178" t="str">
        <f>IF(E257="","",IFERROR(IF(INDEX('Item Purchases'!$AM$4:$AM$30,MATCH(E257,'Item Purchases'!$B$4:$B$30,0))="","Uncategorised",INDEX('Item Purchases'!$AM$4:$AM$30,MATCH(E257,'Item Purchases'!$B$4:$B$30,0))),"Uncategorised"))</f>
        <v>Beverages</v>
      </c>
      <c r="AH257" s="165">
        <f>IF(AND(E257&lt;&gt;"",L257=1),COUNTIFS($E$2:E257,E257,$L$2:L257,1),0)</f>
        <v>10</v>
      </c>
      <c r="AI257" s="165">
        <f t="shared" si="30"/>
        <v>5</v>
      </c>
      <c r="AJ257" s="165">
        <f t="shared" si="31"/>
        <v>1</v>
      </c>
    </row>
    <row r="258" spans="1:36" x14ac:dyDescent="0.25">
      <c r="A258" s="177">
        <f t="shared" si="33"/>
        <v>46279</v>
      </c>
      <c r="B258" s="178" t="str">
        <f t="shared" ref="B258:B321" si="34">IF(A258=0,"",CHOOSE(WEEKDAY(A258,2),"Mon","Tue","Wed","Thu","Fri","Sat","Sun"))</f>
        <v>Mon</v>
      </c>
      <c r="C258" s="178" t="str">
        <f>'Pantry Inventory'!$A$34</f>
        <v>Sep Week 2</v>
      </c>
      <c r="D258" s="178" t="str">
        <f>IF('Pantry Inventory'!A50="","",'Pantry Inventory'!A50)</f>
        <v>Nestle</v>
      </c>
      <c r="E258" s="178" t="str">
        <f>IF('Pantry Inventory'!B50="","",'Pantry Inventory'!B50)</f>
        <v>Nescafe Latte 240ml</v>
      </c>
      <c r="F258" s="178" t="str">
        <f>IF(E258="","",IFERROR(IF(INDEX('Item Purchases'!$S$4:$S$30,MATCH(E258,'Item Purchases'!$B$4:$B$30,0))="","Uncategorised",INDEX('Item Purchases'!$S$4:$S$30,MATCH(E258,'Item Purchases'!$B$4:$B$30,0))),"Uncategorised"))</f>
        <v>Coffee</v>
      </c>
      <c r="G258" s="178">
        <f>IF(E258="",0,'Pantry Inventory'!P50)</f>
        <v>0</v>
      </c>
      <c r="H258" s="178">
        <f>IF(E258="","",IF('Pantry Inventory'!Q50="","",'Pantry Inventory'!Q50))</f>
        <v>32</v>
      </c>
      <c r="I258" s="178">
        <f>IF(H258="","",'Pantry Inventory'!R50)</f>
        <v>2</v>
      </c>
      <c r="J258" s="179">
        <f>IF(E258="",0,IFERROR(INDEX('Item Purchases'!$Q$4:$Q$30,MATCH(E258,'Item Purchases'!$B$4:$B$30,0)),0))</f>
        <v>2.1875</v>
      </c>
      <c r="K258" s="180">
        <f t="shared" ref="K258:K321" si="35">IF(I258="","",I258*J258)</f>
        <v>4.375</v>
      </c>
      <c r="L258" s="178">
        <f t="shared" ref="L258:L321" si="36">IF(H258="",0,1)</f>
        <v>1</v>
      </c>
      <c r="M258" s="178">
        <f>IF(E258="",0,IF(AND(OR(OR(Dashboard!$E$5="All",Dashboard!$E$5=""),AG258=Dashboard!$E$5),OR(OR(Dashboard!$H$5="All",Dashboard!$H$5=""),F258=Dashboard!$H$5),OR(OR(Dashboard!$B$5="All",Dashboard!$B$5=""),C258=Dashboard!$B$5),OR(OR(Dashboard!$K$5="All",Dashboard!$K$5=""),A258=Dashboard!$K$5),OR(OR(Dashboard!$N$5="All",Dashboard!$N$5=""),B258=Dashboard!$N$5),OR(OR(Dashboard!$Q$5="All",Dashboard!$Q$5=""),D258=Dashboard!$Q$5),OR(OR(Dashboard!$U$5="All",Dashboard!$U$5=""),E258=Dashboard!$U$5)),1,0))</f>
        <v>1</v>
      </c>
      <c r="N258" s="178">
        <f>IF(E258="",0,IF(AND(OR(OR(Dashboard!$E$5="All",Dashboard!$E$5=""),AG258=Dashboard!$E$5),OR(OR(Dashboard!$B$5="All",Dashboard!$B$5=""),C258=Dashboard!$B$5),OR(OR(Dashboard!$K$5="All",Dashboard!$K$5=""),A258=Dashboard!$K$5),OR(OR(Dashboard!$N$5="All",Dashboard!$N$5=""),B258=Dashboard!$N$5),OR(OR(Dashboard!$Q$5="All",Dashboard!$Q$5=""),D258=Dashboard!$Q$5),OR(OR(Dashboard!$U$5="All",Dashboard!$U$5=""),E258=Dashboard!$U$5)),1,0))</f>
        <v>1</v>
      </c>
      <c r="O258" s="165">
        <f t="shared" ref="O258:O321" si="37">IF(AND(N(H258)&gt;0,ISNUMBER(I258)),I258^2,0)</f>
        <v>4</v>
      </c>
      <c r="AG258" s="178" t="str">
        <f>IF(E258="","",IFERROR(IF(INDEX('Item Purchases'!$AM$4:$AM$30,MATCH(E258,'Item Purchases'!$B$4:$B$30,0))="","Uncategorised",INDEX('Item Purchases'!$AM$4:$AM$30,MATCH(E258,'Item Purchases'!$B$4:$B$30,0))),"Uncategorised"))</f>
        <v>Beverages</v>
      </c>
      <c r="AH258" s="165">
        <f>IF(AND(E258&lt;&gt;"",L258=1),COUNTIFS($E$2:E258,E258,$L$2:L258,1),0)</f>
        <v>10</v>
      </c>
      <c r="AI258" s="165">
        <f t="shared" ref="AI258:AI321" si="38">IF(ISNUMBER(I258),I258,0)</f>
        <v>2</v>
      </c>
      <c r="AJ258" s="165">
        <f t="shared" ref="AJ258:AJ321" si="39">IF(AND(L258=1,N(H258)&gt;0),1,0)</f>
        <v>1</v>
      </c>
    </row>
    <row r="259" spans="1:36" x14ac:dyDescent="0.25">
      <c r="A259" s="177">
        <f t="shared" si="33"/>
        <v>46279</v>
      </c>
      <c r="B259" s="178" t="str">
        <f t="shared" si="34"/>
        <v>Mon</v>
      </c>
      <c r="C259" s="178" t="str">
        <f>'Pantry Inventory'!$A$34</f>
        <v>Sep Week 2</v>
      </c>
      <c r="D259" s="178" t="str">
        <f>IF('Pantry Inventory'!A51="","",'Pantry Inventory'!A51)</f>
        <v>Nestle</v>
      </c>
      <c r="E259" s="178" t="str">
        <f>IF('Pantry Inventory'!B51="","",'Pantry Inventory'!B51)</f>
        <v>Nescafe original 240ml</v>
      </c>
      <c r="F259" s="178" t="str">
        <f>IF(E259="","",IFERROR(IF(INDEX('Item Purchases'!$S$4:$S$30,MATCH(E259,'Item Purchases'!$B$4:$B$30,0))="","Uncategorised",INDEX('Item Purchases'!$S$4:$S$30,MATCH(E259,'Item Purchases'!$B$4:$B$30,0))),"Uncategorised"))</f>
        <v>Coffee</v>
      </c>
      <c r="G259" s="178">
        <f>IF(E259="",0,'Pantry Inventory'!P51)</f>
        <v>0</v>
      </c>
      <c r="H259" s="178">
        <f>IF(E259="","",IF('Pantry Inventory'!Q51="","",'Pantry Inventory'!Q51))</f>
        <v>27</v>
      </c>
      <c r="I259" s="178">
        <f>IF(H259="","",'Pantry Inventory'!R51)</f>
        <v>2</v>
      </c>
      <c r="J259" s="179">
        <f>IF(E259="",0,IFERROR(INDEX('Item Purchases'!$Q$4:$Q$30,MATCH(E259,'Item Purchases'!$B$4:$B$30,0)),0))</f>
        <v>2.1875</v>
      </c>
      <c r="K259" s="180">
        <f t="shared" si="35"/>
        <v>4.375</v>
      </c>
      <c r="L259" s="178">
        <f t="shared" si="36"/>
        <v>1</v>
      </c>
      <c r="M259" s="178">
        <f>IF(E259="",0,IF(AND(OR(OR(Dashboard!$E$5="All",Dashboard!$E$5=""),AG259=Dashboard!$E$5),OR(OR(Dashboard!$H$5="All",Dashboard!$H$5=""),F259=Dashboard!$H$5),OR(OR(Dashboard!$B$5="All",Dashboard!$B$5=""),C259=Dashboard!$B$5),OR(OR(Dashboard!$K$5="All",Dashboard!$K$5=""),A259=Dashboard!$K$5),OR(OR(Dashboard!$N$5="All",Dashboard!$N$5=""),B259=Dashboard!$N$5),OR(OR(Dashboard!$Q$5="All",Dashboard!$Q$5=""),D259=Dashboard!$Q$5),OR(OR(Dashboard!$U$5="All",Dashboard!$U$5=""),E259=Dashboard!$U$5)),1,0))</f>
        <v>1</v>
      </c>
      <c r="N259" s="178">
        <f>IF(E259="",0,IF(AND(OR(OR(Dashboard!$E$5="All",Dashboard!$E$5=""),AG259=Dashboard!$E$5),OR(OR(Dashboard!$B$5="All",Dashboard!$B$5=""),C259=Dashboard!$B$5),OR(OR(Dashboard!$K$5="All",Dashboard!$K$5=""),A259=Dashboard!$K$5),OR(OR(Dashboard!$N$5="All",Dashboard!$N$5=""),B259=Dashboard!$N$5),OR(OR(Dashboard!$Q$5="All",Dashboard!$Q$5=""),D259=Dashboard!$Q$5),OR(OR(Dashboard!$U$5="All",Dashboard!$U$5=""),E259=Dashboard!$U$5)),1,0))</f>
        <v>1</v>
      </c>
      <c r="O259" s="165">
        <f t="shared" si="37"/>
        <v>4</v>
      </c>
      <c r="AG259" s="178" t="str">
        <f>IF(E259="","",IFERROR(IF(INDEX('Item Purchases'!$AM$4:$AM$30,MATCH(E259,'Item Purchases'!$B$4:$B$30,0))="","Uncategorised",INDEX('Item Purchases'!$AM$4:$AM$30,MATCH(E259,'Item Purchases'!$B$4:$B$30,0))),"Uncategorised"))</f>
        <v>Beverages</v>
      </c>
      <c r="AH259" s="165">
        <f>IF(AND(E259&lt;&gt;"",L259=1),COUNTIFS($E$2:E259,E259,$L$2:L259,1),0)</f>
        <v>10</v>
      </c>
      <c r="AI259" s="165">
        <f t="shared" si="38"/>
        <v>2</v>
      </c>
      <c r="AJ259" s="165">
        <f t="shared" si="39"/>
        <v>1</v>
      </c>
    </row>
    <row r="260" spans="1:36" x14ac:dyDescent="0.25">
      <c r="A260" s="177">
        <f t="shared" si="33"/>
        <v>46279</v>
      </c>
      <c r="B260" s="178" t="str">
        <f t="shared" si="34"/>
        <v>Mon</v>
      </c>
      <c r="C260" s="178" t="str">
        <f>'Pantry Inventory'!$A$34</f>
        <v>Sep Week 2</v>
      </c>
      <c r="D260" s="178" t="str">
        <f>IF('Pantry Inventory'!A52="","",'Pantry Inventory'!A52)</f>
        <v>COWA</v>
      </c>
      <c r="E260" s="178" t="str">
        <f>IF('Pantry Inventory'!B52="","",'Pantry Inventory'!B52)</f>
        <v>COWA Coconut Water 330 ml</v>
      </c>
      <c r="F260" s="178" t="str">
        <f>IF(E260="","",IFERROR(IF(INDEX('Item Purchases'!$S$4:$S$30,MATCH(E260,'Item Purchases'!$B$4:$B$30,0))="","Uncategorised",INDEX('Item Purchases'!$S$4:$S$30,MATCH(E260,'Item Purchases'!$B$4:$B$30,0))),"Uncategorised"))</f>
        <v>Other</v>
      </c>
      <c r="G260" s="178">
        <f>IF(E260="",0,'Pantry Inventory'!P52)</f>
        <v>0</v>
      </c>
      <c r="H260" s="178">
        <f>IF(E260="","",IF('Pantry Inventory'!Q52="","",'Pantry Inventory'!Q52))</f>
        <v>65</v>
      </c>
      <c r="I260" s="178">
        <f>IF(H260="","",'Pantry Inventory'!R52)</f>
        <v>22</v>
      </c>
      <c r="J260" s="179">
        <f>IF(E260="",0,IFERROR(INDEX('Item Purchases'!$Q$4:$Q$30,MATCH(E260,'Item Purchases'!$B$4:$B$30,0)),0))</f>
        <v>3</v>
      </c>
      <c r="K260" s="180">
        <f t="shared" si="35"/>
        <v>66</v>
      </c>
      <c r="L260" s="178">
        <f t="shared" si="36"/>
        <v>1</v>
      </c>
      <c r="M260" s="178">
        <f>IF(E260="",0,IF(AND(OR(OR(Dashboard!$E$5="All",Dashboard!$E$5=""),AG260=Dashboard!$E$5),OR(OR(Dashboard!$H$5="All",Dashboard!$H$5=""),F260=Dashboard!$H$5),OR(OR(Dashboard!$B$5="All",Dashboard!$B$5=""),C260=Dashboard!$B$5),OR(OR(Dashboard!$K$5="All",Dashboard!$K$5=""),A260=Dashboard!$K$5),OR(OR(Dashboard!$N$5="All",Dashboard!$N$5=""),B260=Dashboard!$N$5),OR(OR(Dashboard!$Q$5="All",Dashboard!$Q$5=""),D260=Dashboard!$Q$5),OR(OR(Dashboard!$U$5="All",Dashboard!$U$5=""),E260=Dashboard!$U$5)),1,0))</f>
        <v>1</v>
      </c>
      <c r="N260" s="178">
        <f>IF(E260="",0,IF(AND(OR(OR(Dashboard!$E$5="All",Dashboard!$E$5=""),AG260=Dashboard!$E$5),OR(OR(Dashboard!$B$5="All",Dashboard!$B$5=""),C260=Dashboard!$B$5),OR(OR(Dashboard!$K$5="All",Dashboard!$K$5=""),A260=Dashboard!$K$5),OR(OR(Dashboard!$N$5="All",Dashboard!$N$5=""),B260=Dashboard!$N$5),OR(OR(Dashboard!$Q$5="All",Dashboard!$Q$5=""),D260=Dashboard!$Q$5),OR(OR(Dashboard!$U$5="All",Dashboard!$U$5=""),E260=Dashboard!$U$5)),1,0))</f>
        <v>1</v>
      </c>
      <c r="O260" s="165">
        <f t="shared" si="37"/>
        <v>484</v>
      </c>
      <c r="AG260" s="178" t="str">
        <f>IF(E260="","",IFERROR(IF(INDEX('Item Purchases'!$AM$4:$AM$30,MATCH(E260,'Item Purchases'!$B$4:$B$30,0))="","Uncategorised",INDEX('Item Purchases'!$AM$4:$AM$30,MATCH(E260,'Item Purchases'!$B$4:$B$30,0))),"Uncategorised"))</f>
        <v>Beverages</v>
      </c>
      <c r="AH260" s="165">
        <f>IF(AND(E260&lt;&gt;"",L260=1),COUNTIFS($E$2:E260,E260,$L$2:L260,1),0)</f>
        <v>10</v>
      </c>
      <c r="AI260" s="165">
        <f t="shared" si="38"/>
        <v>22</v>
      </c>
      <c r="AJ260" s="165">
        <f t="shared" si="39"/>
        <v>1</v>
      </c>
    </row>
    <row r="261" spans="1:36" x14ac:dyDescent="0.25">
      <c r="A261" s="177">
        <f t="shared" si="33"/>
        <v>46279</v>
      </c>
      <c r="B261" s="178" t="str">
        <f t="shared" si="34"/>
        <v>Mon</v>
      </c>
      <c r="C261" s="178" t="str">
        <f>'Pantry Inventory'!$A$34</f>
        <v>Sep Week 2</v>
      </c>
      <c r="D261" s="178" t="str">
        <f>IF('Pantry Inventory'!A53="","",'Pantry Inventory'!A53)</f>
        <v>Coca Cola</v>
      </c>
      <c r="E261" s="178" t="str">
        <f>IF('Pantry Inventory'!B53="","",'Pantry Inventory'!B53)</f>
        <v>COKE ZERO  325ML</v>
      </c>
      <c r="F261" s="178" t="str">
        <f>IF(E261="","",IFERROR(IF(INDEX('Item Purchases'!$S$4:$S$30,MATCH(E261,'Item Purchases'!$B$4:$B$30,0))="","Uncategorised",INDEX('Item Purchases'!$S$4:$S$30,MATCH(E261,'Item Purchases'!$B$4:$B$30,0))),"Uncategorised"))</f>
        <v>Other</v>
      </c>
      <c r="G261" s="178">
        <f>IF(E261="",0,'Pantry Inventory'!P53)</f>
        <v>0</v>
      </c>
      <c r="H261" s="178">
        <f>IF(E261="","",IF('Pantry Inventory'!Q53="","",'Pantry Inventory'!Q53))</f>
        <v>41</v>
      </c>
      <c r="I261" s="178">
        <f>IF(H261="","",'Pantry Inventory'!R53)</f>
        <v>6</v>
      </c>
      <c r="J261" s="179">
        <f>IF(E261="",0,IFERROR(INDEX('Item Purchases'!$Q$4:$Q$30,MATCH(E261,'Item Purchases'!$B$4:$B$30,0)),0))</f>
        <v>1.83</v>
      </c>
      <c r="K261" s="180">
        <f t="shared" si="35"/>
        <v>10.98</v>
      </c>
      <c r="L261" s="178">
        <f t="shared" si="36"/>
        <v>1</v>
      </c>
      <c r="M261" s="178">
        <f>IF(E261="",0,IF(AND(OR(OR(Dashboard!$E$5="All",Dashboard!$E$5=""),AG261=Dashboard!$E$5),OR(OR(Dashboard!$H$5="All",Dashboard!$H$5=""),F261=Dashboard!$H$5),OR(OR(Dashboard!$B$5="All",Dashboard!$B$5=""),C261=Dashboard!$B$5),OR(OR(Dashboard!$K$5="All",Dashboard!$K$5=""),A261=Dashboard!$K$5),OR(OR(Dashboard!$N$5="All",Dashboard!$N$5=""),B261=Dashboard!$N$5),OR(OR(Dashboard!$Q$5="All",Dashboard!$Q$5=""),D261=Dashboard!$Q$5),OR(OR(Dashboard!$U$5="All",Dashboard!$U$5=""),E261=Dashboard!$U$5)),1,0))</f>
        <v>1</v>
      </c>
      <c r="N261" s="178">
        <f>IF(E261="",0,IF(AND(OR(OR(Dashboard!$E$5="All",Dashboard!$E$5=""),AG261=Dashboard!$E$5),OR(OR(Dashboard!$B$5="All",Dashboard!$B$5=""),C261=Dashboard!$B$5),OR(OR(Dashboard!$K$5="All",Dashboard!$K$5=""),A261=Dashboard!$K$5),OR(OR(Dashboard!$N$5="All",Dashboard!$N$5=""),B261=Dashboard!$N$5),OR(OR(Dashboard!$Q$5="All",Dashboard!$Q$5=""),D261=Dashboard!$Q$5),OR(OR(Dashboard!$U$5="All",Dashboard!$U$5=""),E261=Dashboard!$U$5)),1,0))</f>
        <v>1</v>
      </c>
      <c r="O261" s="165">
        <f t="shared" si="37"/>
        <v>36</v>
      </c>
      <c r="AG261" s="178" t="str">
        <f>IF(E261="","",IFERROR(IF(INDEX('Item Purchases'!$AM$4:$AM$30,MATCH(E261,'Item Purchases'!$B$4:$B$30,0))="","Uncategorised",INDEX('Item Purchases'!$AM$4:$AM$30,MATCH(E261,'Item Purchases'!$B$4:$B$30,0))),"Uncategorised"))</f>
        <v>Beverages</v>
      </c>
      <c r="AH261" s="165">
        <f>IF(AND(E261&lt;&gt;"",L261=1),COUNTIFS($E$2:E261,E261,$L$2:L261,1),0)</f>
        <v>10</v>
      </c>
      <c r="AI261" s="165">
        <f t="shared" si="38"/>
        <v>6</v>
      </c>
      <c r="AJ261" s="165">
        <f t="shared" si="39"/>
        <v>1</v>
      </c>
    </row>
    <row r="262" spans="1:36" x14ac:dyDescent="0.25">
      <c r="A262" s="177">
        <f t="shared" si="33"/>
        <v>46279</v>
      </c>
      <c r="B262" s="178" t="str">
        <f t="shared" si="34"/>
        <v>Mon</v>
      </c>
      <c r="C262" s="178" t="str">
        <f>'Pantry Inventory'!$A$34</f>
        <v>Sep Week 2</v>
      </c>
      <c r="D262" s="178" t="str">
        <f>IF('Pantry Inventory'!A54="","",'Pantry Inventory'!A54)</f>
        <v>Coca Cola</v>
      </c>
      <c r="E262" s="178" t="str">
        <f>IF('Pantry Inventory'!B54="","",'Pantry Inventory'!B54)</f>
        <v>Ayataka Tea 300ml</v>
      </c>
      <c r="F262" s="178" t="str">
        <f>IF(E262="","",IFERROR(IF(INDEX('Item Purchases'!$S$4:$S$30,MATCH(E262,'Item Purchases'!$B$4:$B$30,0))="","Uncategorised",INDEX('Item Purchases'!$S$4:$S$30,MATCH(E262,'Item Purchases'!$B$4:$B$30,0))),"Uncategorised"))</f>
        <v>Tea</v>
      </c>
      <c r="G262" s="178">
        <f>IF(E262="",0,'Pantry Inventory'!P54)</f>
        <v>24</v>
      </c>
      <c r="H262" s="178">
        <f>IF(E262="","",IF('Pantry Inventory'!Q54="","",'Pantry Inventory'!Q54))</f>
        <v>24</v>
      </c>
      <c r="I262" s="178">
        <f>IF(H262="","",'Pantry Inventory'!R54)</f>
        <v>24</v>
      </c>
      <c r="J262" s="179">
        <f>IF(E262="",0,IFERROR(INDEX('Item Purchases'!$Q$4:$Q$30,MATCH(E262,'Item Purchases'!$B$4:$B$30,0)),0))</f>
        <v>1.75</v>
      </c>
      <c r="K262" s="180">
        <f t="shared" si="35"/>
        <v>42</v>
      </c>
      <c r="L262" s="178">
        <f t="shared" si="36"/>
        <v>1</v>
      </c>
      <c r="M262" s="178">
        <f>IF(E262="",0,IF(AND(OR(OR(Dashboard!$E$5="All",Dashboard!$E$5=""),AG262=Dashboard!$E$5),OR(OR(Dashboard!$H$5="All",Dashboard!$H$5=""),F262=Dashboard!$H$5),OR(OR(Dashboard!$B$5="All",Dashboard!$B$5=""),C262=Dashboard!$B$5),OR(OR(Dashboard!$K$5="All",Dashboard!$K$5=""),A262=Dashboard!$K$5),OR(OR(Dashboard!$N$5="All",Dashboard!$N$5=""),B262=Dashboard!$N$5),OR(OR(Dashboard!$Q$5="All",Dashboard!$Q$5=""),D262=Dashboard!$Q$5),OR(OR(Dashboard!$U$5="All",Dashboard!$U$5=""),E262=Dashboard!$U$5)),1,0))</f>
        <v>1</v>
      </c>
      <c r="N262" s="178">
        <f>IF(E262="",0,IF(AND(OR(OR(Dashboard!$E$5="All",Dashboard!$E$5=""),AG262=Dashboard!$E$5),OR(OR(Dashboard!$B$5="All",Dashboard!$B$5=""),C262=Dashboard!$B$5),OR(OR(Dashboard!$K$5="All",Dashboard!$K$5=""),A262=Dashboard!$K$5),OR(OR(Dashboard!$N$5="All",Dashboard!$N$5=""),B262=Dashboard!$N$5),OR(OR(Dashboard!$Q$5="All",Dashboard!$Q$5=""),D262=Dashboard!$Q$5),OR(OR(Dashboard!$U$5="All",Dashboard!$U$5=""),E262=Dashboard!$U$5)),1,0))</f>
        <v>1</v>
      </c>
      <c r="O262" s="165">
        <f t="shared" si="37"/>
        <v>576</v>
      </c>
      <c r="AG262" s="178" t="str">
        <f>IF(E262="","",IFERROR(IF(INDEX('Item Purchases'!$AM$4:$AM$30,MATCH(E262,'Item Purchases'!$B$4:$B$30,0))="","Uncategorised",INDEX('Item Purchases'!$AM$4:$AM$30,MATCH(E262,'Item Purchases'!$B$4:$B$30,0))),"Uncategorised"))</f>
        <v>Beverages</v>
      </c>
      <c r="AH262" s="165">
        <f>IF(AND(E262&lt;&gt;"",L262=1),COUNTIFS($E$2:E262,E262,$L$2:L262,1),0)</f>
        <v>10</v>
      </c>
      <c r="AI262" s="165">
        <f t="shared" si="38"/>
        <v>24</v>
      </c>
      <c r="AJ262" s="165">
        <f t="shared" si="39"/>
        <v>1</v>
      </c>
    </row>
    <row r="263" spans="1:36" x14ac:dyDescent="0.25">
      <c r="A263" s="177">
        <f t="shared" si="33"/>
        <v>46279</v>
      </c>
      <c r="B263" s="178" t="str">
        <f t="shared" si="34"/>
        <v>Mon</v>
      </c>
      <c r="C263" s="178" t="str">
        <f>'Pantry Inventory'!$A$34</f>
        <v>Sep Week 2</v>
      </c>
      <c r="D263" s="178" t="str">
        <f>IF('Pantry Inventory'!A55="","",'Pantry Inventory'!A55)</f>
        <v>Coca Cola</v>
      </c>
      <c r="E263" s="178" t="str">
        <f>IF('Pantry Inventory'!B55="","",'Pantry Inventory'!B55)</f>
        <v>Oolong Tea 300ml</v>
      </c>
      <c r="F263" s="178" t="str">
        <f>IF(E263="","",IFERROR(IF(INDEX('Item Purchases'!$S$4:$S$30,MATCH(E263,'Item Purchases'!$B$4:$B$30,0))="","Uncategorised",INDEX('Item Purchases'!$S$4:$S$30,MATCH(E263,'Item Purchases'!$B$4:$B$30,0))),"Uncategorised"))</f>
        <v>Tea</v>
      </c>
      <c r="G263" s="178">
        <f>IF(E263="",0,'Pantry Inventory'!P55)</f>
        <v>0</v>
      </c>
      <c r="H263" s="178">
        <f>IF(E263="","",IF('Pantry Inventory'!Q55="","",'Pantry Inventory'!Q55))</f>
        <v>16</v>
      </c>
      <c r="I263" s="178">
        <f>IF(H263="","",'Pantry Inventory'!R55)</f>
        <v>16</v>
      </c>
      <c r="J263" s="179">
        <f>IF(E263="",0,IFERROR(INDEX('Item Purchases'!$Q$4:$Q$30,MATCH(E263,'Item Purchases'!$B$4:$B$30,0)),0))</f>
        <v>1.75</v>
      </c>
      <c r="K263" s="180">
        <f t="shared" si="35"/>
        <v>28</v>
      </c>
      <c r="L263" s="178">
        <f t="shared" si="36"/>
        <v>1</v>
      </c>
      <c r="M263" s="178">
        <f>IF(E263="",0,IF(AND(OR(OR(Dashboard!$E$5="All",Dashboard!$E$5=""),AG263=Dashboard!$E$5),OR(OR(Dashboard!$H$5="All",Dashboard!$H$5=""),F263=Dashboard!$H$5),OR(OR(Dashboard!$B$5="All",Dashboard!$B$5=""),C263=Dashboard!$B$5),OR(OR(Dashboard!$K$5="All",Dashboard!$K$5=""),A263=Dashboard!$K$5),OR(OR(Dashboard!$N$5="All",Dashboard!$N$5=""),B263=Dashboard!$N$5),OR(OR(Dashboard!$Q$5="All",Dashboard!$Q$5=""),D263=Dashboard!$Q$5),OR(OR(Dashboard!$U$5="All",Dashboard!$U$5=""),E263=Dashboard!$U$5)),1,0))</f>
        <v>1</v>
      </c>
      <c r="N263" s="178">
        <f>IF(E263="",0,IF(AND(OR(OR(Dashboard!$E$5="All",Dashboard!$E$5=""),AG263=Dashboard!$E$5),OR(OR(Dashboard!$B$5="All",Dashboard!$B$5=""),C263=Dashboard!$B$5),OR(OR(Dashboard!$K$5="All",Dashboard!$K$5=""),A263=Dashboard!$K$5),OR(OR(Dashboard!$N$5="All",Dashboard!$N$5=""),B263=Dashboard!$N$5),OR(OR(Dashboard!$Q$5="All",Dashboard!$Q$5=""),D263=Dashboard!$Q$5),OR(OR(Dashboard!$U$5="All",Dashboard!$U$5=""),E263=Dashboard!$U$5)),1,0))</f>
        <v>1</v>
      </c>
      <c r="O263" s="165">
        <f t="shared" si="37"/>
        <v>256</v>
      </c>
      <c r="AG263" s="178" t="str">
        <f>IF(E263="","",IFERROR(IF(INDEX('Item Purchases'!$AM$4:$AM$30,MATCH(E263,'Item Purchases'!$B$4:$B$30,0))="","Uncategorised",INDEX('Item Purchases'!$AM$4:$AM$30,MATCH(E263,'Item Purchases'!$B$4:$B$30,0))),"Uncategorised"))</f>
        <v>Beverages</v>
      </c>
      <c r="AH263" s="165">
        <f>IF(AND(E263&lt;&gt;"",L263=1),COUNTIFS($E$2:E263,E263,$L$2:L263,1),0)</f>
        <v>10</v>
      </c>
      <c r="AI263" s="165">
        <f t="shared" si="38"/>
        <v>16</v>
      </c>
      <c r="AJ263" s="165">
        <f t="shared" si="39"/>
        <v>1</v>
      </c>
    </row>
    <row r="264" spans="1:36" x14ac:dyDescent="0.25">
      <c r="A264" s="177">
        <f t="shared" si="33"/>
        <v>46279</v>
      </c>
      <c r="B264" s="178" t="str">
        <f t="shared" si="34"/>
        <v>Mon</v>
      </c>
      <c r="C264" s="178" t="str">
        <f>'Pantry Inventory'!$A$34</f>
        <v>Sep Week 2</v>
      </c>
      <c r="D264" s="178" t="str">
        <f>IF('Pantry Inventory'!A56="","",'Pantry Inventory'!A56)</f>
        <v>Vsoy</v>
      </c>
      <c r="E264" s="178" t="str">
        <f>IF('Pantry Inventory'!B56="","",'Pantry Inventory'!B56)</f>
        <v>Vsoy Soya Bean  250ml</v>
      </c>
      <c r="F264" s="178" t="str">
        <f>IF(E264="","",IFERROR(IF(INDEX('Item Purchases'!$S$4:$S$30,MATCH(E264,'Item Purchases'!$B$4:$B$30,0))="","Uncategorised",INDEX('Item Purchases'!$S$4:$S$30,MATCH(E264,'Item Purchases'!$B$4:$B$30,0))),"Uncategorised"))</f>
        <v>Other</v>
      </c>
      <c r="G264" s="178">
        <f>IF(E264="",0,'Pantry Inventory'!P56)</f>
        <v>0</v>
      </c>
      <c r="H264" s="178">
        <f>IF(E264="","",IF('Pantry Inventory'!Q56="","",'Pantry Inventory'!Q56))</f>
        <v>0</v>
      </c>
      <c r="I264" s="178">
        <f>IF(H264="","",'Pantry Inventory'!R56)</f>
        <v>1</v>
      </c>
      <c r="J264" s="179">
        <f>IF(E264="",0,IFERROR(INDEX('Item Purchases'!$Q$4:$Q$30,MATCH(E264,'Item Purchases'!$B$4:$B$30,0)),0))</f>
        <v>1.25</v>
      </c>
      <c r="K264" s="180">
        <f t="shared" si="35"/>
        <v>1.25</v>
      </c>
      <c r="L264" s="178">
        <f t="shared" si="36"/>
        <v>1</v>
      </c>
      <c r="M264" s="178">
        <f>IF(E264="",0,IF(AND(OR(OR(Dashboard!$E$5="All",Dashboard!$E$5=""),AG264=Dashboard!$E$5),OR(OR(Dashboard!$H$5="All",Dashboard!$H$5=""),F264=Dashboard!$H$5),OR(OR(Dashboard!$B$5="All",Dashboard!$B$5=""),C264=Dashboard!$B$5),OR(OR(Dashboard!$K$5="All",Dashboard!$K$5=""),A264=Dashboard!$K$5),OR(OR(Dashboard!$N$5="All",Dashboard!$N$5=""),B264=Dashboard!$N$5),OR(OR(Dashboard!$Q$5="All",Dashboard!$Q$5=""),D264=Dashboard!$Q$5),OR(OR(Dashboard!$U$5="All",Dashboard!$U$5=""),E264=Dashboard!$U$5)),1,0))</f>
        <v>1</v>
      </c>
      <c r="N264" s="178">
        <f>IF(E264="",0,IF(AND(OR(OR(Dashboard!$E$5="All",Dashboard!$E$5=""),AG264=Dashboard!$E$5),OR(OR(Dashboard!$B$5="All",Dashboard!$B$5=""),C264=Dashboard!$B$5),OR(OR(Dashboard!$K$5="All",Dashboard!$K$5=""),A264=Dashboard!$K$5),OR(OR(Dashboard!$N$5="All",Dashboard!$N$5=""),B264=Dashboard!$N$5),OR(OR(Dashboard!$Q$5="All",Dashboard!$Q$5=""),D264=Dashboard!$Q$5),OR(OR(Dashboard!$U$5="All",Dashboard!$U$5=""),E264=Dashboard!$U$5)),1,0))</f>
        <v>1</v>
      </c>
      <c r="O264" s="165">
        <f t="shared" si="37"/>
        <v>0</v>
      </c>
      <c r="AG264" s="178" t="str">
        <f>IF(E264="","",IFERROR(IF(INDEX('Item Purchases'!$AM$4:$AM$30,MATCH(E264,'Item Purchases'!$B$4:$B$30,0))="","Uncategorised",INDEX('Item Purchases'!$AM$4:$AM$30,MATCH(E264,'Item Purchases'!$B$4:$B$30,0))),"Uncategorised"))</f>
        <v>Beverages</v>
      </c>
      <c r="AH264" s="165">
        <f>IF(AND(E264&lt;&gt;"",L264=1),COUNTIFS($E$2:E264,E264,$L$2:L264,1),0)</f>
        <v>10</v>
      </c>
      <c r="AI264" s="165">
        <f t="shared" si="38"/>
        <v>1</v>
      </c>
      <c r="AJ264" s="165">
        <f t="shared" si="39"/>
        <v>0</v>
      </c>
    </row>
    <row r="265" spans="1:36" x14ac:dyDescent="0.25">
      <c r="A265" s="177">
        <f t="shared" si="33"/>
        <v>46279</v>
      </c>
      <c r="B265" s="178" t="str">
        <f t="shared" si="34"/>
        <v>Mon</v>
      </c>
      <c r="C265" s="178" t="str">
        <f>'Pantry Inventory'!$A$34</f>
        <v>Sep Week 2</v>
      </c>
      <c r="D265" s="178" t="str">
        <f>IF('Pantry Inventory'!A57="","",'Pantry Inventory'!A57)</f>
        <v>BingRae</v>
      </c>
      <c r="E265" s="178" t="str">
        <f>IF('Pantry Inventory'!B57="","",'Pantry Inventory'!B57)</f>
        <v>BingRae Banana Milk 200ml</v>
      </c>
      <c r="F265" s="178" t="str">
        <f>IF(E265="","",IFERROR(IF(INDEX('Item Purchases'!$S$4:$S$30,MATCH(E265,'Item Purchases'!$B$4:$B$30,0))="","Uncategorised",INDEX('Item Purchases'!$S$4:$S$30,MATCH(E265,'Item Purchases'!$B$4:$B$30,0))),"Uncategorised"))</f>
        <v>Other</v>
      </c>
      <c r="G265" s="178">
        <f>IF(E265="",0,'Pantry Inventory'!P57)</f>
        <v>0</v>
      </c>
      <c r="H265" s="178">
        <f>IF(E265="","",IF('Pantry Inventory'!Q57="","",'Pantry Inventory'!Q57))</f>
        <v>41</v>
      </c>
      <c r="I265" s="178">
        <f>IF(H265="","",'Pantry Inventory'!R57)</f>
        <v>7</v>
      </c>
      <c r="J265" s="179">
        <f>IF(E265="",0,IFERROR(INDEX('Item Purchases'!$Q$4:$Q$30,MATCH(E265,'Item Purchases'!$B$4:$B$30,0)),0))</f>
        <v>3.3159999999999998</v>
      </c>
      <c r="K265" s="180">
        <f t="shared" si="35"/>
        <v>23.212</v>
      </c>
      <c r="L265" s="178">
        <f t="shared" si="36"/>
        <v>1</v>
      </c>
      <c r="M265" s="178">
        <f>IF(E265="",0,IF(AND(OR(OR(Dashboard!$E$5="All",Dashboard!$E$5=""),AG265=Dashboard!$E$5),OR(OR(Dashboard!$H$5="All",Dashboard!$H$5=""),F265=Dashboard!$H$5),OR(OR(Dashboard!$B$5="All",Dashboard!$B$5=""),C265=Dashboard!$B$5),OR(OR(Dashboard!$K$5="All",Dashboard!$K$5=""),A265=Dashboard!$K$5),OR(OR(Dashboard!$N$5="All",Dashboard!$N$5=""),B265=Dashboard!$N$5),OR(OR(Dashboard!$Q$5="All",Dashboard!$Q$5=""),D265=Dashboard!$Q$5),OR(OR(Dashboard!$U$5="All",Dashboard!$U$5=""),E265=Dashboard!$U$5)),1,0))</f>
        <v>1</v>
      </c>
      <c r="N265" s="178">
        <f>IF(E265="",0,IF(AND(OR(OR(Dashboard!$E$5="All",Dashboard!$E$5=""),AG265=Dashboard!$E$5),OR(OR(Dashboard!$B$5="All",Dashboard!$B$5=""),C265=Dashboard!$B$5),OR(OR(Dashboard!$K$5="All",Dashboard!$K$5=""),A265=Dashboard!$K$5),OR(OR(Dashboard!$N$5="All",Dashboard!$N$5=""),B265=Dashboard!$N$5),OR(OR(Dashboard!$Q$5="All",Dashboard!$Q$5=""),D265=Dashboard!$Q$5),OR(OR(Dashboard!$U$5="All",Dashboard!$U$5=""),E265=Dashboard!$U$5)),1,0))</f>
        <v>1</v>
      </c>
      <c r="O265" s="165">
        <f t="shared" si="37"/>
        <v>49</v>
      </c>
      <c r="AG265" s="178" t="str">
        <f>IF(E265="","",IFERROR(IF(INDEX('Item Purchases'!$AM$4:$AM$30,MATCH(E265,'Item Purchases'!$B$4:$B$30,0))="","Uncategorised",INDEX('Item Purchases'!$AM$4:$AM$30,MATCH(E265,'Item Purchases'!$B$4:$B$30,0))),"Uncategorised"))</f>
        <v>Beverages</v>
      </c>
      <c r="AH265" s="165">
        <f>IF(AND(E265&lt;&gt;"",L265=1),COUNTIFS($E$2:E265,E265,$L$2:L265,1),0)</f>
        <v>10</v>
      </c>
      <c r="AI265" s="165">
        <f t="shared" si="38"/>
        <v>7</v>
      </c>
      <c r="AJ265" s="165">
        <f t="shared" si="39"/>
        <v>1</v>
      </c>
    </row>
    <row r="266" spans="1:36" x14ac:dyDescent="0.25">
      <c r="A266" s="177">
        <f t="shared" si="33"/>
        <v>46279</v>
      </c>
      <c r="B266" s="178" t="str">
        <f t="shared" si="34"/>
        <v>Mon</v>
      </c>
      <c r="C266" s="178" t="str">
        <f>'Pantry Inventory'!$A$34</f>
        <v>Sep Week 2</v>
      </c>
      <c r="D266" s="178" t="str">
        <f>IF('Pantry Inventory'!A58="","",'Pantry Inventory'!A58)</f>
        <v>Fuze Tea</v>
      </c>
      <c r="E266" s="178" t="str">
        <f>IF('Pantry Inventory'!B58="","",'Pantry Inventory'!B58)</f>
        <v>Fuze Tea by Heaven and Earth Jasmine Tea</v>
      </c>
      <c r="F266" s="178" t="str">
        <f>IF(E266="","",IFERROR(IF(INDEX('Item Purchases'!$S$4:$S$30,MATCH(E266,'Item Purchases'!$B$4:$B$30,0))="","Uncategorised",INDEX('Item Purchases'!$S$4:$S$30,MATCH(E266,'Item Purchases'!$B$4:$B$30,0))),"Uncategorised"))</f>
        <v>Tea</v>
      </c>
      <c r="G266" s="178">
        <f>IF(E266="",0,'Pantry Inventory'!P58)</f>
        <v>0</v>
      </c>
      <c r="H266" s="178">
        <f>IF(E266="","",IF('Pantry Inventory'!Q58="","",'Pantry Inventory'!Q58))</f>
        <v>0</v>
      </c>
      <c r="I266" s="178">
        <f>IF(H266="","",'Pantry Inventory'!R58)</f>
        <v>0</v>
      </c>
      <c r="J266" s="179">
        <f>IF(E266="",0,IFERROR(INDEX('Item Purchases'!$Q$4:$Q$30,MATCH(E266,'Item Purchases'!$B$4:$B$30,0)),0))</f>
        <v>1.167</v>
      </c>
      <c r="K266" s="180">
        <f t="shared" si="35"/>
        <v>0</v>
      </c>
      <c r="L266" s="178">
        <f t="shared" si="36"/>
        <v>1</v>
      </c>
      <c r="M266" s="178">
        <f>IF(E266="",0,IF(AND(OR(OR(Dashboard!$E$5="All",Dashboard!$E$5=""),AG266=Dashboard!$E$5),OR(OR(Dashboard!$H$5="All",Dashboard!$H$5=""),F266=Dashboard!$H$5),OR(OR(Dashboard!$B$5="All",Dashboard!$B$5=""),C266=Dashboard!$B$5),OR(OR(Dashboard!$K$5="All",Dashboard!$K$5=""),A266=Dashboard!$K$5),OR(OR(Dashboard!$N$5="All",Dashboard!$N$5=""),B266=Dashboard!$N$5),OR(OR(Dashboard!$Q$5="All",Dashboard!$Q$5=""),D266=Dashboard!$Q$5),OR(OR(Dashboard!$U$5="All",Dashboard!$U$5=""),E266=Dashboard!$U$5)),1,0))</f>
        <v>1</v>
      </c>
      <c r="N266" s="178">
        <f>IF(E266="",0,IF(AND(OR(OR(Dashboard!$E$5="All",Dashboard!$E$5=""),AG266=Dashboard!$E$5),OR(OR(Dashboard!$B$5="All",Dashboard!$B$5=""),C266=Dashboard!$B$5),OR(OR(Dashboard!$K$5="All",Dashboard!$K$5=""),A266=Dashboard!$K$5),OR(OR(Dashboard!$N$5="All",Dashboard!$N$5=""),B266=Dashboard!$N$5),OR(OR(Dashboard!$Q$5="All",Dashboard!$Q$5=""),D266=Dashboard!$Q$5),OR(OR(Dashboard!$U$5="All",Dashboard!$U$5=""),E266=Dashboard!$U$5)),1,0))</f>
        <v>1</v>
      </c>
      <c r="O266" s="165">
        <f t="shared" si="37"/>
        <v>0</v>
      </c>
      <c r="AG266" s="178" t="str">
        <f>IF(E266="","",IFERROR(IF(INDEX('Item Purchases'!$AM$4:$AM$30,MATCH(E266,'Item Purchases'!$B$4:$B$30,0))="","Uncategorised",INDEX('Item Purchases'!$AM$4:$AM$30,MATCH(E266,'Item Purchases'!$B$4:$B$30,0))),"Uncategorised"))</f>
        <v>Beverages</v>
      </c>
      <c r="AH266" s="165">
        <f>IF(AND(E266&lt;&gt;"",L266=1),COUNTIFS($E$2:E266,E266,$L$2:L266,1),0)</f>
        <v>10</v>
      </c>
      <c r="AI266" s="165">
        <f t="shared" si="38"/>
        <v>0</v>
      </c>
      <c r="AJ266" s="165">
        <f t="shared" si="39"/>
        <v>0</v>
      </c>
    </row>
    <row r="267" spans="1:36" x14ac:dyDescent="0.25">
      <c r="A267" s="177">
        <f t="shared" si="33"/>
        <v>46279</v>
      </c>
      <c r="B267" s="178" t="str">
        <f t="shared" si="34"/>
        <v>Mon</v>
      </c>
      <c r="C267" s="178" t="str">
        <f>'Pantry Inventory'!$A$34</f>
        <v>Sep Week 2</v>
      </c>
      <c r="D267" s="178" t="str">
        <f>IF('Pantry Inventory'!A59="","",'Pantry Inventory'!A59)</f>
        <v>F&amp;N</v>
      </c>
      <c r="E267" s="178" t="str">
        <f>IF('Pantry Inventory'!B59="","",'Pantry Inventory'!B59)</f>
        <v>FN 100 plus (original) 325ml</v>
      </c>
      <c r="F267" s="178" t="str">
        <f>IF(E267="","",IFERROR(IF(INDEX('Item Purchases'!$S$4:$S$30,MATCH(E267,'Item Purchases'!$B$4:$B$30,0))="","Uncategorised",INDEX('Item Purchases'!$S$4:$S$30,MATCH(E267,'Item Purchases'!$B$4:$B$30,0))),"Uncategorised"))</f>
        <v>Other</v>
      </c>
      <c r="G267" s="178">
        <f>IF(E267="",0,'Pantry Inventory'!P59)</f>
        <v>24</v>
      </c>
      <c r="H267" s="178">
        <f>IF(E267="","",IF('Pantry Inventory'!Q59="","",'Pantry Inventory'!Q59))</f>
        <v>44</v>
      </c>
      <c r="I267" s="178">
        <f>IF(H267="","",'Pantry Inventory'!R59)</f>
        <v>3</v>
      </c>
      <c r="J267" s="179">
        <f>IF(E267="",0,IFERROR(INDEX('Item Purchases'!$Q$4:$Q$30,MATCH(E267,'Item Purchases'!$B$4:$B$30,0)),0))</f>
        <v>1.58</v>
      </c>
      <c r="K267" s="180">
        <f t="shared" si="35"/>
        <v>4.74</v>
      </c>
      <c r="L267" s="178">
        <f t="shared" si="36"/>
        <v>1</v>
      </c>
      <c r="M267" s="178">
        <f>IF(E267="",0,IF(AND(OR(OR(Dashboard!$E$5="All",Dashboard!$E$5=""),AG267=Dashboard!$E$5),OR(OR(Dashboard!$H$5="All",Dashboard!$H$5=""),F267=Dashboard!$H$5),OR(OR(Dashboard!$B$5="All",Dashboard!$B$5=""),C267=Dashboard!$B$5),OR(OR(Dashboard!$K$5="All",Dashboard!$K$5=""),A267=Dashboard!$K$5),OR(OR(Dashboard!$N$5="All",Dashboard!$N$5=""),B267=Dashboard!$N$5),OR(OR(Dashboard!$Q$5="All",Dashboard!$Q$5=""),D267=Dashboard!$Q$5),OR(OR(Dashboard!$U$5="All",Dashboard!$U$5=""),E267=Dashboard!$U$5)),1,0))</f>
        <v>1</v>
      </c>
      <c r="N267" s="178">
        <f>IF(E267="",0,IF(AND(OR(OR(Dashboard!$E$5="All",Dashboard!$E$5=""),AG267=Dashboard!$E$5),OR(OR(Dashboard!$B$5="All",Dashboard!$B$5=""),C267=Dashboard!$B$5),OR(OR(Dashboard!$K$5="All",Dashboard!$K$5=""),A267=Dashboard!$K$5),OR(OR(Dashboard!$N$5="All",Dashboard!$N$5=""),B267=Dashboard!$N$5),OR(OR(Dashboard!$Q$5="All",Dashboard!$Q$5=""),D267=Dashboard!$Q$5),OR(OR(Dashboard!$U$5="All",Dashboard!$U$5=""),E267=Dashboard!$U$5)),1,0))</f>
        <v>1</v>
      </c>
      <c r="O267" s="165">
        <f t="shared" si="37"/>
        <v>9</v>
      </c>
      <c r="AG267" s="178" t="str">
        <f>IF(E267="","",IFERROR(IF(INDEX('Item Purchases'!$AM$4:$AM$30,MATCH(E267,'Item Purchases'!$B$4:$B$30,0))="","Uncategorised",INDEX('Item Purchases'!$AM$4:$AM$30,MATCH(E267,'Item Purchases'!$B$4:$B$30,0))),"Uncategorised"))</f>
        <v>Beverages</v>
      </c>
      <c r="AH267" s="165">
        <f>IF(AND(E267&lt;&gt;"",L267=1),COUNTIFS($E$2:E267,E267,$L$2:L267,1),0)</f>
        <v>10</v>
      </c>
      <c r="AI267" s="165">
        <f t="shared" si="38"/>
        <v>3</v>
      </c>
      <c r="AJ267" s="165">
        <f t="shared" si="39"/>
        <v>1</v>
      </c>
    </row>
    <row r="268" spans="1:36" x14ac:dyDescent="0.25">
      <c r="A268" s="177">
        <f t="shared" si="33"/>
        <v>46279</v>
      </c>
      <c r="B268" s="178" t="str">
        <f t="shared" si="34"/>
        <v>Mon</v>
      </c>
      <c r="C268" s="178" t="str">
        <f>'Pantry Inventory'!$A$34</f>
        <v>Sep Week 2</v>
      </c>
      <c r="D268" s="178" t="str">
        <f>IF('Pantry Inventory'!A60="","",'Pantry Inventory'!A60)</f>
        <v>Spritzer</v>
      </c>
      <c r="E268" s="178" t="str">
        <f>IF('Pantry Inventory'!B60="","",'Pantry Inventory'!B60)</f>
        <v>Spritzer sparkling water (original) 400ml</v>
      </c>
      <c r="F268" s="178" t="str">
        <f>IF(E268="","",IFERROR(IF(INDEX('Item Purchases'!$S$4:$S$30,MATCH(E268,'Item Purchases'!$B$4:$B$30,0))="","Uncategorised",INDEX('Item Purchases'!$S$4:$S$30,MATCH(E268,'Item Purchases'!$B$4:$B$30,0))),"Uncategorised"))</f>
        <v>Other</v>
      </c>
      <c r="G268" s="178">
        <f>IF(E268="",0,'Pantry Inventory'!P60)</f>
        <v>48</v>
      </c>
      <c r="H268" s="178">
        <f>IF(E268="","",IF('Pantry Inventory'!Q60="","",'Pantry Inventory'!Q60))</f>
        <v>49</v>
      </c>
      <c r="I268" s="178">
        <f>IF(H268="","",'Pantry Inventory'!R60)</f>
        <v>1</v>
      </c>
      <c r="J268" s="179">
        <f>IF(E268="",0,IFERROR(INDEX('Item Purchases'!$Q$4:$Q$30,MATCH(E268,'Item Purchases'!$B$4:$B$30,0)),0))</f>
        <v>1.616666666666666</v>
      </c>
      <c r="K268" s="180">
        <f t="shared" si="35"/>
        <v>1.616666666666666</v>
      </c>
      <c r="L268" s="178">
        <f t="shared" si="36"/>
        <v>1</v>
      </c>
      <c r="M268" s="178">
        <f>IF(E268="",0,IF(AND(OR(OR(Dashboard!$E$5="All",Dashboard!$E$5=""),AG268=Dashboard!$E$5),OR(OR(Dashboard!$H$5="All",Dashboard!$H$5=""),F268=Dashboard!$H$5),OR(OR(Dashboard!$B$5="All",Dashboard!$B$5=""),C268=Dashboard!$B$5),OR(OR(Dashboard!$K$5="All",Dashboard!$K$5=""),A268=Dashboard!$K$5),OR(OR(Dashboard!$N$5="All",Dashboard!$N$5=""),B268=Dashboard!$N$5),OR(OR(Dashboard!$Q$5="All",Dashboard!$Q$5=""),D268=Dashboard!$Q$5),OR(OR(Dashboard!$U$5="All",Dashboard!$U$5=""),E268=Dashboard!$U$5)),1,0))</f>
        <v>1</v>
      </c>
      <c r="N268" s="178">
        <f>IF(E268="",0,IF(AND(OR(OR(Dashboard!$E$5="All",Dashboard!$E$5=""),AG268=Dashboard!$E$5),OR(OR(Dashboard!$B$5="All",Dashboard!$B$5=""),C268=Dashboard!$B$5),OR(OR(Dashboard!$K$5="All",Dashboard!$K$5=""),A268=Dashboard!$K$5),OR(OR(Dashboard!$N$5="All",Dashboard!$N$5=""),B268=Dashboard!$N$5),OR(OR(Dashboard!$Q$5="All",Dashboard!$Q$5=""),D268=Dashboard!$Q$5),OR(OR(Dashboard!$U$5="All",Dashboard!$U$5=""),E268=Dashboard!$U$5)),1,0))</f>
        <v>1</v>
      </c>
      <c r="O268" s="165">
        <f t="shared" si="37"/>
        <v>1</v>
      </c>
      <c r="AG268" s="178" t="str">
        <f>IF(E268="","",IFERROR(IF(INDEX('Item Purchases'!$AM$4:$AM$30,MATCH(E268,'Item Purchases'!$B$4:$B$30,0))="","Uncategorised",INDEX('Item Purchases'!$AM$4:$AM$30,MATCH(E268,'Item Purchases'!$B$4:$B$30,0))),"Uncategorised"))</f>
        <v>Beverages</v>
      </c>
      <c r="AH268" s="165">
        <f>IF(AND(E268&lt;&gt;"",L268=1),COUNTIFS($E$2:E268,E268,$L$2:L268,1),0)</f>
        <v>10</v>
      </c>
      <c r="AI268" s="165">
        <f t="shared" si="38"/>
        <v>1</v>
      </c>
      <c r="AJ268" s="165">
        <f t="shared" si="39"/>
        <v>1</v>
      </c>
    </row>
    <row r="269" spans="1:36" x14ac:dyDescent="0.25">
      <c r="A269" s="177">
        <f t="shared" si="33"/>
        <v>46279</v>
      </c>
      <c r="B269" s="178" t="str">
        <f t="shared" si="34"/>
        <v>Mon</v>
      </c>
      <c r="C269" s="178" t="str">
        <f>'Pantry Inventory'!$A$34</f>
        <v>Sep Week 2</v>
      </c>
      <c r="D269" s="178" t="str">
        <f>IF('Pantry Inventory'!A61="","",'Pantry Inventory'!A61)</f>
        <v>Oat Side</v>
      </c>
      <c r="E269" s="178" t="str">
        <f>IF('Pantry Inventory'!B61="","",'Pantry Inventory'!B61)</f>
        <v>Oat Side Original 200ml</v>
      </c>
      <c r="F269" s="178" t="str">
        <f>IF(E269="","",IFERROR(IF(INDEX('Item Purchases'!$S$4:$S$30,MATCH(E269,'Item Purchases'!$B$4:$B$30,0))="","Uncategorised",INDEX('Item Purchases'!$S$4:$S$30,MATCH(E269,'Item Purchases'!$B$4:$B$30,0))),"Uncategorised"))</f>
        <v>Other</v>
      </c>
      <c r="G269" s="178">
        <f>IF(E269="",0,'Pantry Inventory'!P61)</f>
        <v>0</v>
      </c>
      <c r="H269" s="178">
        <f>IF(E269="","",IF('Pantry Inventory'!Q61="","",'Pantry Inventory'!Q61))</f>
        <v>53</v>
      </c>
      <c r="I269" s="178">
        <f>IF(H269="","",'Pantry Inventory'!R61)</f>
        <v>8</v>
      </c>
      <c r="J269" s="179">
        <f>IF(E269="",0,IFERROR(INDEX('Item Purchases'!$Q$4:$Q$30,MATCH(E269,'Item Purchases'!$B$4:$B$30,0)),0))</f>
        <v>3</v>
      </c>
      <c r="K269" s="180">
        <f t="shared" si="35"/>
        <v>24</v>
      </c>
      <c r="L269" s="178">
        <f t="shared" si="36"/>
        <v>1</v>
      </c>
      <c r="M269" s="178">
        <f>IF(E269="",0,IF(AND(OR(OR(Dashboard!$E$5="All",Dashboard!$E$5=""),AG269=Dashboard!$E$5),OR(OR(Dashboard!$H$5="All",Dashboard!$H$5=""),F269=Dashboard!$H$5),OR(OR(Dashboard!$B$5="All",Dashboard!$B$5=""),C269=Dashboard!$B$5),OR(OR(Dashboard!$K$5="All",Dashboard!$K$5=""),A269=Dashboard!$K$5),OR(OR(Dashboard!$N$5="All",Dashboard!$N$5=""),B269=Dashboard!$N$5),OR(OR(Dashboard!$Q$5="All",Dashboard!$Q$5=""),D269=Dashboard!$Q$5),OR(OR(Dashboard!$U$5="All",Dashboard!$U$5=""),E269=Dashboard!$U$5)),1,0))</f>
        <v>1</v>
      </c>
      <c r="N269" s="178">
        <f>IF(E269="",0,IF(AND(OR(OR(Dashboard!$E$5="All",Dashboard!$E$5=""),AG269=Dashboard!$E$5),OR(OR(Dashboard!$B$5="All",Dashboard!$B$5=""),C269=Dashboard!$B$5),OR(OR(Dashboard!$K$5="All",Dashboard!$K$5=""),A269=Dashboard!$K$5),OR(OR(Dashboard!$N$5="All",Dashboard!$N$5=""),B269=Dashboard!$N$5),OR(OR(Dashboard!$Q$5="All",Dashboard!$Q$5=""),D269=Dashboard!$Q$5),OR(OR(Dashboard!$U$5="All",Dashboard!$U$5=""),E269=Dashboard!$U$5)),1,0))</f>
        <v>1</v>
      </c>
      <c r="O269" s="165">
        <f t="shared" si="37"/>
        <v>64</v>
      </c>
      <c r="AG269" s="178" t="str">
        <f>IF(E269="","",IFERROR(IF(INDEX('Item Purchases'!$AM$4:$AM$30,MATCH(E269,'Item Purchases'!$B$4:$B$30,0))="","Uncategorised",INDEX('Item Purchases'!$AM$4:$AM$30,MATCH(E269,'Item Purchases'!$B$4:$B$30,0))),"Uncategorised"))</f>
        <v>Beverages</v>
      </c>
      <c r="AH269" s="165">
        <f>IF(AND(E269&lt;&gt;"",L269=1),COUNTIFS($E$2:E269,E269,$L$2:L269,1),0)</f>
        <v>10</v>
      </c>
      <c r="AI269" s="165">
        <f t="shared" si="38"/>
        <v>8</v>
      </c>
      <c r="AJ269" s="165">
        <f t="shared" si="39"/>
        <v>1</v>
      </c>
    </row>
    <row r="270" spans="1:36" x14ac:dyDescent="0.25">
      <c r="A270" s="177">
        <f t="shared" si="33"/>
        <v>46279</v>
      </c>
      <c r="B270" s="178" t="str">
        <f t="shared" si="34"/>
        <v>Mon</v>
      </c>
      <c r="C270" s="178" t="str">
        <f>'Pantry Inventory'!$A$34</f>
        <v>Sep Week 2</v>
      </c>
      <c r="D270" s="178" t="str">
        <f>IF('Pantry Inventory'!A62="","",'Pantry Inventory'!A62)</f>
        <v>Oat Side</v>
      </c>
      <c r="E270" s="178" t="str">
        <f>IF('Pantry Inventory'!B62="","",'Pantry Inventory'!B62)</f>
        <v>Oat Side Chocolate 200ml</v>
      </c>
      <c r="F270" s="178" t="str">
        <f>IF(E270="","",IFERROR(IF(INDEX('Item Purchases'!$S$4:$S$30,MATCH(E270,'Item Purchases'!$B$4:$B$30,0))="","Uncategorised",INDEX('Item Purchases'!$S$4:$S$30,MATCH(E270,'Item Purchases'!$B$4:$B$30,0))),"Uncategorised"))</f>
        <v>Other</v>
      </c>
      <c r="G270" s="178">
        <f>IF(E270="",0,'Pantry Inventory'!P62)</f>
        <v>48</v>
      </c>
      <c r="H270" s="178">
        <f>IF(E270="","",IF('Pantry Inventory'!Q62="","",'Pantry Inventory'!Q62))</f>
        <v>60</v>
      </c>
      <c r="I270" s="178">
        <f>IF(H270="","",'Pantry Inventory'!R62)</f>
        <v>36</v>
      </c>
      <c r="J270" s="179">
        <f>IF(E270="",0,IFERROR(INDEX('Item Purchases'!$Q$4:$Q$30,MATCH(E270,'Item Purchases'!$B$4:$B$30,0)),0))</f>
        <v>3</v>
      </c>
      <c r="K270" s="180">
        <f t="shared" si="35"/>
        <v>108</v>
      </c>
      <c r="L270" s="178">
        <f t="shared" si="36"/>
        <v>1</v>
      </c>
      <c r="M270" s="178">
        <f>IF(E270="",0,IF(AND(OR(OR(Dashboard!$E$5="All",Dashboard!$E$5=""),AG270=Dashboard!$E$5),OR(OR(Dashboard!$H$5="All",Dashboard!$H$5=""),F270=Dashboard!$H$5),OR(OR(Dashboard!$B$5="All",Dashboard!$B$5=""),C270=Dashboard!$B$5),OR(OR(Dashboard!$K$5="All",Dashboard!$K$5=""),A270=Dashboard!$K$5),OR(OR(Dashboard!$N$5="All",Dashboard!$N$5=""),B270=Dashboard!$N$5),OR(OR(Dashboard!$Q$5="All",Dashboard!$Q$5=""),D270=Dashboard!$Q$5),OR(OR(Dashboard!$U$5="All",Dashboard!$U$5=""),E270=Dashboard!$U$5)),1,0))</f>
        <v>1</v>
      </c>
      <c r="N270" s="178">
        <f>IF(E270="",0,IF(AND(OR(OR(Dashboard!$E$5="All",Dashboard!$E$5=""),AG270=Dashboard!$E$5),OR(OR(Dashboard!$B$5="All",Dashboard!$B$5=""),C270=Dashboard!$B$5),OR(OR(Dashboard!$K$5="All",Dashboard!$K$5=""),A270=Dashboard!$K$5),OR(OR(Dashboard!$N$5="All",Dashboard!$N$5=""),B270=Dashboard!$N$5),OR(OR(Dashboard!$Q$5="All",Dashboard!$Q$5=""),D270=Dashboard!$Q$5),OR(OR(Dashboard!$U$5="All",Dashboard!$U$5=""),E270=Dashboard!$U$5)),1,0))</f>
        <v>1</v>
      </c>
      <c r="O270" s="165">
        <f t="shared" si="37"/>
        <v>1296</v>
      </c>
      <c r="AG270" s="178" t="str">
        <f>IF(E270="","",IFERROR(IF(INDEX('Item Purchases'!$AM$4:$AM$30,MATCH(E270,'Item Purchases'!$B$4:$B$30,0))="","Uncategorised",INDEX('Item Purchases'!$AM$4:$AM$30,MATCH(E270,'Item Purchases'!$B$4:$B$30,0))),"Uncategorised"))</f>
        <v>Beverages</v>
      </c>
      <c r="AH270" s="165">
        <f>IF(AND(E270&lt;&gt;"",L270=1),COUNTIFS($E$2:E270,E270,$L$2:L270,1),0)</f>
        <v>10</v>
      </c>
      <c r="AI270" s="165">
        <f t="shared" si="38"/>
        <v>36</v>
      </c>
      <c r="AJ270" s="165">
        <f t="shared" si="39"/>
        <v>1</v>
      </c>
    </row>
    <row r="271" spans="1:36" x14ac:dyDescent="0.25">
      <c r="A271" s="177">
        <f t="shared" si="33"/>
        <v>46279</v>
      </c>
      <c r="B271" s="178" t="str">
        <f t="shared" si="34"/>
        <v>Mon</v>
      </c>
      <c r="C271" s="178" t="str">
        <f>'Pantry Inventory'!$A$34</f>
        <v>Sep Week 2</v>
      </c>
      <c r="D271" s="178" t="str">
        <f>IF('Pantry Inventory'!A63="","",'Pantry Inventory'!A63)</f>
        <v/>
      </c>
      <c r="E271" s="178" t="str">
        <f>IF('Pantry Inventory'!B63="","",'Pantry Inventory'!B63)</f>
        <v/>
      </c>
      <c r="F271" s="178" t="str">
        <f>IF(E271="","",IFERROR(IF(INDEX('Item Purchases'!$S$4:$S$30,MATCH(E271,'Item Purchases'!$B$4:$B$30,0))="","Uncategorised",INDEX('Item Purchases'!$S$4:$S$30,MATCH(E271,'Item Purchases'!$B$4:$B$30,0))),"Uncategorised"))</f>
        <v/>
      </c>
      <c r="G271" s="178">
        <f>IF(E271="",0,'Pantry Inventory'!P63)</f>
        <v>0</v>
      </c>
      <c r="H271" s="178" t="str">
        <f>IF(E271="","",IF('Pantry Inventory'!Q63="","",'Pantry Inventory'!Q63))</f>
        <v/>
      </c>
      <c r="I271" s="178" t="str">
        <f>IF(H271="","",'Pantry Inventory'!R63)</f>
        <v/>
      </c>
      <c r="J271" s="179">
        <f>IF(E271="",0,IFERROR(INDEX('Item Purchases'!$Q$4:$Q$30,MATCH(E271,'Item Purchases'!$B$4:$B$30,0)),0))</f>
        <v>0</v>
      </c>
      <c r="K271" s="180" t="str">
        <f t="shared" si="35"/>
        <v/>
      </c>
      <c r="L271" s="178">
        <f t="shared" si="36"/>
        <v>0</v>
      </c>
      <c r="M271" s="178">
        <f>IF(E271="",0,IF(AND(OR(OR(Dashboard!$E$5="All",Dashboard!$E$5=""),AG271=Dashboard!$E$5),OR(OR(Dashboard!$H$5="All",Dashboard!$H$5=""),F271=Dashboard!$H$5),OR(OR(Dashboard!$B$5="All",Dashboard!$B$5=""),C271=Dashboard!$B$5),OR(OR(Dashboard!$K$5="All",Dashboard!$K$5=""),A271=Dashboard!$K$5),OR(OR(Dashboard!$N$5="All",Dashboard!$N$5=""),B271=Dashboard!$N$5),OR(OR(Dashboard!$Q$5="All",Dashboard!$Q$5=""),D271=Dashboard!$Q$5),OR(OR(Dashboard!$U$5="All",Dashboard!$U$5=""),E271=Dashboard!$U$5)),1,0))</f>
        <v>0</v>
      </c>
      <c r="N271" s="178">
        <f>IF(E271="",0,IF(AND(OR(OR(Dashboard!$E$5="All",Dashboard!$E$5=""),AG271=Dashboard!$E$5),OR(OR(Dashboard!$B$5="All",Dashboard!$B$5=""),C271=Dashboard!$B$5),OR(OR(Dashboard!$K$5="All",Dashboard!$K$5=""),A271=Dashboard!$K$5),OR(OR(Dashboard!$N$5="All",Dashboard!$N$5=""),B271=Dashboard!$N$5),OR(OR(Dashboard!$Q$5="All",Dashboard!$Q$5=""),D271=Dashboard!$Q$5),OR(OR(Dashboard!$U$5="All",Dashboard!$U$5=""),E271=Dashboard!$U$5)),1,0))</f>
        <v>0</v>
      </c>
      <c r="O271" s="165">
        <f t="shared" si="37"/>
        <v>0</v>
      </c>
      <c r="AG271" s="178" t="str">
        <f>IF(E271="","",IFERROR(IF(INDEX('Item Purchases'!$AM$4:$AM$30,MATCH(E271,'Item Purchases'!$B$4:$B$30,0))="","Uncategorised",INDEX('Item Purchases'!$AM$4:$AM$30,MATCH(E271,'Item Purchases'!$B$4:$B$30,0))),"Uncategorised"))</f>
        <v/>
      </c>
      <c r="AH271" s="165">
        <f>IF(AND(E271&lt;&gt;"",L271=1),COUNTIFS($E$2:E271,E271,$L$2:L271,1),0)</f>
        <v>0</v>
      </c>
      <c r="AI271" s="165">
        <f t="shared" si="38"/>
        <v>0</v>
      </c>
      <c r="AJ271" s="165">
        <f t="shared" si="39"/>
        <v>0</v>
      </c>
    </row>
    <row r="272" spans="1:36" x14ac:dyDescent="0.25">
      <c r="A272" s="177">
        <f t="shared" ref="A272:A298" si="40">IF($Z$12="",0,$Z$12)</f>
        <v>46280</v>
      </c>
      <c r="B272" s="178" t="str">
        <f t="shared" si="34"/>
        <v>Tue</v>
      </c>
      <c r="C272" s="178" t="str">
        <f>'Pantry Inventory'!$A$65</f>
        <v>Sep Week 3</v>
      </c>
      <c r="D272" s="178" t="str">
        <f>IF('Pantry Inventory'!A68="","",'Pantry Inventory'!A68)</f>
        <v>Julie's</v>
      </c>
      <c r="E272" s="178" t="str">
        <f>IF('Pantry Inventory'!B68="","",'Pantry Inventory'!B68)</f>
        <v>Julie's Peanut Butter Sandwich 360g (12pkts x 30g)</v>
      </c>
      <c r="F272" s="178" t="str">
        <f>IF(E272="","",IFERROR(IF(INDEX('Item Purchases'!$S$4:$S$30,MATCH(E272,'Item Purchases'!$B$4:$B$30,0))="","Uncategorised",INDEX('Item Purchases'!$S$4:$S$30,MATCH(E272,'Item Purchases'!$B$4:$B$30,0))),"Uncategorised"))</f>
        <v>Sweet</v>
      </c>
      <c r="G272" s="178">
        <f>IF(E272="",0,'Pantry Inventory'!D68)</f>
        <v>36</v>
      </c>
      <c r="H272" s="178">
        <f>IF(E272="","",IF('Pantry Inventory'!E68="","",'Pantry Inventory'!E68))</f>
        <v>36</v>
      </c>
      <c r="I272" s="178">
        <f>IF(H272="","",'Pantry Inventory'!F68)</f>
        <v>11</v>
      </c>
      <c r="J272" s="179">
        <f>IF(E272="",0,IFERROR(INDEX('Item Purchases'!$Q$4:$Q$30,MATCH(E272,'Item Purchases'!$B$4:$B$30,0)),0))</f>
        <v>1.083</v>
      </c>
      <c r="K272" s="180">
        <f t="shared" si="35"/>
        <v>11.913</v>
      </c>
      <c r="L272" s="178">
        <f t="shared" si="36"/>
        <v>1</v>
      </c>
      <c r="M272" s="178">
        <f>IF(E272="",0,IF(AND(OR(OR(Dashboard!$E$5="All",Dashboard!$E$5=""),AG272=Dashboard!$E$5),OR(OR(Dashboard!$H$5="All",Dashboard!$H$5=""),F272=Dashboard!$H$5),OR(OR(Dashboard!$B$5="All",Dashboard!$B$5=""),C272=Dashboard!$B$5),OR(OR(Dashboard!$K$5="All",Dashboard!$K$5=""),A272=Dashboard!$K$5),OR(OR(Dashboard!$N$5="All",Dashboard!$N$5=""),B272=Dashboard!$N$5),OR(OR(Dashboard!$Q$5="All",Dashboard!$Q$5=""),D272=Dashboard!$Q$5),OR(OR(Dashboard!$U$5="All",Dashboard!$U$5=""),E272=Dashboard!$U$5)),1,0))</f>
        <v>1</v>
      </c>
      <c r="N272" s="178">
        <f>IF(E272="",0,IF(AND(OR(OR(Dashboard!$E$5="All",Dashboard!$E$5=""),AG272=Dashboard!$E$5),OR(OR(Dashboard!$B$5="All",Dashboard!$B$5=""),C272=Dashboard!$B$5),OR(OR(Dashboard!$K$5="All",Dashboard!$K$5=""),A272=Dashboard!$K$5),OR(OR(Dashboard!$N$5="All",Dashboard!$N$5=""),B272=Dashboard!$N$5),OR(OR(Dashboard!$Q$5="All",Dashboard!$Q$5=""),D272=Dashboard!$Q$5),OR(OR(Dashboard!$U$5="All",Dashboard!$U$5=""),E272=Dashboard!$U$5)),1,0))</f>
        <v>1</v>
      </c>
      <c r="O272" s="165">
        <f t="shared" si="37"/>
        <v>121</v>
      </c>
      <c r="AG272" s="178" t="str">
        <f>IF(E272="","",IFERROR(IF(INDEX('Item Purchases'!$AM$4:$AM$30,MATCH(E272,'Item Purchases'!$B$4:$B$30,0))="","Uncategorised",INDEX('Item Purchases'!$AM$4:$AM$30,MATCH(E272,'Item Purchases'!$B$4:$B$30,0))),"Uncategorised"))</f>
        <v>Snacks</v>
      </c>
      <c r="AH272" s="165">
        <f>IF(AND(E272&lt;&gt;"",L272=1),COUNTIFS($E$2:E272,E272,$L$2:L272,1),0)</f>
        <v>11</v>
      </c>
      <c r="AI272" s="165">
        <f t="shared" si="38"/>
        <v>11</v>
      </c>
      <c r="AJ272" s="165">
        <f t="shared" si="39"/>
        <v>1</v>
      </c>
    </row>
    <row r="273" spans="1:36" x14ac:dyDescent="0.25">
      <c r="A273" s="177">
        <f t="shared" si="40"/>
        <v>46280</v>
      </c>
      <c r="B273" s="178" t="str">
        <f t="shared" si="34"/>
        <v>Tue</v>
      </c>
      <c r="C273" s="178" t="str">
        <f>'Pantry Inventory'!$A$65</f>
        <v>Sep Week 3</v>
      </c>
      <c r="D273" s="178" t="str">
        <f>IF('Pantry Inventory'!A69="","",'Pantry Inventory'!A69)</f>
        <v>Julie's</v>
      </c>
      <c r="E273" s="178" t="str">
        <f>IF('Pantry Inventory'!B69="","",'Pantry Inventory'!B69)</f>
        <v>Julies Butter Waffles</v>
      </c>
      <c r="F273" s="178" t="str">
        <f>IF(E273="","",IFERROR(IF(INDEX('Item Purchases'!$S$4:$S$30,MATCH(E273,'Item Purchases'!$B$4:$B$30,0))="","Uncategorised",INDEX('Item Purchases'!$S$4:$S$30,MATCH(E273,'Item Purchases'!$B$4:$B$30,0))),"Uncategorised"))</f>
        <v>Sweet</v>
      </c>
      <c r="G273" s="178">
        <f>IF(E273="",0,'Pantry Inventory'!D69)</f>
        <v>10</v>
      </c>
      <c r="H273" s="178">
        <f>IF(E273="","",IF('Pantry Inventory'!E69="","",'Pantry Inventory'!E69))</f>
        <v>12</v>
      </c>
      <c r="I273" s="178">
        <f>IF(H273="","",'Pantry Inventory'!F69)</f>
        <v>3</v>
      </c>
      <c r="J273" s="179">
        <f>IF(E273="",0,IFERROR(INDEX('Item Purchases'!$Q$4:$Q$30,MATCH(E273,'Item Purchases'!$B$4:$B$30,0)),0))</f>
        <v>5.15</v>
      </c>
      <c r="K273" s="180">
        <f t="shared" si="35"/>
        <v>15.450000000000001</v>
      </c>
      <c r="L273" s="178">
        <f t="shared" si="36"/>
        <v>1</v>
      </c>
      <c r="M273" s="178">
        <f>IF(E273="",0,IF(AND(OR(OR(Dashboard!$E$5="All",Dashboard!$E$5=""),AG273=Dashboard!$E$5),OR(OR(Dashboard!$H$5="All",Dashboard!$H$5=""),F273=Dashboard!$H$5),OR(OR(Dashboard!$B$5="All",Dashboard!$B$5=""),C273=Dashboard!$B$5),OR(OR(Dashboard!$K$5="All",Dashboard!$K$5=""),A273=Dashboard!$K$5),OR(OR(Dashboard!$N$5="All",Dashboard!$N$5=""),B273=Dashboard!$N$5),OR(OR(Dashboard!$Q$5="All",Dashboard!$Q$5=""),D273=Dashboard!$Q$5),OR(OR(Dashboard!$U$5="All",Dashboard!$U$5=""),E273=Dashboard!$U$5)),1,0))</f>
        <v>1</v>
      </c>
      <c r="N273" s="178">
        <f>IF(E273="",0,IF(AND(OR(OR(Dashboard!$E$5="All",Dashboard!$E$5=""),AG273=Dashboard!$E$5),OR(OR(Dashboard!$B$5="All",Dashboard!$B$5=""),C273=Dashboard!$B$5),OR(OR(Dashboard!$K$5="All",Dashboard!$K$5=""),A273=Dashboard!$K$5),OR(OR(Dashboard!$N$5="All",Dashboard!$N$5=""),B273=Dashboard!$N$5),OR(OR(Dashboard!$Q$5="All",Dashboard!$Q$5=""),D273=Dashboard!$Q$5),OR(OR(Dashboard!$U$5="All",Dashboard!$U$5=""),E273=Dashboard!$U$5)),1,0))</f>
        <v>1</v>
      </c>
      <c r="O273" s="165">
        <f t="shared" si="37"/>
        <v>9</v>
      </c>
      <c r="AG273" s="178" t="str">
        <f>IF(E273="","",IFERROR(IF(INDEX('Item Purchases'!$AM$4:$AM$30,MATCH(E273,'Item Purchases'!$B$4:$B$30,0))="","Uncategorised",INDEX('Item Purchases'!$AM$4:$AM$30,MATCH(E273,'Item Purchases'!$B$4:$B$30,0))),"Uncategorised"))</f>
        <v>Snacks</v>
      </c>
      <c r="AH273" s="165">
        <f>IF(AND(E273&lt;&gt;"",L273=1),COUNTIFS($E$2:E273,E273,$L$2:L273,1),0)</f>
        <v>11</v>
      </c>
      <c r="AI273" s="165">
        <f t="shared" si="38"/>
        <v>3</v>
      </c>
      <c r="AJ273" s="165">
        <f t="shared" si="39"/>
        <v>1</v>
      </c>
    </row>
    <row r="274" spans="1:36" x14ac:dyDescent="0.25">
      <c r="A274" s="177">
        <f t="shared" si="40"/>
        <v>46280</v>
      </c>
      <c r="B274" s="178" t="str">
        <f t="shared" si="34"/>
        <v>Tue</v>
      </c>
      <c r="C274" s="178" t="str">
        <f>'Pantry Inventory'!$A$65</f>
        <v>Sep Week 3</v>
      </c>
      <c r="D274" s="178" t="str">
        <f>IF('Pantry Inventory'!A70="","",'Pantry Inventory'!A70)</f>
        <v>Julie's</v>
      </c>
      <c r="E274" s="178" t="str">
        <f>IF('Pantry Inventory'!B70="","",'Pantry Inventory'!B70)</f>
        <v>Julies Choco More Sandwich (44G)</v>
      </c>
      <c r="F274" s="178" t="str">
        <f>IF(E274="","",IFERROR(IF(INDEX('Item Purchases'!$S$4:$S$30,MATCH(E274,'Item Purchases'!$B$4:$B$30,0))="","Uncategorised",INDEX('Item Purchases'!$S$4:$S$30,MATCH(E274,'Item Purchases'!$B$4:$B$30,0))),"Uncategorised"))</f>
        <v>Sweet</v>
      </c>
      <c r="G274" s="178">
        <f>IF(E274="",0,'Pantry Inventory'!D70)</f>
        <v>0</v>
      </c>
      <c r="H274" s="178">
        <f>IF(E274="","",IF('Pantry Inventory'!E70="","",'Pantry Inventory'!E70))</f>
        <v>0</v>
      </c>
      <c r="I274" s="178">
        <f>IF(H274="","",'Pantry Inventory'!F70)</f>
        <v>0</v>
      </c>
      <c r="J274" s="179">
        <f>IF(E274="",0,IFERROR(INDEX('Item Purchases'!$Q$4:$Q$30,MATCH(E274,'Item Purchases'!$B$4:$B$30,0)),0))</f>
        <v>1.2</v>
      </c>
      <c r="K274" s="180">
        <f t="shared" si="35"/>
        <v>0</v>
      </c>
      <c r="L274" s="178">
        <f t="shared" si="36"/>
        <v>1</v>
      </c>
      <c r="M274" s="178">
        <f>IF(E274="",0,IF(AND(OR(OR(Dashboard!$E$5="All",Dashboard!$E$5=""),AG274=Dashboard!$E$5),OR(OR(Dashboard!$H$5="All",Dashboard!$H$5=""),F274=Dashboard!$H$5),OR(OR(Dashboard!$B$5="All",Dashboard!$B$5=""),C274=Dashboard!$B$5),OR(OR(Dashboard!$K$5="All",Dashboard!$K$5=""),A274=Dashboard!$K$5),OR(OR(Dashboard!$N$5="All",Dashboard!$N$5=""),B274=Dashboard!$N$5),OR(OR(Dashboard!$Q$5="All",Dashboard!$Q$5=""),D274=Dashboard!$Q$5),OR(OR(Dashboard!$U$5="All",Dashboard!$U$5=""),E274=Dashboard!$U$5)),1,0))</f>
        <v>1</v>
      </c>
      <c r="N274" s="178">
        <f>IF(E274="",0,IF(AND(OR(OR(Dashboard!$E$5="All",Dashboard!$E$5=""),AG274=Dashboard!$E$5),OR(OR(Dashboard!$B$5="All",Dashboard!$B$5=""),C274=Dashboard!$B$5),OR(OR(Dashboard!$K$5="All",Dashboard!$K$5=""),A274=Dashboard!$K$5),OR(OR(Dashboard!$N$5="All",Dashboard!$N$5=""),B274=Dashboard!$N$5),OR(OR(Dashboard!$Q$5="All",Dashboard!$Q$5=""),D274=Dashboard!$Q$5),OR(OR(Dashboard!$U$5="All",Dashboard!$U$5=""),E274=Dashboard!$U$5)),1,0))</f>
        <v>1</v>
      </c>
      <c r="O274" s="165">
        <f t="shared" si="37"/>
        <v>0</v>
      </c>
      <c r="AG274" s="178" t="str">
        <f>IF(E274="","",IFERROR(IF(INDEX('Item Purchases'!$AM$4:$AM$30,MATCH(E274,'Item Purchases'!$B$4:$B$30,0))="","Uncategorised",INDEX('Item Purchases'!$AM$4:$AM$30,MATCH(E274,'Item Purchases'!$B$4:$B$30,0))),"Uncategorised"))</f>
        <v>Snacks</v>
      </c>
      <c r="AH274" s="165">
        <f>IF(AND(E274&lt;&gt;"",L274=1),COUNTIFS($E$2:E274,E274,$L$2:L274,1),0)</f>
        <v>11</v>
      </c>
      <c r="AI274" s="165">
        <f t="shared" si="38"/>
        <v>0</v>
      </c>
      <c r="AJ274" s="165">
        <f t="shared" si="39"/>
        <v>0</v>
      </c>
    </row>
    <row r="275" spans="1:36" x14ac:dyDescent="0.25">
      <c r="A275" s="177">
        <f t="shared" si="40"/>
        <v>46280</v>
      </c>
      <c r="B275" s="178" t="str">
        <f t="shared" si="34"/>
        <v>Tue</v>
      </c>
      <c r="C275" s="178" t="str">
        <f>'Pantry Inventory'!$A$65</f>
        <v>Sep Week 3</v>
      </c>
      <c r="D275" s="178" t="str">
        <f>IF('Pantry Inventory'!A71="","",'Pantry Inventory'!A71)</f>
        <v>Julie's</v>
      </c>
      <c r="E275" s="178" t="str">
        <f>IF('Pantry Inventory'!B71="","",'Pantry Inventory'!B71)</f>
        <v>Julies Cheese Sandwich (28G)</v>
      </c>
      <c r="F275" s="178" t="str">
        <f>IF(E275="","",IFERROR(IF(INDEX('Item Purchases'!$S$4:$S$30,MATCH(E275,'Item Purchases'!$B$4:$B$30,0))="","Uncategorised",INDEX('Item Purchases'!$S$4:$S$30,MATCH(E275,'Item Purchases'!$B$4:$B$30,0))),"Uncategorised"))</f>
        <v>Savoury</v>
      </c>
      <c r="G275" s="178">
        <f>IF(E275="",0,'Pantry Inventory'!D71)</f>
        <v>24</v>
      </c>
      <c r="H275" s="178">
        <f>IF(E275="","",IF('Pantry Inventory'!E71="","",'Pantry Inventory'!E71))</f>
        <v>41</v>
      </c>
      <c r="I275" s="178">
        <f>IF(H275="","",'Pantry Inventory'!F71)</f>
        <v>9</v>
      </c>
      <c r="J275" s="179">
        <f>IF(E275="",0,IFERROR(INDEX('Item Purchases'!$Q$4:$Q$30,MATCH(E275,'Item Purchases'!$B$4:$B$30,0)),0))</f>
        <v>1.1000000000000001</v>
      </c>
      <c r="K275" s="180">
        <f t="shared" si="35"/>
        <v>9.9</v>
      </c>
      <c r="L275" s="178">
        <f t="shared" si="36"/>
        <v>1</v>
      </c>
      <c r="M275" s="178">
        <f>IF(E275="",0,IF(AND(OR(OR(Dashboard!$E$5="All",Dashboard!$E$5=""),AG275=Dashboard!$E$5),OR(OR(Dashboard!$H$5="All",Dashboard!$H$5=""),F275=Dashboard!$H$5),OR(OR(Dashboard!$B$5="All",Dashboard!$B$5=""),C275=Dashboard!$B$5),OR(OR(Dashboard!$K$5="All",Dashboard!$K$5=""),A275=Dashboard!$K$5),OR(OR(Dashboard!$N$5="All",Dashboard!$N$5=""),B275=Dashboard!$N$5),OR(OR(Dashboard!$Q$5="All",Dashboard!$Q$5=""),D275=Dashboard!$Q$5),OR(OR(Dashboard!$U$5="All",Dashboard!$U$5=""),E275=Dashboard!$U$5)),1,0))</f>
        <v>1</v>
      </c>
      <c r="N275" s="178">
        <f>IF(E275="",0,IF(AND(OR(OR(Dashboard!$E$5="All",Dashboard!$E$5=""),AG275=Dashboard!$E$5),OR(OR(Dashboard!$B$5="All",Dashboard!$B$5=""),C275=Dashboard!$B$5),OR(OR(Dashboard!$K$5="All",Dashboard!$K$5=""),A275=Dashboard!$K$5),OR(OR(Dashboard!$N$5="All",Dashboard!$N$5=""),B275=Dashboard!$N$5),OR(OR(Dashboard!$Q$5="All",Dashboard!$Q$5=""),D275=Dashboard!$Q$5),OR(OR(Dashboard!$U$5="All",Dashboard!$U$5=""),E275=Dashboard!$U$5)),1,0))</f>
        <v>1</v>
      </c>
      <c r="O275" s="165">
        <f t="shared" si="37"/>
        <v>81</v>
      </c>
      <c r="AG275" s="178" t="str">
        <f>IF(E275="","",IFERROR(IF(INDEX('Item Purchases'!$AM$4:$AM$30,MATCH(E275,'Item Purchases'!$B$4:$B$30,0))="","Uncategorised",INDEX('Item Purchases'!$AM$4:$AM$30,MATCH(E275,'Item Purchases'!$B$4:$B$30,0))),"Uncategorised"))</f>
        <v>Snacks</v>
      </c>
      <c r="AH275" s="165">
        <f>IF(AND(E275&lt;&gt;"",L275=1),COUNTIFS($E$2:E275,E275,$L$2:L275,1),0)</f>
        <v>11</v>
      </c>
      <c r="AI275" s="165">
        <f t="shared" si="38"/>
        <v>9</v>
      </c>
      <c r="AJ275" s="165">
        <f t="shared" si="39"/>
        <v>1</v>
      </c>
    </row>
    <row r="276" spans="1:36" x14ac:dyDescent="0.25">
      <c r="A276" s="177">
        <f t="shared" si="40"/>
        <v>46280</v>
      </c>
      <c r="B276" s="178" t="str">
        <f t="shared" si="34"/>
        <v>Tue</v>
      </c>
      <c r="C276" s="178" t="str">
        <f>'Pantry Inventory'!$A$65</f>
        <v>Sep Week 3</v>
      </c>
      <c r="D276" s="178" t="str">
        <f>IF('Pantry Inventory'!A72="","",'Pantry Inventory'!A72)</f>
        <v>Nature Valley</v>
      </c>
      <c r="E276" s="178" t="str">
        <f>IF('Pantry Inventory'!B72="","",'Pantry Inventory'!B72)</f>
        <v>NV OATS &amp; DARK CHOC 42GX5</v>
      </c>
      <c r="F276" s="178" t="str">
        <f>IF(E276="","",IFERROR(IF(INDEX('Item Purchases'!$S$4:$S$30,MATCH(E276,'Item Purchases'!$B$4:$B$30,0))="","Uncategorised",INDEX('Item Purchases'!$S$4:$S$30,MATCH(E276,'Item Purchases'!$B$4:$B$30,0))),"Uncategorised"))</f>
        <v>Sweet</v>
      </c>
      <c r="G276" s="178">
        <f>IF(E276="",0,'Pantry Inventory'!D72)</f>
        <v>0</v>
      </c>
      <c r="H276" s="178">
        <f>IF(E276="","",IF('Pantry Inventory'!E72="","",'Pantry Inventory'!E72))</f>
        <v>0</v>
      </c>
      <c r="I276" s="178">
        <f>IF(H276="","",'Pantry Inventory'!F72)</f>
        <v>0</v>
      </c>
      <c r="J276" s="179">
        <f>IF(E276="",0,IFERROR(INDEX('Item Purchases'!$Q$4:$Q$30,MATCH(E276,'Item Purchases'!$B$4:$B$30,0)),0))</f>
        <v>2.78</v>
      </c>
      <c r="K276" s="180">
        <f t="shared" si="35"/>
        <v>0</v>
      </c>
      <c r="L276" s="178">
        <f t="shared" si="36"/>
        <v>1</v>
      </c>
      <c r="M276" s="178">
        <f>IF(E276="",0,IF(AND(OR(OR(Dashboard!$E$5="All",Dashboard!$E$5=""),AG276=Dashboard!$E$5),OR(OR(Dashboard!$H$5="All",Dashboard!$H$5=""),F276=Dashboard!$H$5),OR(OR(Dashboard!$B$5="All",Dashboard!$B$5=""),C276=Dashboard!$B$5),OR(OR(Dashboard!$K$5="All",Dashboard!$K$5=""),A276=Dashboard!$K$5),OR(OR(Dashboard!$N$5="All",Dashboard!$N$5=""),B276=Dashboard!$N$5),OR(OR(Dashboard!$Q$5="All",Dashboard!$Q$5=""),D276=Dashboard!$Q$5),OR(OR(Dashboard!$U$5="All",Dashboard!$U$5=""),E276=Dashboard!$U$5)),1,0))</f>
        <v>1</v>
      </c>
      <c r="N276" s="178">
        <f>IF(E276="",0,IF(AND(OR(OR(Dashboard!$E$5="All",Dashboard!$E$5=""),AG276=Dashboard!$E$5),OR(OR(Dashboard!$B$5="All",Dashboard!$B$5=""),C276=Dashboard!$B$5),OR(OR(Dashboard!$K$5="All",Dashboard!$K$5=""),A276=Dashboard!$K$5),OR(OR(Dashboard!$N$5="All",Dashboard!$N$5=""),B276=Dashboard!$N$5),OR(OR(Dashboard!$Q$5="All",Dashboard!$Q$5=""),D276=Dashboard!$Q$5),OR(OR(Dashboard!$U$5="All",Dashboard!$U$5=""),E276=Dashboard!$U$5)),1,0))</f>
        <v>1</v>
      </c>
      <c r="O276" s="165">
        <f t="shared" si="37"/>
        <v>0</v>
      </c>
      <c r="AG276" s="178" t="str">
        <f>IF(E276="","",IFERROR(IF(INDEX('Item Purchases'!$AM$4:$AM$30,MATCH(E276,'Item Purchases'!$B$4:$B$30,0))="","Uncategorised",INDEX('Item Purchases'!$AM$4:$AM$30,MATCH(E276,'Item Purchases'!$B$4:$B$30,0))),"Uncategorised"))</f>
        <v>Snacks</v>
      </c>
      <c r="AH276" s="165">
        <f>IF(AND(E276&lt;&gt;"",L276=1),COUNTIFS($E$2:E276,E276,$L$2:L276,1),0)</f>
        <v>11</v>
      </c>
      <c r="AI276" s="165">
        <f t="shared" si="38"/>
        <v>0</v>
      </c>
      <c r="AJ276" s="165">
        <f t="shared" si="39"/>
        <v>0</v>
      </c>
    </row>
    <row r="277" spans="1:36" x14ac:dyDescent="0.25">
      <c r="A277" s="177">
        <f t="shared" si="40"/>
        <v>46280</v>
      </c>
      <c r="B277" s="178" t="str">
        <f t="shared" si="34"/>
        <v>Tue</v>
      </c>
      <c r="C277" s="178" t="str">
        <f>'Pantry Inventory'!$A$65</f>
        <v>Sep Week 3</v>
      </c>
      <c r="D277" s="178" t="str">
        <f>IF('Pantry Inventory'!A73="","",'Pantry Inventory'!A73)</f>
        <v>Nature Valley</v>
      </c>
      <c r="E277" s="178" t="str">
        <f>IF('Pantry Inventory'!B73="","",'Pantry Inventory'!B73)</f>
        <v xml:space="preserve">NV PROTEIN - SALTED CARAMEL 40G </v>
      </c>
      <c r="F277" s="178" t="str">
        <f>IF(E277="","",IFERROR(IF(INDEX('Item Purchases'!$S$4:$S$30,MATCH(E277,'Item Purchases'!$B$4:$B$30,0))="","Uncategorised",INDEX('Item Purchases'!$S$4:$S$30,MATCH(E277,'Item Purchases'!$B$4:$B$30,0))),"Uncategorised"))</f>
        <v>Sweet</v>
      </c>
      <c r="G277" s="178">
        <f>IF(E277="",0,'Pantry Inventory'!D73)</f>
        <v>0</v>
      </c>
      <c r="H277" s="178">
        <f>IF(E277="","",IF('Pantry Inventory'!E73="","",'Pantry Inventory'!E73))</f>
        <v>0</v>
      </c>
      <c r="I277" s="178">
        <f>IF(H277="","",'Pantry Inventory'!F73)</f>
        <v>0</v>
      </c>
      <c r="J277" s="179">
        <f>IF(E277="",0,IFERROR(INDEX('Item Purchases'!$Q$4:$Q$30,MATCH(E277,'Item Purchases'!$B$4:$B$30,0)),0))</f>
        <v>4.9000000000000004</v>
      </c>
      <c r="K277" s="180">
        <f t="shared" si="35"/>
        <v>0</v>
      </c>
      <c r="L277" s="178">
        <f t="shared" si="36"/>
        <v>1</v>
      </c>
      <c r="M277" s="178">
        <f>IF(E277="",0,IF(AND(OR(OR(Dashboard!$E$5="All",Dashboard!$E$5=""),AG277=Dashboard!$E$5),OR(OR(Dashboard!$H$5="All",Dashboard!$H$5=""),F277=Dashboard!$H$5),OR(OR(Dashboard!$B$5="All",Dashboard!$B$5=""),C277=Dashboard!$B$5),OR(OR(Dashboard!$K$5="All",Dashboard!$K$5=""),A277=Dashboard!$K$5),OR(OR(Dashboard!$N$5="All",Dashboard!$N$5=""),B277=Dashboard!$N$5),OR(OR(Dashboard!$Q$5="All",Dashboard!$Q$5=""),D277=Dashboard!$Q$5),OR(OR(Dashboard!$U$5="All",Dashboard!$U$5=""),E277=Dashboard!$U$5)),1,0))</f>
        <v>1</v>
      </c>
      <c r="N277" s="178">
        <f>IF(E277="",0,IF(AND(OR(OR(Dashboard!$E$5="All",Dashboard!$E$5=""),AG277=Dashboard!$E$5),OR(OR(Dashboard!$B$5="All",Dashboard!$B$5=""),C277=Dashboard!$B$5),OR(OR(Dashboard!$K$5="All",Dashboard!$K$5=""),A277=Dashboard!$K$5),OR(OR(Dashboard!$N$5="All",Dashboard!$N$5=""),B277=Dashboard!$N$5),OR(OR(Dashboard!$Q$5="All",Dashboard!$Q$5=""),D277=Dashboard!$Q$5),OR(OR(Dashboard!$U$5="All",Dashboard!$U$5=""),E277=Dashboard!$U$5)),1,0))</f>
        <v>1</v>
      </c>
      <c r="O277" s="165">
        <f t="shared" si="37"/>
        <v>0</v>
      </c>
      <c r="AG277" s="178" t="str">
        <f>IF(E277="","",IFERROR(IF(INDEX('Item Purchases'!$AM$4:$AM$30,MATCH(E277,'Item Purchases'!$B$4:$B$30,0))="","Uncategorised",INDEX('Item Purchases'!$AM$4:$AM$30,MATCH(E277,'Item Purchases'!$B$4:$B$30,0))),"Uncategorised"))</f>
        <v>Snacks</v>
      </c>
      <c r="AH277" s="165">
        <f>IF(AND(E277&lt;&gt;"",L277=1),COUNTIFS($E$2:E277,E277,$L$2:L277,1),0)</f>
        <v>11</v>
      </c>
      <c r="AI277" s="165">
        <f t="shared" si="38"/>
        <v>0</v>
      </c>
      <c r="AJ277" s="165">
        <f t="shared" si="39"/>
        <v>0</v>
      </c>
    </row>
    <row r="278" spans="1:36" x14ac:dyDescent="0.25">
      <c r="A278" s="177">
        <f t="shared" si="40"/>
        <v>46280</v>
      </c>
      <c r="B278" s="178" t="str">
        <f t="shared" si="34"/>
        <v>Tue</v>
      </c>
      <c r="C278" s="178" t="str">
        <f>'Pantry Inventory'!$A$65</f>
        <v>Sep Week 3</v>
      </c>
      <c r="D278" s="178" t="str">
        <f>IF('Pantry Inventory'!A74="","",'Pantry Inventory'!A74)</f>
        <v>BBMG</v>
      </c>
      <c r="E278" s="178" t="str">
        <f>IF('Pantry Inventory'!B74="","",'Pantry Inventory'!B74)</f>
        <v>BBMG 90G</v>
      </c>
      <c r="F278" s="178" t="str">
        <f>IF(E278="","",IFERROR(IF(INDEX('Item Purchases'!$S$4:$S$30,MATCH(E278,'Item Purchases'!$B$4:$B$30,0))="","Uncategorised",INDEX('Item Purchases'!$S$4:$S$30,MATCH(E278,'Item Purchases'!$B$4:$B$30,0))),"Uncategorised"))</f>
        <v>Savoury</v>
      </c>
      <c r="G278" s="178">
        <f>IF(E278="",0,'Pantry Inventory'!D74)</f>
        <v>0</v>
      </c>
      <c r="H278" s="178">
        <f>IF(E278="","",IF('Pantry Inventory'!E74="","",'Pantry Inventory'!E74))</f>
        <v>0</v>
      </c>
      <c r="I278" s="178">
        <f>IF(H278="","",'Pantry Inventory'!F74)</f>
        <v>0</v>
      </c>
      <c r="J278" s="179">
        <f>IF(E278="",0,IFERROR(INDEX('Item Purchases'!$Q$4:$Q$30,MATCH(E278,'Item Purchases'!$B$4:$B$30,0)),0))</f>
        <v>0.34300000000000003</v>
      </c>
      <c r="K278" s="180">
        <f t="shared" si="35"/>
        <v>0</v>
      </c>
      <c r="L278" s="178">
        <f t="shared" si="36"/>
        <v>1</v>
      </c>
      <c r="M278" s="178">
        <f>IF(E278="",0,IF(AND(OR(OR(Dashboard!$E$5="All",Dashboard!$E$5=""),AG278=Dashboard!$E$5),OR(OR(Dashboard!$H$5="All",Dashboard!$H$5=""),F278=Dashboard!$H$5),OR(OR(Dashboard!$B$5="All",Dashboard!$B$5=""),C278=Dashboard!$B$5),OR(OR(Dashboard!$K$5="All",Dashboard!$K$5=""),A278=Dashboard!$K$5),OR(OR(Dashboard!$N$5="All",Dashboard!$N$5=""),B278=Dashboard!$N$5),OR(OR(Dashboard!$Q$5="All",Dashboard!$Q$5=""),D278=Dashboard!$Q$5),OR(OR(Dashboard!$U$5="All",Dashboard!$U$5=""),E278=Dashboard!$U$5)),1,0))</f>
        <v>1</v>
      </c>
      <c r="N278" s="178">
        <f>IF(E278="",0,IF(AND(OR(OR(Dashboard!$E$5="All",Dashboard!$E$5=""),AG278=Dashboard!$E$5),OR(OR(Dashboard!$B$5="All",Dashboard!$B$5=""),C278=Dashboard!$B$5),OR(OR(Dashboard!$K$5="All",Dashboard!$K$5=""),A278=Dashboard!$K$5),OR(OR(Dashboard!$N$5="All",Dashboard!$N$5=""),B278=Dashboard!$N$5),OR(OR(Dashboard!$Q$5="All",Dashboard!$Q$5=""),D278=Dashboard!$Q$5),OR(OR(Dashboard!$U$5="All",Dashboard!$U$5=""),E278=Dashboard!$U$5)),1,0))</f>
        <v>1</v>
      </c>
      <c r="O278" s="165">
        <f t="shared" si="37"/>
        <v>0</v>
      </c>
      <c r="AG278" s="178" t="str">
        <f>IF(E278="","",IFERROR(IF(INDEX('Item Purchases'!$AM$4:$AM$30,MATCH(E278,'Item Purchases'!$B$4:$B$30,0))="","Uncategorised",INDEX('Item Purchases'!$AM$4:$AM$30,MATCH(E278,'Item Purchases'!$B$4:$B$30,0))),"Uncategorised"))</f>
        <v>Snacks</v>
      </c>
      <c r="AH278" s="165">
        <f>IF(AND(E278&lt;&gt;"",L278=1),COUNTIFS($E$2:E278,E278,$L$2:L278,1),0)</f>
        <v>11</v>
      </c>
      <c r="AI278" s="165">
        <f t="shared" si="38"/>
        <v>0</v>
      </c>
      <c r="AJ278" s="165">
        <f t="shared" si="39"/>
        <v>0</v>
      </c>
    </row>
    <row r="279" spans="1:36" x14ac:dyDescent="0.25">
      <c r="A279" s="177">
        <f t="shared" si="40"/>
        <v>46280</v>
      </c>
      <c r="B279" s="178" t="str">
        <f t="shared" si="34"/>
        <v>Tue</v>
      </c>
      <c r="C279" s="178" t="str">
        <f>'Pantry Inventory'!$A$65</f>
        <v>Sep Week 3</v>
      </c>
      <c r="D279" s="178" t="str">
        <f>IF('Pantry Inventory'!A75="","",'Pantry Inventory'!A75)</f>
        <v>Lays</v>
      </c>
      <c r="E279" s="178" t="str">
        <f>IF('Pantry Inventory'!B75="","",'Pantry Inventory'!B75)</f>
        <v>Lays Potato Chips (Original) 50g</v>
      </c>
      <c r="F279" s="178" t="str">
        <f>IF(E279="","",IFERROR(IF(INDEX('Item Purchases'!$S$4:$S$30,MATCH(E279,'Item Purchases'!$B$4:$B$30,0))="","Uncategorised",INDEX('Item Purchases'!$S$4:$S$30,MATCH(E279,'Item Purchases'!$B$4:$B$30,0))),"Uncategorised"))</f>
        <v>Savoury</v>
      </c>
      <c r="G279" s="178">
        <f>IF(E279="",0,'Pantry Inventory'!D75)</f>
        <v>0</v>
      </c>
      <c r="H279" s="178">
        <f>IF(E279="","",IF('Pantry Inventory'!E75="","",'Pantry Inventory'!E75))</f>
        <v>39</v>
      </c>
      <c r="I279" s="178">
        <f>IF(H279="","",'Pantry Inventory'!F75)</f>
        <v>0</v>
      </c>
      <c r="J279" s="179">
        <f>IF(E279="",0,IFERROR(INDEX('Item Purchases'!$Q$4:$Q$30,MATCH(E279,'Item Purchases'!$B$4:$B$30,0)),0))</f>
        <v>3.4580000000000002</v>
      </c>
      <c r="K279" s="180">
        <f t="shared" si="35"/>
        <v>0</v>
      </c>
      <c r="L279" s="178">
        <f t="shared" si="36"/>
        <v>1</v>
      </c>
      <c r="M279" s="178">
        <f>IF(E279="",0,IF(AND(OR(OR(Dashboard!$E$5="All",Dashboard!$E$5=""),AG279=Dashboard!$E$5),OR(OR(Dashboard!$H$5="All",Dashboard!$H$5=""),F279=Dashboard!$H$5),OR(OR(Dashboard!$B$5="All",Dashboard!$B$5=""),C279=Dashboard!$B$5),OR(OR(Dashboard!$K$5="All",Dashboard!$K$5=""),A279=Dashboard!$K$5),OR(OR(Dashboard!$N$5="All",Dashboard!$N$5=""),B279=Dashboard!$N$5),OR(OR(Dashboard!$Q$5="All",Dashboard!$Q$5=""),D279=Dashboard!$Q$5),OR(OR(Dashboard!$U$5="All",Dashboard!$U$5=""),E279=Dashboard!$U$5)),1,0))</f>
        <v>1</v>
      </c>
      <c r="N279" s="178">
        <f>IF(E279="",0,IF(AND(OR(OR(Dashboard!$E$5="All",Dashboard!$E$5=""),AG279=Dashboard!$E$5),OR(OR(Dashboard!$B$5="All",Dashboard!$B$5=""),C279=Dashboard!$B$5),OR(OR(Dashboard!$K$5="All",Dashboard!$K$5=""),A279=Dashboard!$K$5),OR(OR(Dashboard!$N$5="All",Dashboard!$N$5=""),B279=Dashboard!$N$5),OR(OR(Dashboard!$Q$5="All",Dashboard!$Q$5=""),D279=Dashboard!$Q$5),OR(OR(Dashboard!$U$5="All",Dashboard!$U$5=""),E279=Dashboard!$U$5)),1,0))</f>
        <v>1</v>
      </c>
      <c r="O279" s="165">
        <f t="shared" si="37"/>
        <v>0</v>
      </c>
      <c r="AG279" s="178" t="str">
        <f>IF(E279="","",IFERROR(IF(INDEX('Item Purchases'!$AM$4:$AM$30,MATCH(E279,'Item Purchases'!$B$4:$B$30,0))="","Uncategorised",INDEX('Item Purchases'!$AM$4:$AM$30,MATCH(E279,'Item Purchases'!$B$4:$B$30,0))),"Uncategorised"))</f>
        <v>Snacks</v>
      </c>
      <c r="AH279" s="165">
        <f>IF(AND(E279&lt;&gt;"",L279=1),COUNTIFS($E$2:E279,E279,$L$2:L279,1),0)</f>
        <v>11</v>
      </c>
      <c r="AI279" s="165">
        <f t="shared" si="38"/>
        <v>0</v>
      </c>
      <c r="AJ279" s="165">
        <f t="shared" si="39"/>
        <v>1</v>
      </c>
    </row>
    <row r="280" spans="1:36" x14ac:dyDescent="0.25">
      <c r="A280" s="177">
        <f t="shared" si="40"/>
        <v>46280</v>
      </c>
      <c r="B280" s="178" t="str">
        <f t="shared" si="34"/>
        <v>Tue</v>
      </c>
      <c r="C280" s="178" t="str">
        <f>'Pantry Inventory'!$A$65</f>
        <v>Sep Week 3</v>
      </c>
      <c r="D280" s="178" t="str">
        <f>IF('Pantry Inventory'!A76="","",'Pantry Inventory'!A76)</f>
        <v>Lays</v>
      </c>
      <c r="E280" s="178" t="str">
        <f>IF('Pantry Inventory'!B76="","",'Pantry Inventory'!B76)</f>
        <v xml:space="preserve">Lays Double Crunch - Seaweed Flav (50g) </v>
      </c>
      <c r="F280" s="178" t="str">
        <f>IF(E280="","",IFERROR(IF(INDEX('Item Purchases'!$S$4:$S$30,MATCH(E280,'Item Purchases'!$B$4:$B$30,0))="","Uncategorised",INDEX('Item Purchases'!$S$4:$S$30,MATCH(E280,'Item Purchases'!$B$4:$B$30,0))),"Uncategorised"))</f>
        <v>Savoury</v>
      </c>
      <c r="G280" s="178">
        <f>IF(E280="",0,'Pantry Inventory'!D76)</f>
        <v>13</v>
      </c>
      <c r="H280" s="178">
        <f>IF(E280="","",IF('Pantry Inventory'!E76="","",'Pantry Inventory'!E76))</f>
        <v>22</v>
      </c>
      <c r="I280" s="178">
        <f>IF(H280="","",'Pantry Inventory'!F76)</f>
        <v>8</v>
      </c>
      <c r="J280" s="179">
        <f>IF(E280="",0,IFERROR(INDEX('Item Purchases'!$Q$4:$Q$30,MATCH(E280,'Item Purchases'!$B$4:$B$30,0)),0))</f>
        <v>4</v>
      </c>
      <c r="K280" s="180">
        <f t="shared" si="35"/>
        <v>32</v>
      </c>
      <c r="L280" s="178">
        <f t="shared" si="36"/>
        <v>1</v>
      </c>
      <c r="M280" s="178">
        <f>IF(E280="",0,IF(AND(OR(OR(Dashboard!$E$5="All",Dashboard!$E$5=""),AG280=Dashboard!$E$5),OR(OR(Dashboard!$H$5="All",Dashboard!$H$5=""),F280=Dashboard!$H$5),OR(OR(Dashboard!$B$5="All",Dashboard!$B$5=""),C280=Dashboard!$B$5),OR(OR(Dashboard!$K$5="All",Dashboard!$K$5=""),A280=Dashboard!$K$5),OR(OR(Dashboard!$N$5="All",Dashboard!$N$5=""),B280=Dashboard!$N$5),OR(OR(Dashboard!$Q$5="All",Dashboard!$Q$5=""),D280=Dashboard!$Q$5),OR(OR(Dashboard!$U$5="All",Dashboard!$U$5=""),E280=Dashboard!$U$5)),1,0))</f>
        <v>1</v>
      </c>
      <c r="N280" s="178">
        <f>IF(E280="",0,IF(AND(OR(OR(Dashboard!$E$5="All",Dashboard!$E$5=""),AG280=Dashboard!$E$5),OR(OR(Dashboard!$B$5="All",Dashboard!$B$5=""),C280=Dashboard!$B$5),OR(OR(Dashboard!$K$5="All",Dashboard!$K$5=""),A280=Dashboard!$K$5),OR(OR(Dashboard!$N$5="All",Dashboard!$N$5=""),B280=Dashboard!$N$5),OR(OR(Dashboard!$Q$5="All",Dashboard!$Q$5=""),D280=Dashboard!$Q$5),OR(OR(Dashboard!$U$5="All",Dashboard!$U$5=""),E280=Dashboard!$U$5)),1,0))</f>
        <v>1</v>
      </c>
      <c r="O280" s="165">
        <f t="shared" si="37"/>
        <v>64</v>
      </c>
      <c r="AG280" s="178" t="str">
        <f>IF(E280="","",IFERROR(IF(INDEX('Item Purchases'!$AM$4:$AM$30,MATCH(E280,'Item Purchases'!$B$4:$B$30,0))="","Uncategorised",INDEX('Item Purchases'!$AM$4:$AM$30,MATCH(E280,'Item Purchases'!$B$4:$B$30,0))),"Uncategorised"))</f>
        <v>Snacks</v>
      </c>
      <c r="AH280" s="165">
        <f>IF(AND(E280&lt;&gt;"",L280=1),COUNTIFS($E$2:E280,E280,$L$2:L280,1),0)</f>
        <v>11</v>
      </c>
      <c r="AI280" s="165">
        <f t="shared" si="38"/>
        <v>8</v>
      </c>
      <c r="AJ280" s="165">
        <f t="shared" si="39"/>
        <v>1</v>
      </c>
    </row>
    <row r="281" spans="1:36" x14ac:dyDescent="0.25">
      <c r="A281" s="177">
        <f t="shared" si="40"/>
        <v>46280</v>
      </c>
      <c r="B281" s="178" t="str">
        <f t="shared" si="34"/>
        <v>Tue</v>
      </c>
      <c r="C281" s="178" t="str">
        <f>'Pantry Inventory'!$A$65</f>
        <v>Sep Week 3</v>
      </c>
      <c r="D281" s="178" t="str">
        <f>IF('Pantry Inventory'!A77="","",'Pantry Inventory'!A77)</f>
        <v>Munchy</v>
      </c>
      <c r="E281" s="178" t="str">
        <f>IF('Pantry Inventory'!B77="","",'Pantry Inventory'!B77)</f>
        <v>Munchy Oat Krunch - Dark Choco</v>
      </c>
      <c r="F281" s="178" t="str">
        <f>IF(E281="","",IFERROR(IF(INDEX('Item Purchases'!$S$4:$S$30,MATCH(E281,'Item Purchases'!$B$4:$B$30,0))="","Uncategorised",INDEX('Item Purchases'!$S$4:$S$30,MATCH(E281,'Item Purchases'!$B$4:$B$30,0))),"Uncategorised"))</f>
        <v>Sweet</v>
      </c>
      <c r="G281" s="178">
        <f>IF(E281="",0,'Pantry Inventory'!D77)</f>
        <v>0</v>
      </c>
      <c r="H281" s="178">
        <f>IF(E281="","",IF('Pantry Inventory'!E77="","",'Pantry Inventory'!E77))</f>
        <v>0</v>
      </c>
      <c r="I281" s="178">
        <f>IF(H281="","",'Pantry Inventory'!F77)</f>
        <v>0</v>
      </c>
      <c r="J281" s="179">
        <f>IF(E281="",0,IFERROR(INDEX('Item Purchases'!$Q$4:$Q$30,MATCH(E281,'Item Purchases'!$B$4:$B$30,0)),0))</f>
        <v>0.73</v>
      </c>
      <c r="K281" s="180">
        <f t="shared" si="35"/>
        <v>0</v>
      </c>
      <c r="L281" s="178">
        <f t="shared" si="36"/>
        <v>1</v>
      </c>
      <c r="M281" s="178">
        <f>IF(E281="",0,IF(AND(OR(OR(Dashboard!$E$5="All",Dashboard!$E$5=""),AG281=Dashboard!$E$5),OR(OR(Dashboard!$H$5="All",Dashboard!$H$5=""),F281=Dashboard!$H$5),OR(OR(Dashboard!$B$5="All",Dashboard!$B$5=""),C281=Dashboard!$B$5),OR(OR(Dashboard!$K$5="All",Dashboard!$K$5=""),A281=Dashboard!$K$5),OR(OR(Dashboard!$N$5="All",Dashboard!$N$5=""),B281=Dashboard!$N$5),OR(OR(Dashboard!$Q$5="All",Dashboard!$Q$5=""),D281=Dashboard!$Q$5),OR(OR(Dashboard!$U$5="All",Dashboard!$U$5=""),E281=Dashboard!$U$5)),1,0))</f>
        <v>1</v>
      </c>
      <c r="N281" s="178">
        <f>IF(E281="",0,IF(AND(OR(OR(Dashboard!$E$5="All",Dashboard!$E$5=""),AG281=Dashboard!$E$5),OR(OR(Dashboard!$B$5="All",Dashboard!$B$5=""),C281=Dashboard!$B$5),OR(OR(Dashboard!$K$5="All",Dashboard!$K$5=""),A281=Dashboard!$K$5),OR(OR(Dashboard!$N$5="All",Dashboard!$N$5=""),B281=Dashboard!$N$5),OR(OR(Dashboard!$Q$5="All",Dashboard!$Q$5=""),D281=Dashboard!$Q$5),OR(OR(Dashboard!$U$5="All",Dashboard!$U$5=""),E281=Dashboard!$U$5)),1,0))</f>
        <v>1</v>
      </c>
      <c r="O281" s="165">
        <f t="shared" si="37"/>
        <v>0</v>
      </c>
      <c r="AG281" s="178" t="str">
        <f>IF(E281="","",IFERROR(IF(INDEX('Item Purchases'!$AM$4:$AM$30,MATCH(E281,'Item Purchases'!$B$4:$B$30,0))="","Uncategorised",INDEX('Item Purchases'!$AM$4:$AM$30,MATCH(E281,'Item Purchases'!$B$4:$B$30,0))),"Uncategorised"))</f>
        <v>Snacks</v>
      </c>
      <c r="AH281" s="165">
        <f>IF(AND(E281&lt;&gt;"",L281=1),COUNTIFS($E$2:E281,E281,$L$2:L281,1),0)</f>
        <v>11</v>
      </c>
      <c r="AI281" s="165">
        <f t="shared" si="38"/>
        <v>0</v>
      </c>
      <c r="AJ281" s="165">
        <f t="shared" si="39"/>
        <v>0</v>
      </c>
    </row>
    <row r="282" spans="1:36" x14ac:dyDescent="0.25">
      <c r="A282" s="177">
        <f t="shared" si="40"/>
        <v>46280</v>
      </c>
      <c r="B282" s="178" t="str">
        <f t="shared" si="34"/>
        <v>Tue</v>
      </c>
      <c r="C282" s="178" t="str">
        <f>'Pantry Inventory'!$A$65</f>
        <v>Sep Week 3</v>
      </c>
      <c r="D282" s="178" t="str">
        <f>IF('Pantry Inventory'!A78="","",'Pantry Inventory'!A78)</f>
        <v>Munchy</v>
      </c>
      <c r="E282" s="178" t="str">
        <f>IF('Pantry Inventory'!B78="","",'Pantry Inventory'!B78)</f>
        <v>Munchy Oat Krunch - Strawberry &amp; Blackcurrant</v>
      </c>
      <c r="F282" s="178" t="str">
        <f>IF(E282="","",IFERROR(IF(INDEX('Item Purchases'!$S$4:$S$30,MATCH(E282,'Item Purchases'!$B$4:$B$30,0))="","Uncategorised",INDEX('Item Purchases'!$S$4:$S$30,MATCH(E282,'Item Purchases'!$B$4:$B$30,0))),"Uncategorised"))</f>
        <v>Sweet</v>
      </c>
      <c r="G282" s="178">
        <f>IF(E282="",0,'Pantry Inventory'!D78)</f>
        <v>30</v>
      </c>
      <c r="H282" s="178">
        <f>IF(E282="","",IF('Pantry Inventory'!E78="","",'Pantry Inventory'!E78))</f>
        <v>44</v>
      </c>
      <c r="I282" s="178">
        <f>IF(H282="","",'Pantry Inventory'!F78)</f>
        <v>11</v>
      </c>
      <c r="J282" s="179">
        <f>IF(E282="",0,IFERROR(INDEX('Item Purchases'!$Q$4:$Q$30,MATCH(E282,'Item Purchases'!$B$4:$B$30,0)),0))</f>
        <v>0.73</v>
      </c>
      <c r="K282" s="180">
        <f t="shared" si="35"/>
        <v>8.0299999999999994</v>
      </c>
      <c r="L282" s="178">
        <f t="shared" si="36"/>
        <v>1</v>
      </c>
      <c r="M282" s="178">
        <f>IF(E282="",0,IF(AND(OR(OR(Dashboard!$E$5="All",Dashboard!$E$5=""),AG282=Dashboard!$E$5),OR(OR(Dashboard!$H$5="All",Dashboard!$H$5=""),F282=Dashboard!$H$5),OR(OR(Dashboard!$B$5="All",Dashboard!$B$5=""),C282=Dashboard!$B$5),OR(OR(Dashboard!$K$5="All",Dashboard!$K$5=""),A282=Dashboard!$K$5),OR(OR(Dashboard!$N$5="All",Dashboard!$N$5=""),B282=Dashboard!$N$5),OR(OR(Dashboard!$Q$5="All",Dashboard!$Q$5=""),D282=Dashboard!$Q$5),OR(OR(Dashboard!$U$5="All",Dashboard!$U$5=""),E282=Dashboard!$U$5)),1,0))</f>
        <v>1</v>
      </c>
      <c r="N282" s="178">
        <f>IF(E282="",0,IF(AND(OR(OR(Dashboard!$E$5="All",Dashboard!$E$5=""),AG282=Dashboard!$E$5),OR(OR(Dashboard!$B$5="All",Dashboard!$B$5=""),C282=Dashboard!$B$5),OR(OR(Dashboard!$K$5="All",Dashboard!$K$5=""),A282=Dashboard!$K$5),OR(OR(Dashboard!$N$5="All",Dashboard!$N$5=""),B282=Dashboard!$N$5),OR(OR(Dashboard!$Q$5="All",Dashboard!$Q$5=""),D282=Dashboard!$Q$5),OR(OR(Dashboard!$U$5="All",Dashboard!$U$5=""),E282=Dashboard!$U$5)),1,0))</f>
        <v>1</v>
      </c>
      <c r="O282" s="165">
        <f t="shared" si="37"/>
        <v>121</v>
      </c>
      <c r="AG282" s="178" t="str">
        <f>IF(E282="","",IFERROR(IF(INDEX('Item Purchases'!$AM$4:$AM$30,MATCH(E282,'Item Purchases'!$B$4:$B$30,0))="","Uncategorised",INDEX('Item Purchases'!$AM$4:$AM$30,MATCH(E282,'Item Purchases'!$B$4:$B$30,0))),"Uncategorised"))</f>
        <v>Snacks</v>
      </c>
      <c r="AH282" s="165">
        <f>IF(AND(E282&lt;&gt;"",L282=1),COUNTIFS($E$2:E282,E282,$L$2:L282,1),0)</f>
        <v>11</v>
      </c>
      <c r="AI282" s="165">
        <f t="shared" si="38"/>
        <v>11</v>
      </c>
      <c r="AJ282" s="165">
        <f t="shared" si="39"/>
        <v>1</v>
      </c>
    </row>
    <row r="283" spans="1:36" x14ac:dyDescent="0.25">
      <c r="A283" s="177">
        <f t="shared" si="40"/>
        <v>46280</v>
      </c>
      <c r="B283" s="178" t="str">
        <f t="shared" si="34"/>
        <v>Tue</v>
      </c>
      <c r="C283" s="178" t="str">
        <f>'Pantry Inventory'!$A$65</f>
        <v>Sep Week 3</v>
      </c>
      <c r="D283" s="178" t="str">
        <f>IF('Pantry Inventory'!A79="","",'Pantry Inventory'!A79)</f>
        <v/>
      </c>
      <c r="E283" s="178" t="str">
        <f>IF('Pantry Inventory'!B79="","",'Pantry Inventory'!B79)</f>
        <v/>
      </c>
      <c r="F283" s="178" t="str">
        <f>IF(E283="","",IFERROR(IF(INDEX('Item Purchases'!$S$4:$S$30,MATCH(E283,'Item Purchases'!$B$4:$B$30,0))="","Uncategorised",INDEX('Item Purchases'!$S$4:$S$30,MATCH(E283,'Item Purchases'!$B$4:$B$30,0))),"Uncategorised"))</f>
        <v/>
      </c>
      <c r="G283" s="178">
        <f>IF(E283="",0,'Pantry Inventory'!D79)</f>
        <v>0</v>
      </c>
      <c r="H283" s="178" t="str">
        <f>IF(E283="","",IF('Pantry Inventory'!E79="","",'Pantry Inventory'!E79))</f>
        <v/>
      </c>
      <c r="I283" s="178" t="str">
        <f>IF(H283="","",'Pantry Inventory'!F79)</f>
        <v/>
      </c>
      <c r="J283" s="179">
        <f>IF(E283="",0,IFERROR(INDEX('Item Purchases'!$Q$4:$Q$30,MATCH(E283,'Item Purchases'!$B$4:$B$30,0)),0))</f>
        <v>0</v>
      </c>
      <c r="K283" s="180" t="str">
        <f t="shared" si="35"/>
        <v/>
      </c>
      <c r="L283" s="178">
        <f t="shared" si="36"/>
        <v>0</v>
      </c>
      <c r="M283" s="178">
        <f>IF(E283="",0,IF(AND(OR(OR(Dashboard!$E$5="All",Dashboard!$E$5=""),AG283=Dashboard!$E$5),OR(OR(Dashboard!$H$5="All",Dashboard!$H$5=""),F283=Dashboard!$H$5),OR(OR(Dashboard!$B$5="All",Dashboard!$B$5=""),C283=Dashboard!$B$5),OR(OR(Dashboard!$K$5="All",Dashboard!$K$5=""),A283=Dashboard!$K$5),OR(OR(Dashboard!$N$5="All",Dashboard!$N$5=""),B283=Dashboard!$N$5),OR(OR(Dashboard!$Q$5="All",Dashboard!$Q$5=""),D283=Dashboard!$Q$5),OR(OR(Dashboard!$U$5="All",Dashboard!$U$5=""),E283=Dashboard!$U$5)),1,0))</f>
        <v>0</v>
      </c>
      <c r="N283" s="178">
        <f>IF(E283="",0,IF(AND(OR(OR(Dashboard!$E$5="All",Dashboard!$E$5=""),AG283=Dashboard!$E$5),OR(OR(Dashboard!$B$5="All",Dashboard!$B$5=""),C283=Dashboard!$B$5),OR(OR(Dashboard!$K$5="All",Dashboard!$K$5=""),A283=Dashboard!$K$5),OR(OR(Dashboard!$N$5="All",Dashboard!$N$5=""),B283=Dashboard!$N$5),OR(OR(Dashboard!$Q$5="All",Dashboard!$Q$5=""),D283=Dashboard!$Q$5),OR(OR(Dashboard!$U$5="All",Dashboard!$U$5=""),E283=Dashboard!$U$5)),1,0))</f>
        <v>0</v>
      </c>
      <c r="O283" s="165">
        <f t="shared" si="37"/>
        <v>0</v>
      </c>
      <c r="AG283" s="178" t="str">
        <f>IF(E283="","",IFERROR(IF(INDEX('Item Purchases'!$AM$4:$AM$30,MATCH(E283,'Item Purchases'!$B$4:$B$30,0))="","Uncategorised",INDEX('Item Purchases'!$AM$4:$AM$30,MATCH(E283,'Item Purchases'!$B$4:$B$30,0))),"Uncategorised"))</f>
        <v/>
      </c>
      <c r="AH283" s="165">
        <f>IF(AND(E283&lt;&gt;"",L283=1),COUNTIFS($E$2:E283,E283,$L$2:L283,1),0)</f>
        <v>0</v>
      </c>
      <c r="AI283" s="165">
        <f t="shared" si="38"/>
        <v>0</v>
      </c>
      <c r="AJ283" s="165">
        <f t="shared" si="39"/>
        <v>0</v>
      </c>
    </row>
    <row r="284" spans="1:36" x14ac:dyDescent="0.25">
      <c r="A284" s="177">
        <f t="shared" si="40"/>
        <v>46280</v>
      </c>
      <c r="B284" s="178" t="str">
        <f t="shared" si="34"/>
        <v>Tue</v>
      </c>
      <c r="C284" s="178" t="str">
        <f>'Pantry Inventory'!$A$65</f>
        <v>Sep Week 3</v>
      </c>
      <c r="D284" s="178" t="str">
        <f>IF('Pantry Inventory'!A80="","",'Pantry Inventory'!A80)</f>
        <v>Nestle</v>
      </c>
      <c r="E284" s="178" t="str">
        <f>IF('Pantry Inventory'!B80="","",'Pantry Inventory'!B80)</f>
        <v>Milo 200ml</v>
      </c>
      <c r="F284" s="178" t="str">
        <f>IF(E284="","",IFERROR(IF(INDEX('Item Purchases'!$S$4:$S$30,MATCH(E284,'Item Purchases'!$B$4:$B$30,0))="","Uncategorised",INDEX('Item Purchases'!$S$4:$S$30,MATCH(E284,'Item Purchases'!$B$4:$B$30,0))),"Uncategorised"))</f>
        <v>Other</v>
      </c>
      <c r="G284" s="178">
        <f>IF(E284="",0,'Pantry Inventory'!D80)</f>
        <v>24</v>
      </c>
      <c r="H284" s="178">
        <f>IF(E284="","",IF('Pantry Inventory'!E80="","",'Pantry Inventory'!E80))</f>
        <v>48</v>
      </c>
      <c r="I284" s="178">
        <f>IF(H284="","",'Pantry Inventory'!F80)</f>
        <v>9</v>
      </c>
      <c r="J284" s="179">
        <f>IF(E284="",0,IFERROR(INDEX('Item Purchases'!$Q$4:$Q$30,MATCH(E284,'Item Purchases'!$B$4:$B$30,0)),0))</f>
        <v>2.37</v>
      </c>
      <c r="K284" s="180">
        <f t="shared" si="35"/>
        <v>21.330000000000002</v>
      </c>
      <c r="L284" s="178">
        <f t="shared" si="36"/>
        <v>1</v>
      </c>
      <c r="M284" s="178">
        <f>IF(E284="",0,IF(AND(OR(OR(Dashboard!$E$5="All",Dashboard!$E$5=""),AG284=Dashboard!$E$5),OR(OR(Dashboard!$H$5="All",Dashboard!$H$5=""),F284=Dashboard!$H$5),OR(OR(Dashboard!$B$5="All",Dashboard!$B$5=""),C284=Dashboard!$B$5),OR(OR(Dashboard!$K$5="All",Dashboard!$K$5=""),A284=Dashboard!$K$5),OR(OR(Dashboard!$N$5="All",Dashboard!$N$5=""),B284=Dashboard!$N$5),OR(OR(Dashboard!$Q$5="All",Dashboard!$Q$5=""),D284=Dashboard!$Q$5),OR(OR(Dashboard!$U$5="All",Dashboard!$U$5=""),E284=Dashboard!$U$5)),1,0))</f>
        <v>1</v>
      </c>
      <c r="N284" s="178">
        <f>IF(E284="",0,IF(AND(OR(OR(Dashboard!$E$5="All",Dashboard!$E$5=""),AG284=Dashboard!$E$5),OR(OR(Dashboard!$B$5="All",Dashboard!$B$5=""),C284=Dashboard!$B$5),OR(OR(Dashboard!$K$5="All",Dashboard!$K$5=""),A284=Dashboard!$K$5),OR(OR(Dashboard!$N$5="All",Dashboard!$N$5=""),B284=Dashboard!$N$5),OR(OR(Dashboard!$Q$5="All",Dashboard!$Q$5=""),D284=Dashboard!$Q$5),OR(OR(Dashboard!$U$5="All",Dashboard!$U$5=""),E284=Dashboard!$U$5)),1,0))</f>
        <v>1</v>
      </c>
      <c r="O284" s="165">
        <f t="shared" si="37"/>
        <v>81</v>
      </c>
      <c r="AG284" s="178" t="str">
        <f>IF(E284="","",IFERROR(IF(INDEX('Item Purchases'!$AM$4:$AM$30,MATCH(E284,'Item Purchases'!$B$4:$B$30,0))="","Uncategorised",INDEX('Item Purchases'!$AM$4:$AM$30,MATCH(E284,'Item Purchases'!$B$4:$B$30,0))),"Uncategorised"))</f>
        <v>Beverages</v>
      </c>
      <c r="AH284" s="165">
        <f>IF(AND(E284&lt;&gt;"",L284=1),COUNTIFS($E$2:E284,E284,$L$2:L284,1),0)</f>
        <v>11</v>
      </c>
      <c r="AI284" s="165">
        <f t="shared" si="38"/>
        <v>9</v>
      </c>
      <c r="AJ284" s="165">
        <f t="shared" si="39"/>
        <v>1</v>
      </c>
    </row>
    <row r="285" spans="1:36" x14ac:dyDescent="0.25">
      <c r="A285" s="177">
        <f t="shared" si="40"/>
        <v>46280</v>
      </c>
      <c r="B285" s="178" t="str">
        <f t="shared" si="34"/>
        <v>Tue</v>
      </c>
      <c r="C285" s="178" t="str">
        <f>'Pantry Inventory'!$A$65</f>
        <v>Sep Week 3</v>
      </c>
      <c r="D285" s="178" t="str">
        <f>IF('Pantry Inventory'!A81="","",'Pantry Inventory'!A81)</f>
        <v>Nestle</v>
      </c>
      <c r="E285" s="178" t="str">
        <f>IF('Pantry Inventory'!B81="","",'Pantry Inventory'!B81)</f>
        <v>Nescafe Latte 240ml</v>
      </c>
      <c r="F285" s="178" t="str">
        <f>IF(E285="","",IFERROR(IF(INDEX('Item Purchases'!$S$4:$S$30,MATCH(E285,'Item Purchases'!$B$4:$B$30,0))="","Uncategorised",INDEX('Item Purchases'!$S$4:$S$30,MATCH(E285,'Item Purchases'!$B$4:$B$30,0))),"Uncategorised"))</f>
        <v>Coffee</v>
      </c>
      <c r="G285" s="178">
        <f>IF(E285="",0,'Pantry Inventory'!D81)</f>
        <v>0</v>
      </c>
      <c r="H285" s="178">
        <f>IF(E285="","",IF('Pantry Inventory'!E81="","",'Pantry Inventory'!E81))</f>
        <v>31</v>
      </c>
      <c r="I285" s="178">
        <f>IF(H285="","",'Pantry Inventory'!F81)</f>
        <v>1</v>
      </c>
      <c r="J285" s="179">
        <f>IF(E285="",0,IFERROR(INDEX('Item Purchases'!$Q$4:$Q$30,MATCH(E285,'Item Purchases'!$B$4:$B$30,0)),0))</f>
        <v>2.1875</v>
      </c>
      <c r="K285" s="180">
        <f t="shared" si="35"/>
        <v>2.1875</v>
      </c>
      <c r="L285" s="178">
        <f t="shared" si="36"/>
        <v>1</v>
      </c>
      <c r="M285" s="178">
        <f>IF(E285="",0,IF(AND(OR(OR(Dashboard!$E$5="All",Dashboard!$E$5=""),AG285=Dashboard!$E$5),OR(OR(Dashboard!$H$5="All",Dashboard!$H$5=""),F285=Dashboard!$H$5),OR(OR(Dashboard!$B$5="All",Dashboard!$B$5=""),C285=Dashboard!$B$5),OR(OR(Dashboard!$K$5="All",Dashboard!$K$5=""),A285=Dashboard!$K$5),OR(OR(Dashboard!$N$5="All",Dashboard!$N$5=""),B285=Dashboard!$N$5),OR(OR(Dashboard!$Q$5="All",Dashboard!$Q$5=""),D285=Dashboard!$Q$5),OR(OR(Dashboard!$U$5="All",Dashboard!$U$5=""),E285=Dashboard!$U$5)),1,0))</f>
        <v>1</v>
      </c>
      <c r="N285" s="178">
        <f>IF(E285="",0,IF(AND(OR(OR(Dashboard!$E$5="All",Dashboard!$E$5=""),AG285=Dashboard!$E$5),OR(OR(Dashboard!$B$5="All",Dashboard!$B$5=""),C285=Dashboard!$B$5),OR(OR(Dashboard!$K$5="All",Dashboard!$K$5=""),A285=Dashboard!$K$5),OR(OR(Dashboard!$N$5="All",Dashboard!$N$5=""),B285=Dashboard!$N$5),OR(OR(Dashboard!$Q$5="All",Dashboard!$Q$5=""),D285=Dashboard!$Q$5),OR(OR(Dashboard!$U$5="All",Dashboard!$U$5=""),E285=Dashboard!$U$5)),1,0))</f>
        <v>1</v>
      </c>
      <c r="O285" s="165">
        <f t="shared" si="37"/>
        <v>1</v>
      </c>
      <c r="AG285" s="178" t="str">
        <f>IF(E285="","",IFERROR(IF(INDEX('Item Purchases'!$AM$4:$AM$30,MATCH(E285,'Item Purchases'!$B$4:$B$30,0))="","Uncategorised",INDEX('Item Purchases'!$AM$4:$AM$30,MATCH(E285,'Item Purchases'!$B$4:$B$30,0))),"Uncategorised"))</f>
        <v>Beverages</v>
      </c>
      <c r="AH285" s="165">
        <f>IF(AND(E285&lt;&gt;"",L285=1),COUNTIFS($E$2:E285,E285,$L$2:L285,1),0)</f>
        <v>11</v>
      </c>
      <c r="AI285" s="165">
        <f t="shared" si="38"/>
        <v>1</v>
      </c>
      <c r="AJ285" s="165">
        <f t="shared" si="39"/>
        <v>1</v>
      </c>
    </row>
    <row r="286" spans="1:36" x14ac:dyDescent="0.25">
      <c r="A286" s="177">
        <f t="shared" si="40"/>
        <v>46280</v>
      </c>
      <c r="B286" s="178" t="str">
        <f t="shared" si="34"/>
        <v>Tue</v>
      </c>
      <c r="C286" s="178" t="str">
        <f>'Pantry Inventory'!$A$65</f>
        <v>Sep Week 3</v>
      </c>
      <c r="D286" s="178" t="str">
        <f>IF('Pantry Inventory'!A82="","",'Pantry Inventory'!A82)</f>
        <v>Nestle</v>
      </c>
      <c r="E286" s="178" t="str">
        <f>IF('Pantry Inventory'!B82="","",'Pantry Inventory'!B82)</f>
        <v>Nescafe original 240ml</v>
      </c>
      <c r="F286" s="178" t="str">
        <f>IF(E286="","",IFERROR(IF(INDEX('Item Purchases'!$S$4:$S$30,MATCH(E286,'Item Purchases'!$B$4:$B$30,0))="","Uncategorised",INDEX('Item Purchases'!$S$4:$S$30,MATCH(E286,'Item Purchases'!$B$4:$B$30,0))),"Uncategorised"))</f>
        <v>Coffee</v>
      </c>
      <c r="G286" s="178">
        <f>IF(E286="",0,'Pantry Inventory'!D82)</f>
        <v>0</v>
      </c>
      <c r="H286" s="178">
        <f>IF(E286="","",IF('Pantry Inventory'!E82="","",'Pantry Inventory'!E82))</f>
        <v>25</v>
      </c>
      <c r="I286" s="178">
        <f>IF(H286="","",'Pantry Inventory'!F82)</f>
        <v>2</v>
      </c>
      <c r="J286" s="179">
        <f>IF(E286="",0,IFERROR(INDEX('Item Purchases'!$Q$4:$Q$30,MATCH(E286,'Item Purchases'!$B$4:$B$30,0)),0))</f>
        <v>2.1875</v>
      </c>
      <c r="K286" s="180">
        <f t="shared" si="35"/>
        <v>4.375</v>
      </c>
      <c r="L286" s="178">
        <f t="shared" si="36"/>
        <v>1</v>
      </c>
      <c r="M286" s="178">
        <f>IF(E286="",0,IF(AND(OR(OR(Dashboard!$E$5="All",Dashboard!$E$5=""),AG286=Dashboard!$E$5),OR(OR(Dashboard!$H$5="All",Dashboard!$H$5=""),F286=Dashboard!$H$5),OR(OR(Dashboard!$B$5="All",Dashboard!$B$5=""),C286=Dashboard!$B$5),OR(OR(Dashboard!$K$5="All",Dashboard!$K$5=""),A286=Dashboard!$K$5),OR(OR(Dashboard!$N$5="All",Dashboard!$N$5=""),B286=Dashboard!$N$5),OR(OR(Dashboard!$Q$5="All",Dashboard!$Q$5=""),D286=Dashboard!$Q$5),OR(OR(Dashboard!$U$5="All",Dashboard!$U$5=""),E286=Dashboard!$U$5)),1,0))</f>
        <v>1</v>
      </c>
      <c r="N286" s="178">
        <f>IF(E286="",0,IF(AND(OR(OR(Dashboard!$E$5="All",Dashboard!$E$5=""),AG286=Dashboard!$E$5),OR(OR(Dashboard!$B$5="All",Dashboard!$B$5=""),C286=Dashboard!$B$5),OR(OR(Dashboard!$K$5="All",Dashboard!$K$5=""),A286=Dashboard!$K$5),OR(OR(Dashboard!$N$5="All",Dashboard!$N$5=""),B286=Dashboard!$N$5),OR(OR(Dashboard!$Q$5="All",Dashboard!$Q$5=""),D286=Dashboard!$Q$5),OR(OR(Dashboard!$U$5="All",Dashboard!$U$5=""),E286=Dashboard!$U$5)),1,0))</f>
        <v>1</v>
      </c>
      <c r="O286" s="165">
        <f t="shared" si="37"/>
        <v>4</v>
      </c>
      <c r="AG286" s="178" t="str">
        <f>IF(E286="","",IFERROR(IF(INDEX('Item Purchases'!$AM$4:$AM$30,MATCH(E286,'Item Purchases'!$B$4:$B$30,0))="","Uncategorised",INDEX('Item Purchases'!$AM$4:$AM$30,MATCH(E286,'Item Purchases'!$B$4:$B$30,0))),"Uncategorised"))</f>
        <v>Beverages</v>
      </c>
      <c r="AH286" s="165">
        <f>IF(AND(E286&lt;&gt;"",L286=1),COUNTIFS($E$2:E286,E286,$L$2:L286,1),0)</f>
        <v>11</v>
      </c>
      <c r="AI286" s="165">
        <f t="shared" si="38"/>
        <v>2</v>
      </c>
      <c r="AJ286" s="165">
        <f t="shared" si="39"/>
        <v>1</v>
      </c>
    </row>
    <row r="287" spans="1:36" x14ac:dyDescent="0.25">
      <c r="A287" s="177">
        <f t="shared" si="40"/>
        <v>46280</v>
      </c>
      <c r="B287" s="178" t="str">
        <f t="shared" si="34"/>
        <v>Tue</v>
      </c>
      <c r="C287" s="178" t="str">
        <f>'Pantry Inventory'!$A$65</f>
        <v>Sep Week 3</v>
      </c>
      <c r="D287" s="178" t="str">
        <f>IF('Pantry Inventory'!A83="","",'Pantry Inventory'!A83)</f>
        <v>COWA</v>
      </c>
      <c r="E287" s="178" t="str">
        <f>IF('Pantry Inventory'!B83="","",'Pantry Inventory'!B83)</f>
        <v>COWA Coconut Water 330 ml</v>
      </c>
      <c r="F287" s="178" t="str">
        <f>IF(E287="","",IFERROR(IF(INDEX('Item Purchases'!$S$4:$S$30,MATCH(E287,'Item Purchases'!$B$4:$B$30,0))="","Uncategorised",INDEX('Item Purchases'!$S$4:$S$30,MATCH(E287,'Item Purchases'!$B$4:$B$30,0))),"Uncategorised"))</f>
        <v>Other</v>
      </c>
      <c r="G287" s="178">
        <f>IF(E287="",0,'Pantry Inventory'!D83)</f>
        <v>84</v>
      </c>
      <c r="H287" s="178">
        <f>IF(E287="","",IF('Pantry Inventory'!E83="","",'Pantry Inventory'!E83))</f>
        <v>124</v>
      </c>
      <c r="I287" s="178">
        <f>IF(H287="","",'Pantry Inventory'!F83)</f>
        <v>25</v>
      </c>
      <c r="J287" s="179">
        <f>IF(E287="",0,IFERROR(INDEX('Item Purchases'!$Q$4:$Q$30,MATCH(E287,'Item Purchases'!$B$4:$B$30,0)),0))</f>
        <v>3</v>
      </c>
      <c r="K287" s="180">
        <f t="shared" si="35"/>
        <v>75</v>
      </c>
      <c r="L287" s="178">
        <f t="shared" si="36"/>
        <v>1</v>
      </c>
      <c r="M287" s="178">
        <f>IF(E287="",0,IF(AND(OR(OR(Dashboard!$E$5="All",Dashboard!$E$5=""),AG287=Dashboard!$E$5),OR(OR(Dashboard!$H$5="All",Dashboard!$H$5=""),F287=Dashboard!$H$5),OR(OR(Dashboard!$B$5="All",Dashboard!$B$5=""),C287=Dashboard!$B$5),OR(OR(Dashboard!$K$5="All",Dashboard!$K$5=""),A287=Dashboard!$K$5),OR(OR(Dashboard!$N$5="All",Dashboard!$N$5=""),B287=Dashboard!$N$5),OR(OR(Dashboard!$Q$5="All",Dashboard!$Q$5=""),D287=Dashboard!$Q$5),OR(OR(Dashboard!$U$5="All",Dashboard!$U$5=""),E287=Dashboard!$U$5)),1,0))</f>
        <v>1</v>
      </c>
      <c r="N287" s="178">
        <f>IF(E287="",0,IF(AND(OR(OR(Dashboard!$E$5="All",Dashboard!$E$5=""),AG287=Dashboard!$E$5),OR(OR(Dashboard!$B$5="All",Dashboard!$B$5=""),C287=Dashboard!$B$5),OR(OR(Dashboard!$K$5="All",Dashboard!$K$5=""),A287=Dashboard!$K$5),OR(OR(Dashboard!$N$5="All",Dashboard!$N$5=""),B287=Dashboard!$N$5),OR(OR(Dashboard!$Q$5="All",Dashboard!$Q$5=""),D287=Dashboard!$Q$5),OR(OR(Dashboard!$U$5="All",Dashboard!$U$5=""),E287=Dashboard!$U$5)),1,0))</f>
        <v>1</v>
      </c>
      <c r="O287" s="165">
        <f t="shared" si="37"/>
        <v>625</v>
      </c>
      <c r="AG287" s="178" t="str">
        <f>IF(E287="","",IFERROR(IF(INDEX('Item Purchases'!$AM$4:$AM$30,MATCH(E287,'Item Purchases'!$B$4:$B$30,0))="","Uncategorised",INDEX('Item Purchases'!$AM$4:$AM$30,MATCH(E287,'Item Purchases'!$B$4:$B$30,0))),"Uncategorised"))</f>
        <v>Beverages</v>
      </c>
      <c r="AH287" s="165">
        <f>IF(AND(E287&lt;&gt;"",L287=1),COUNTIFS($E$2:E287,E287,$L$2:L287,1),0)</f>
        <v>11</v>
      </c>
      <c r="AI287" s="165">
        <f t="shared" si="38"/>
        <v>25</v>
      </c>
      <c r="AJ287" s="165">
        <f t="shared" si="39"/>
        <v>1</v>
      </c>
    </row>
    <row r="288" spans="1:36" x14ac:dyDescent="0.25">
      <c r="A288" s="177">
        <f t="shared" si="40"/>
        <v>46280</v>
      </c>
      <c r="B288" s="178" t="str">
        <f t="shared" si="34"/>
        <v>Tue</v>
      </c>
      <c r="C288" s="178" t="str">
        <f>'Pantry Inventory'!$A$65</f>
        <v>Sep Week 3</v>
      </c>
      <c r="D288" s="178" t="str">
        <f>IF('Pantry Inventory'!A84="","",'Pantry Inventory'!A84)</f>
        <v>Coca Cola</v>
      </c>
      <c r="E288" s="178" t="str">
        <f>IF('Pantry Inventory'!B84="","",'Pantry Inventory'!B84)</f>
        <v>COKE ZERO  325ML</v>
      </c>
      <c r="F288" s="178" t="str">
        <f>IF(E288="","",IFERROR(IF(INDEX('Item Purchases'!$S$4:$S$30,MATCH(E288,'Item Purchases'!$B$4:$B$30,0))="","Uncategorised",INDEX('Item Purchases'!$S$4:$S$30,MATCH(E288,'Item Purchases'!$B$4:$B$30,0))),"Uncategorised"))</f>
        <v>Other</v>
      </c>
      <c r="G288" s="178">
        <f>IF(E288="",0,'Pantry Inventory'!D84)</f>
        <v>24</v>
      </c>
      <c r="H288" s="178">
        <f>IF(E288="","",IF('Pantry Inventory'!E84="","",'Pantry Inventory'!E84))</f>
        <v>56</v>
      </c>
      <c r="I288" s="178">
        <f>IF(H288="","",'Pantry Inventory'!F84)</f>
        <v>9</v>
      </c>
      <c r="J288" s="179">
        <f>IF(E288="",0,IFERROR(INDEX('Item Purchases'!$Q$4:$Q$30,MATCH(E288,'Item Purchases'!$B$4:$B$30,0)),0))</f>
        <v>1.83</v>
      </c>
      <c r="K288" s="180">
        <f t="shared" si="35"/>
        <v>16.47</v>
      </c>
      <c r="L288" s="178">
        <f t="shared" si="36"/>
        <v>1</v>
      </c>
      <c r="M288" s="178">
        <f>IF(E288="",0,IF(AND(OR(OR(Dashboard!$E$5="All",Dashboard!$E$5=""),AG288=Dashboard!$E$5),OR(OR(Dashboard!$H$5="All",Dashboard!$H$5=""),F288=Dashboard!$H$5),OR(OR(Dashboard!$B$5="All",Dashboard!$B$5=""),C288=Dashboard!$B$5),OR(OR(Dashboard!$K$5="All",Dashboard!$K$5=""),A288=Dashboard!$K$5),OR(OR(Dashboard!$N$5="All",Dashboard!$N$5=""),B288=Dashboard!$N$5),OR(OR(Dashboard!$Q$5="All",Dashboard!$Q$5=""),D288=Dashboard!$Q$5),OR(OR(Dashboard!$U$5="All",Dashboard!$U$5=""),E288=Dashboard!$U$5)),1,0))</f>
        <v>1</v>
      </c>
      <c r="N288" s="178">
        <f>IF(E288="",0,IF(AND(OR(OR(Dashboard!$E$5="All",Dashboard!$E$5=""),AG288=Dashboard!$E$5),OR(OR(Dashboard!$B$5="All",Dashboard!$B$5=""),C288=Dashboard!$B$5),OR(OR(Dashboard!$K$5="All",Dashboard!$K$5=""),A288=Dashboard!$K$5),OR(OR(Dashboard!$N$5="All",Dashboard!$N$5=""),B288=Dashboard!$N$5),OR(OR(Dashboard!$Q$5="All",Dashboard!$Q$5=""),D288=Dashboard!$Q$5),OR(OR(Dashboard!$U$5="All",Dashboard!$U$5=""),E288=Dashboard!$U$5)),1,0))</f>
        <v>1</v>
      </c>
      <c r="O288" s="165">
        <f t="shared" si="37"/>
        <v>81</v>
      </c>
      <c r="AG288" s="178" t="str">
        <f>IF(E288="","",IFERROR(IF(INDEX('Item Purchases'!$AM$4:$AM$30,MATCH(E288,'Item Purchases'!$B$4:$B$30,0))="","Uncategorised",INDEX('Item Purchases'!$AM$4:$AM$30,MATCH(E288,'Item Purchases'!$B$4:$B$30,0))),"Uncategorised"))</f>
        <v>Beverages</v>
      </c>
      <c r="AH288" s="165">
        <f>IF(AND(E288&lt;&gt;"",L288=1),COUNTIFS($E$2:E288,E288,$L$2:L288,1),0)</f>
        <v>11</v>
      </c>
      <c r="AI288" s="165">
        <f t="shared" si="38"/>
        <v>9</v>
      </c>
      <c r="AJ288" s="165">
        <f t="shared" si="39"/>
        <v>1</v>
      </c>
    </row>
    <row r="289" spans="1:36" x14ac:dyDescent="0.25">
      <c r="A289" s="177">
        <f t="shared" si="40"/>
        <v>46280</v>
      </c>
      <c r="B289" s="178" t="str">
        <f t="shared" si="34"/>
        <v>Tue</v>
      </c>
      <c r="C289" s="178" t="str">
        <f>'Pantry Inventory'!$A$65</f>
        <v>Sep Week 3</v>
      </c>
      <c r="D289" s="178" t="str">
        <f>IF('Pantry Inventory'!A85="","",'Pantry Inventory'!A85)</f>
        <v>Coca Cola</v>
      </c>
      <c r="E289" s="178" t="str">
        <f>IF('Pantry Inventory'!B85="","",'Pantry Inventory'!B85)</f>
        <v>Ayataka Tea 300ml</v>
      </c>
      <c r="F289" s="178" t="str">
        <f>IF(E289="","",IFERROR(IF(INDEX('Item Purchases'!$S$4:$S$30,MATCH(E289,'Item Purchases'!$B$4:$B$30,0))="","Uncategorised",INDEX('Item Purchases'!$S$4:$S$30,MATCH(E289,'Item Purchases'!$B$4:$B$30,0))),"Uncategorised"))</f>
        <v>Tea</v>
      </c>
      <c r="G289" s="178">
        <f>IF(E289="",0,'Pantry Inventory'!D85)</f>
        <v>0</v>
      </c>
      <c r="H289" s="178">
        <f>IF(E289="","",IF('Pantry Inventory'!E85="","",'Pantry Inventory'!E85))</f>
        <v>0</v>
      </c>
      <c r="I289" s="178">
        <f>IF(H289="","",'Pantry Inventory'!F85)</f>
        <v>24</v>
      </c>
      <c r="J289" s="179">
        <f>IF(E289="",0,IFERROR(INDEX('Item Purchases'!$Q$4:$Q$30,MATCH(E289,'Item Purchases'!$B$4:$B$30,0)),0))</f>
        <v>1.75</v>
      </c>
      <c r="K289" s="180">
        <f t="shared" si="35"/>
        <v>42</v>
      </c>
      <c r="L289" s="178">
        <f t="shared" si="36"/>
        <v>1</v>
      </c>
      <c r="M289" s="178">
        <f>IF(E289="",0,IF(AND(OR(OR(Dashboard!$E$5="All",Dashboard!$E$5=""),AG289=Dashboard!$E$5),OR(OR(Dashboard!$H$5="All",Dashboard!$H$5=""),F289=Dashboard!$H$5),OR(OR(Dashboard!$B$5="All",Dashboard!$B$5=""),C289=Dashboard!$B$5),OR(OR(Dashboard!$K$5="All",Dashboard!$K$5=""),A289=Dashboard!$K$5),OR(OR(Dashboard!$N$5="All",Dashboard!$N$5=""),B289=Dashboard!$N$5),OR(OR(Dashboard!$Q$5="All",Dashboard!$Q$5=""),D289=Dashboard!$Q$5),OR(OR(Dashboard!$U$5="All",Dashboard!$U$5=""),E289=Dashboard!$U$5)),1,0))</f>
        <v>1</v>
      </c>
      <c r="N289" s="178">
        <f>IF(E289="",0,IF(AND(OR(OR(Dashboard!$E$5="All",Dashboard!$E$5=""),AG289=Dashboard!$E$5),OR(OR(Dashboard!$B$5="All",Dashboard!$B$5=""),C289=Dashboard!$B$5),OR(OR(Dashboard!$K$5="All",Dashboard!$K$5=""),A289=Dashboard!$K$5),OR(OR(Dashboard!$N$5="All",Dashboard!$N$5=""),B289=Dashboard!$N$5),OR(OR(Dashboard!$Q$5="All",Dashboard!$Q$5=""),D289=Dashboard!$Q$5),OR(OR(Dashboard!$U$5="All",Dashboard!$U$5=""),E289=Dashboard!$U$5)),1,0))</f>
        <v>1</v>
      </c>
      <c r="O289" s="165">
        <f t="shared" si="37"/>
        <v>0</v>
      </c>
      <c r="AG289" s="178" t="str">
        <f>IF(E289="","",IFERROR(IF(INDEX('Item Purchases'!$AM$4:$AM$30,MATCH(E289,'Item Purchases'!$B$4:$B$30,0))="","Uncategorised",INDEX('Item Purchases'!$AM$4:$AM$30,MATCH(E289,'Item Purchases'!$B$4:$B$30,0))),"Uncategorised"))</f>
        <v>Beverages</v>
      </c>
      <c r="AH289" s="165">
        <f>IF(AND(E289&lt;&gt;"",L289=1),COUNTIFS($E$2:E289,E289,$L$2:L289,1),0)</f>
        <v>11</v>
      </c>
      <c r="AI289" s="165">
        <f t="shared" si="38"/>
        <v>24</v>
      </c>
      <c r="AJ289" s="165">
        <f t="shared" si="39"/>
        <v>0</v>
      </c>
    </row>
    <row r="290" spans="1:36" x14ac:dyDescent="0.25">
      <c r="A290" s="177">
        <f t="shared" si="40"/>
        <v>46280</v>
      </c>
      <c r="B290" s="178" t="str">
        <f t="shared" si="34"/>
        <v>Tue</v>
      </c>
      <c r="C290" s="178" t="str">
        <f>'Pantry Inventory'!$A$65</f>
        <v>Sep Week 3</v>
      </c>
      <c r="D290" s="178" t="str">
        <f>IF('Pantry Inventory'!A86="","",'Pantry Inventory'!A86)</f>
        <v>Coca Cola</v>
      </c>
      <c r="E290" s="178" t="str">
        <f>IF('Pantry Inventory'!B86="","",'Pantry Inventory'!B86)</f>
        <v>Oolong Tea 300ml</v>
      </c>
      <c r="F290" s="178" t="str">
        <f>IF(E290="","",IFERROR(IF(INDEX('Item Purchases'!$S$4:$S$30,MATCH(E290,'Item Purchases'!$B$4:$B$30,0))="","Uncategorised",INDEX('Item Purchases'!$S$4:$S$30,MATCH(E290,'Item Purchases'!$B$4:$B$30,0))),"Uncategorised"))</f>
        <v>Tea</v>
      </c>
      <c r="G290" s="178">
        <f>IF(E290="",0,'Pantry Inventory'!D86)</f>
        <v>0</v>
      </c>
      <c r="H290" s="178">
        <f>IF(E290="","",IF('Pantry Inventory'!E86="","",'Pantry Inventory'!E86))</f>
        <v>0</v>
      </c>
      <c r="I290" s="178">
        <f>IF(H290="","",'Pantry Inventory'!F86)</f>
        <v>16</v>
      </c>
      <c r="J290" s="179">
        <f>IF(E290="",0,IFERROR(INDEX('Item Purchases'!$Q$4:$Q$30,MATCH(E290,'Item Purchases'!$B$4:$B$30,0)),0))</f>
        <v>1.75</v>
      </c>
      <c r="K290" s="180">
        <f t="shared" si="35"/>
        <v>28</v>
      </c>
      <c r="L290" s="178">
        <f t="shared" si="36"/>
        <v>1</v>
      </c>
      <c r="M290" s="178">
        <f>IF(E290="",0,IF(AND(OR(OR(Dashboard!$E$5="All",Dashboard!$E$5=""),AG290=Dashboard!$E$5),OR(OR(Dashboard!$H$5="All",Dashboard!$H$5=""),F290=Dashboard!$H$5),OR(OR(Dashboard!$B$5="All",Dashboard!$B$5=""),C290=Dashboard!$B$5),OR(OR(Dashboard!$K$5="All",Dashboard!$K$5=""),A290=Dashboard!$K$5),OR(OR(Dashboard!$N$5="All",Dashboard!$N$5=""),B290=Dashboard!$N$5),OR(OR(Dashboard!$Q$5="All",Dashboard!$Q$5=""),D290=Dashboard!$Q$5),OR(OR(Dashboard!$U$5="All",Dashboard!$U$5=""),E290=Dashboard!$U$5)),1,0))</f>
        <v>1</v>
      </c>
      <c r="N290" s="178">
        <f>IF(E290="",0,IF(AND(OR(OR(Dashboard!$E$5="All",Dashboard!$E$5=""),AG290=Dashboard!$E$5),OR(OR(Dashboard!$B$5="All",Dashboard!$B$5=""),C290=Dashboard!$B$5),OR(OR(Dashboard!$K$5="All",Dashboard!$K$5=""),A290=Dashboard!$K$5),OR(OR(Dashboard!$N$5="All",Dashboard!$N$5=""),B290=Dashboard!$N$5),OR(OR(Dashboard!$Q$5="All",Dashboard!$Q$5=""),D290=Dashboard!$Q$5),OR(OR(Dashboard!$U$5="All",Dashboard!$U$5=""),E290=Dashboard!$U$5)),1,0))</f>
        <v>1</v>
      </c>
      <c r="O290" s="165">
        <f t="shared" si="37"/>
        <v>0</v>
      </c>
      <c r="AG290" s="178" t="str">
        <f>IF(E290="","",IFERROR(IF(INDEX('Item Purchases'!$AM$4:$AM$30,MATCH(E290,'Item Purchases'!$B$4:$B$30,0))="","Uncategorised",INDEX('Item Purchases'!$AM$4:$AM$30,MATCH(E290,'Item Purchases'!$B$4:$B$30,0))),"Uncategorised"))</f>
        <v>Beverages</v>
      </c>
      <c r="AH290" s="165">
        <f>IF(AND(E290&lt;&gt;"",L290=1),COUNTIFS($E$2:E290,E290,$L$2:L290,1),0)</f>
        <v>11</v>
      </c>
      <c r="AI290" s="165">
        <f t="shared" si="38"/>
        <v>16</v>
      </c>
      <c r="AJ290" s="165">
        <f t="shared" si="39"/>
        <v>0</v>
      </c>
    </row>
    <row r="291" spans="1:36" x14ac:dyDescent="0.25">
      <c r="A291" s="177">
        <f t="shared" si="40"/>
        <v>46280</v>
      </c>
      <c r="B291" s="178" t="str">
        <f t="shared" si="34"/>
        <v>Tue</v>
      </c>
      <c r="C291" s="178" t="str">
        <f>'Pantry Inventory'!$A$65</f>
        <v>Sep Week 3</v>
      </c>
      <c r="D291" s="178" t="str">
        <f>IF('Pantry Inventory'!A87="","",'Pantry Inventory'!A87)</f>
        <v>Vsoy</v>
      </c>
      <c r="E291" s="178" t="str">
        <f>IF('Pantry Inventory'!B87="","",'Pantry Inventory'!B87)</f>
        <v>Vsoy Soya Bean  250ml</v>
      </c>
      <c r="F291" s="178" t="str">
        <f>IF(E291="","",IFERROR(IF(INDEX('Item Purchases'!$S$4:$S$30,MATCH(E291,'Item Purchases'!$B$4:$B$30,0))="","Uncategorised",INDEX('Item Purchases'!$S$4:$S$30,MATCH(E291,'Item Purchases'!$B$4:$B$30,0))),"Uncategorised"))</f>
        <v>Other</v>
      </c>
      <c r="G291" s="178">
        <f>IF(E291="",0,'Pantry Inventory'!D87)</f>
        <v>0</v>
      </c>
      <c r="H291" s="178">
        <f>IF(E291="","",IF('Pantry Inventory'!E87="","",'Pantry Inventory'!E87))</f>
        <v>0</v>
      </c>
      <c r="I291" s="178">
        <f>IF(H291="","",'Pantry Inventory'!F87)</f>
        <v>0</v>
      </c>
      <c r="J291" s="179">
        <f>IF(E291="",0,IFERROR(INDEX('Item Purchases'!$Q$4:$Q$30,MATCH(E291,'Item Purchases'!$B$4:$B$30,0)),0))</f>
        <v>1.25</v>
      </c>
      <c r="K291" s="180">
        <f t="shared" si="35"/>
        <v>0</v>
      </c>
      <c r="L291" s="178">
        <f t="shared" si="36"/>
        <v>1</v>
      </c>
      <c r="M291" s="178">
        <f>IF(E291="",0,IF(AND(OR(OR(Dashboard!$E$5="All",Dashboard!$E$5=""),AG291=Dashboard!$E$5),OR(OR(Dashboard!$H$5="All",Dashboard!$H$5=""),F291=Dashboard!$H$5),OR(OR(Dashboard!$B$5="All",Dashboard!$B$5=""),C291=Dashboard!$B$5),OR(OR(Dashboard!$K$5="All",Dashboard!$K$5=""),A291=Dashboard!$K$5),OR(OR(Dashboard!$N$5="All",Dashboard!$N$5=""),B291=Dashboard!$N$5),OR(OR(Dashboard!$Q$5="All",Dashboard!$Q$5=""),D291=Dashboard!$Q$5),OR(OR(Dashboard!$U$5="All",Dashboard!$U$5=""),E291=Dashboard!$U$5)),1,0))</f>
        <v>1</v>
      </c>
      <c r="N291" s="178">
        <f>IF(E291="",0,IF(AND(OR(OR(Dashboard!$E$5="All",Dashboard!$E$5=""),AG291=Dashboard!$E$5),OR(OR(Dashboard!$B$5="All",Dashboard!$B$5=""),C291=Dashboard!$B$5),OR(OR(Dashboard!$K$5="All",Dashboard!$K$5=""),A291=Dashboard!$K$5),OR(OR(Dashboard!$N$5="All",Dashboard!$N$5=""),B291=Dashboard!$N$5),OR(OR(Dashboard!$Q$5="All",Dashboard!$Q$5=""),D291=Dashboard!$Q$5),OR(OR(Dashboard!$U$5="All",Dashboard!$U$5=""),E291=Dashboard!$U$5)),1,0))</f>
        <v>1</v>
      </c>
      <c r="O291" s="165">
        <f t="shared" si="37"/>
        <v>0</v>
      </c>
      <c r="AG291" s="178" t="str">
        <f>IF(E291="","",IFERROR(IF(INDEX('Item Purchases'!$AM$4:$AM$30,MATCH(E291,'Item Purchases'!$B$4:$B$30,0))="","Uncategorised",INDEX('Item Purchases'!$AM$4:$AM$30,MATCH(E291,'Item Purchases'!$B$4:$B$30,0))),"Uncategorised"))</f>
        <v>Beverages</v>
      </c>
      <c r="AH291" s="165">
        <f>IF(AND(E291&lt;&gt;"",L291=1),COUNTIFS($E$2:E291,E291,$L$2:L291,1),0)</f>
        <v>11</v>
      </c>
      <c r="AI291" s="165">
        <f t="shared" si="38"/>
        <v>0</v>
      </c>
      <c r="AJ291" s="165">
        <f t="shared" si="39"/>
        <v>0</v>
      </c>
    </row>
    <row r="292" spans="1:36" x14ac:dyDescent="0.25">
      <c r="A292" s="177">
        <f t="shared" si="40"/>
        <v>46280</v>
      </c>
      <c r="B292" s="178" t="str">
        <f t="shared" si="34"/>
        <v>Tue</v>
      </c>
      <c r="C292" s="178" t="str">
        <f>'Pantry Inventory'!$A$65</f>
        <v>Sep Week 3</v>
      </c>
      <c r="D292" s="178" t="str">
        <f>IF('Pantry Inventory'!A88="","",'Pantry Inventory'!A88)</f>
        <v>BingRae</v>
      </c>
      <c r="E292" s="178" t="str">
        <f>IF('Pantry Inventory'!B88="","",'Pantry Inventory'!B88)</f>
        <v>BingRae Banana Milk 200ml</v>
      </c>
      <c r="F292" s="178" t="str">
        <f>IF(E292="","",IFERROR(IF(INDEX('Item Purchases'!$S$4:$S$30,MATCH(E292,'Item Purchases'!$B$4:$B$30,0))="","Uncategorised",INDEX('Item Purchases'!$S$4:$S$30,MATCH(E292,'Item Purchases'!$B$4:$B$30,0))),"Uncategorised"))</f>
        <v>Other</v>
      </c>
      <c r="G292" s="178">
        <f>IF(E292="",0,'Pantry Inventory'!D88)</f>
        <v>0</v>
      </c>
      <c r="H292" s="178">
        <f>IF(E292="","",IF('Pantry Inventory'!E88="","",'Pantry Inventory'!E88))</f>
        <v>36</v>
      </c>
      <c r="I292" s="178">
        <f>IF(H292="","",'Pantry Inventory'!F88)</f>
        <v>5</v>
      </c>
      <c r="J292" s="179">
        <f>IF(E292="",0,IFERROR(INDEX('Item Purchases'!$Q$4:$Q$30,MATCH(E292,'Item Purchases'!$B$4:$B$30,0)),0))</f>
        <v>3.3159999999999998</v>
      </c>
      <c r="K292" s="180">
        <f t="shared" si="35"/>
        <v>16.579999999999998</v>
      </c>
      <c r="L292" s="178">
        <f t="shared" si="36"/>
        <v>1</v>
      </c>
      <c r="M292" s="178">
        <f>IF(E292="",0,IF(AND(OR(OR(Dashboard!$E$5="All",Dashboard!$E$5=""),AG292=Dashboard!$E$5),OR(OR(Dashboard!$H$5="All",Dashboard!$H$5=""),F292=Dashboard!$H$5),OR(OR(Dashboard!$B$5="All",Dashboard!$B$5=""),C292=Dashboard!$B$5),OR(OR(Dashboard!$K$5="All",Dashboard!$K$5=""),A292=Dashboard!$K$5),OR(OR(Dashboard!$N$5="All",Dashboard!$N$5=""),B292=Dashboard!$N$5),OR(OR(Dashboard!$Q$5="All",Dashboard!$Q$5=""),D292=Dashboard!$Q$5),OR(OR(Dashboard!$U$5="All",Dashboard!$U$5=""),E292=Dashboard!$U$5)),1,0))</f>
        <v>1</v>
      </c>
      <c r="N292" s="178">
        <f>IF(E292="",0,IF(AND(OR(OR(Dashboard!$E$5="All",Dashboard!$E$5=""),AG292=Dashboard!$E$5),OR(OR(Dashboard!$B$5="All",Dashboard!$B$5=""),C292=Dashboard!$B$5),OR(OR(Dashboard!$K$5="All",Dashboard!$K$5=""),A292=Dashboard!$K$5),OR(OR(Dashboard!$N$5="All",Dashboard!$N$5=""),B292=Dashboard!$N$5),OR(OR(Dashboard!$Q$5="All",Dashboard!$Q$5=""),D292=Dashboard!$Q$5),OR(OR(Dashboard!$U$5="All",Dashboard!$U$5=""),E292=Dashboard!$U$5)),1,0))</f>
        <v>1</v>
      </c>
      <c r="O292" s="165">
        <f t="shared" si="37"/>
        <v>25</v>
      </c>
      <c r="AG292" s="178" t="str">
        <f>IF(E292="","",IFERROR(IF(INDEX('Item Purchases'!$AM$4:$AM$30,MATCH(E292,'Item Purchases'!$B$4:$B$30,0))="","Uncategorised",INDEX('Item Purchases'!$AM$4:$AM$30,MATCH(E292,'Item Purchases'!$B$4:$B$30,0))),"Uncategorised"))</f>
        <v>Beverages</v>
      </c>
      <c r="AH292" s="165">
        <f>IF(AND(E292&lt;&gt;"",L292=1),COUNTIFS($E$2:E292,E292,$L$2:L292,1),0)</f>
        <v>11</v>
      </c>
      <c r="AI292" s="165">
        <f t="shared" si="38"/>
        <v>5</v>
      </c>
      <c r="AJ292" s="165">
        <f t="shared" si="39"/>
        <v>1</v>
      </c>
    </row>
    <row r="293" spans="1:36" x14ac:dyDescent="0.25">
      <c r="A293" s="177">
        <f t="shared" si="40"/>
        <v>46280</v>
      </c>
      <c r="B293" s="178" t="str">
        <f t="shared" si="34"/>
        <v>Tue</v>
      </c>
      <c r="C293" s="178" t="str">
        <f>'Pantry Inventory'!$A$65</f>
        <v>Sep Week 3</v>
      </c>
      <c r="D293" s="178" t="str">
        <f>IF('Pantry Inventory'!A89="","",'Pantry Inventory'!A89)</f>
        <v>Fuze Tea</v>
      </c>
      <c r="E293" s="178" t="str">
        <f>IF('Pantry Inventory'!B89="","",'Pantry Inventory'!B89)</f>
        <v>Fuze Tea by Heaven and Earth Jasmine Tea</v>
      </c>
      <c r="F293" s="178" t="str">
        <f>IF(E293="","",IFERROR(IF(INDEX('Item Purchases'!$S$4:$S$30,MATCH(E293,'Item Purchases'!$B$4:$B$30,0))="","Uncategorised",INDEX('Item Purchases'!$S$4:$S$30,MATCH(E293,'Item Purchases'!$B$4:$B$30,0))),"Uncategorised"))</f>
        <v>Tea</v>
      </c>
      <c r="G293" s="178">
        <f>IF(E293="",0,'Pantry Inventory'!D89)</f>
        <v>0</v>
      </c>
      <c r="H293" s="178">
        <f>IF(E293="","",IF('Pantry Inventory'!E89="","",'Pantry Inventory'!E89))</f>
        <v>0</v>
      </c>
      <c r="I293" s="178">
        <f>IF(H293="","",'Pantry Inventory'!F89)</f>
        <v>0</v>
      </c>
      <c r="J293" s="179">
        <f>IF(E293="",0,IFERROR(INDEX('Item Purchases'!$Q$4:$Q$30,MATCH(E293,'Item Purchases'!$B$4:$B$30,0)),0))</f>
        <v>1.167</v>
      </c>
      <c r="K293" s="180">
        <f t="shared" si="35"/>
        <v>0</v>
      </c>
      <c r="L293" s="178">
        <f t="shared" si="36"/>
        <v>1</v>
      </c>
      <c r="M293" s="178">
        <f>IF(E293="",0,IF(AND(OR(OR(Dashboard!$E$5="All",Dashboard!$E$5=""),AG293=Dashboard!$E$5),OR(OR(Dashboard!$H$5="All",Dashboard!$H$5=""),F293=Dashboard!$H$5),OR(OR(Dashboard!$B$5="All",Dashboard!$B$5=""),C293=Dashboard!$B$5),OR(OR(Dashboard!$K$5="All",Dashboard!$K$5=""),A293=Dashboard!$K$5),OR(OR(Dashboard!$N$5="All",Dashboard!$N$5=""),B293=Dashboard!$N$5),OR(OR(Dashboard!$Q$5="All",Dashboard!$Q$5=""),D293=Dashboard!$Q$5),OR(OR(Dashboard!$U$5="All",Dashboard!$U$5=""),E293=Dashboard!$U$5)),1,0))</f>
        <v>1</v>
      </c>
      <c r="N293" s="178">
        <f>IF(E293="",0,IF(AND(OR(OR(Dashboard!$E$5="All",Dashboard!$E$5=""),AG293=Dashboard!$E$5),OR(OR(Dashboard!$B$5="All",Dashboard!$B$5=""),C293=Dashboard!$B$5),OR(OR(Dashboard!$K$5="All",Dashboard!$K$5=""),A293=Dashboard!$K$5),OR(OR(Dashboard!$N$5="All",Dashboard!$N$5=""),B293=Dashboard!$N$5),OR(OR(Dashboard!$Q$5="All",Dashboard!$Q$5=""),D293=Dashboard!$Q$5),OR(OR(Dashboard!$U$5="All",Dashboard!$U$5=""),E293=Dashboard!$U$5)),1,0))</f>
        <v>1</v>
      </c>
      <c r="O293" s="165">
        <f t="shared" si="37"/>
        <v>0</v>
      </c>
      <c r="AG293" s="178" t="str">
        <f>IF(E293="","",IFERROR(IF(INDEX('Item Purchases'!$AM$4:$AM$30,MATCH(E293,'Item Purchases'!$B$4:$B$30,0))="","Uncategorised",INDEX('Item Purchases'!$AM$4:$AM$30,MATCH(E293,'Item Purchases'!$B$4:$B$30,0))),"Uncategorised"))</f>
        <v>Beverages</v>
      </c>
      <c r="AH293" s="165">
        <f>IF(AND(E293&lt;&gt;"",L293=1),COUNTIFS($E$2:E293,E293,$L$2:L293,1),0)</f>
        <v>11</v>
      </c>
      <c r="AI293" s="165">
        <f t="shared" si="38"/>
        <v>0</v>
      </c>
      <c r="AJ293" s="165">
        <f t="shared" si="39"/>
        <v>0</v>
      </c>
    </row>
    <row r="294" spans="1:36" x14ac:dyDescent="0.25">
      <c r="A294" s="177">
        <f t="shared" si="40"/>
        <v>46280</v>
      </c>
      <c r="B294" s="178" t="str">
        <f t="shared" si="34"/>
        <v>Tue</v>
      </c>
      <c r="C294" s="178" t="str">
        <f>'Pantry Inventory'!$A$65</f>
        <v>Sep Week 3</v>
      </c>
      <c r="D294" s="178" t="str">
        <f>IF('Pantry Inventory'!A90="","",'Pantry Inventory'!A90)</f>
        <v>F&amp;N</v>
      </c>
      <c r="E294" s="178" t="str">
        <f>IF('Pantry Inventory'!B90="","",'Pantry Inventory'!B90)</f>
        <v>FN 100 plus (original) 325ml</v>
      </c>
      <c r="F294" s="178" t="str">
        <f>IF(E294="","",IFERROR(IF(INDEX('Item Purchases'!$S$4:$S$30,MATCH(E294,'Item Purchases'!$B$4:$B$30,0))="","Uncategorised",INDEX('Item Purchases'!$S$4:$S$30,MATCH(E294,'Item Purchases'!$B$4:$B$30,0))),"Uncategorised"))</f>
        <v>Other</v>
      </c>
      <c r="G294" s="178">
        <f>IF(E294="",0,'Pantry Inventory'!D90)</f>
        <v>0</v>
      </c>
      <c r="H294" s="178">
        <f>IF(E294="","",IF('Pantry Inventory'!E90="","",'Pantry Inventory'!E90))</f>
        <v>42</v>
      </c>
      <c r="I294" s="178">
        <f>IF(H294="","",'Pantry Inventory'!F90)</f>
        <v>2</v>
      </c>
      <c r="J294" s="179">
        <f>IF(E294="",0,IFERROR(INDEX('Item Purchases'!$Q$4:$Q$30,MATCH(E294,'Item Purchases'!$B$4:$B$30,0)),0))</f>
        <v>1.58</v>
      </c>
      <c r="K294" s="180">
        <f t="shared" si="35"/>
        <v>3.16</v>
      </c>
      <c r="L294" s="178">
        <f t="shared" si="36"/>
        <v>1</v>
      </c>
      <c r="M294" s="178">
        <f>IF(E294="",0,IF(AND(OR(OR(Dashboard!$E$5="All",Dashboard!$E$5=""),AG294=Dashboard!$E$5),OR(OR(Dashboard!$H$5="All",Dashboard!$H$5=""),F294=Dashboard!$H$5),OR(OR(Dashboard!$B$5="All",Dashboard!$B$5=""),C294=Dashboard!$B$5),OR(OR(Dashboard!$K$5="All",Dashboard!$K$5=""),A294=Dashboard!$K$5),OR(OR(Dashboard!$N$5="All",Dashboard!$N$5=""),B294=Dashboard!$N$5),OR(OR(Dashboard!$Q$5="All",Dashboard!$Q$5=""),D294=Dashboard!$Q$5),OR(OR(Dashboard!$U$5="All",Dashboard!$U$5=""),E294=Dashboard!$U$5)),1,0))</f>
        <v>1</v>
      </c>
      <c r="N294" s="178">
        <f>IF(E294="",0,IF(AND(OR(OR(Dashboard!$E$5="All",Dashboard!$E$5=""),AG294=Dashboard!$E$5),OR(OR(Dashboard!$B$5="All",Dashboard!$B$5=""),C294=Dashboard!$B$5),OR(OR(Dashboard!$K$5="All",Dashboard!$K$5=""),A294=Dashboard!$K$5),OR(OR(Dashboard!$N$5="All",Dashboard!$N$5=""),B294=Dashboard!$N$5),OR(OR(Dashboard!$Q$5="All",Dashboard!$Q$5=""),D294=Dashboard!$Q$5),OR(OR(Dashboard!$U$5="All",Dashboard!$U$5=""),E294=Dashboard!$U$5)),1,0))</f>
        <v>1</v>
      </c>
      <c r="O294" s="165">
        <f t="shared" si="37"/>
        <v>4</v>
      </c>
      <c r="AG294" s="178" t="str">
        <f>IF(E294="","",IFERROR(IF(INDEX('Item Purchases'!$AM$4:$AM$30,MATCH(E294,'Item Purchases'!$B$4:$B$30,0))="","Uncategorised",INDEX('Item Purchases'!$AM$4:$AM$30,MATCH(E294,'Item Purchases'!$B$4:$B$30,0))),"Uncategorised"))</f>
        <v>Beverages</v>
      </c>
      <c r="AH294" s="165">
        <f>IF(AND(E294&lt;&gt;"",L294=1),COUNTIFS($E$2:E294,E294,$L$2:L294,1),0)</f>
        <v>11</v>
      </c>
      <c r="AI294" s="165">
        <f t="shared" si="38"/>
        <v>2</v>
      </c>
      <c r="AJ294" s="165">
        <f t="shared" si="39"/>
        <v>1</v>
      </c>
    </row>
    <row r="295" spans="1:36" x14ac:dyDescent="0.25">
      <c r="A295" s="177">
        <f t="shared" si="40"/>
        <v>46280</v>
      </c>
      <c r="B295" s="178" t="str">
        <f t="shared" si="34"/>
        <v>Tue</v>
      </c>
      <c r="C295" s="178" t="str">
        <f>'Pantry Inventory'!$A$65</f>
        <v>Sep Week 3</v>
      </c>
      <c r="D295" s="178" t="str">
        <f>IF('Pantry Inventory'!A91="","",'Pantry Inventory'!A91)</f>
        <v>Spritzer</v>
      </c>
      <c r="E295" s="178" t="str">
        <f>IF('Pantry Inventory'!B91="","",'Pantry Inventory'!B91)</f>
        <v>Spritzer sparkling water (original) 400ml</v>
      </c>
      <c r="F295" s="178" t="str">
        <f>IF(E295="","",IFERROR(IF(INDEX('Item Purchases'!$S$4:$S$30,MATCH(E295,'Item Purchases'!$B$4:$B$30,0))="","Uncategorised",INDEX('Item Purchases'!$S$4:$S$30,MATCH(E295,'Item Purchases'!$B$4:$B$30,0))),"Uncategorised"))</f>
        <v>Other</v>
      </c>
      <c r="G295" s="178">
        <f>IF(E295="",0,'Pantry Inventory'!D91)</f>
        <v>24</v>
      </c>
      <c r="H295" s="178">
        <f>IF(E295="","",IF('Pantry Inventory'!E91="","",'Pantry Inventory'!E91))</f>
        <v>51</v>
      </c>
      <c r="I295" s="178">
        <f>IF(H295="","",'Pantry Inventory'!F91)</f>
        <v>22</v>
      </c>
      <c r="J295" s="179">
        <f>IF(E295="",0,IFERROR(INDEX('Item Purchases'!$Q$4:$Q$30,MATCH(E295,'Item Purchases'!$B$4:$B$30,0)),0))</f>
        <v>1.616666666666666</v>
      </c>
      <c r="K295" s="180">
        <f t="shared" si="35"/>
        <v>35.566666666666656</v>
      </c>
      <c r="L295" s="178">
        <f t="shared" si="36"/>
        <v>1</v>
      </c>
      <c r="M295" s="178">
        <f>IF(E295="",0,IF(AND(OR(OR(Dashboard!$E$5="All",Dashboard!$E$5=""),AG295=Dashboard!$E$5),OR(OR(Dashboard!$H$5="All",Dashboard!$H$5=""),F295=Dashboard!$H$5),OR(OR(Dashboard!$B$5="All",Dashboard!$B$5=""),C295=Dashboard!$B$5),OR(OR(Dashboard!$K$5="All",Dashboard!$K$5=""),A295=Dashboard!$K$5),OR(OR(Dashboard!$N$5="All",Dashboard!$N$5=""),B295=Dashboard!$N$5),OR(OR(Dashboard!$Q$5="All",Dashboard!$Q$5=""),D295=Dashboard!$Q$5),OR(OR(Dashboard!$U$5="All",Dashboard!$U$5=""),E295=Dashboard!$U$5)),1,0))</f>
        <v>1</v>
      </c>
      <c r="N295" s="178">
        <f>IF(E295="",0,IF(AND(OR(OR(Dashboard!$E$5="All",Dashboard!$E$5=""),AG295=Dashboard!$E$5),OR(OR(Dashboard!$B$5="All",Dashboard!$B$5=""),C295=Dashboard!$B$5),OR(OR(Dashboard!$K$5="All",Dashboard!$K$5=""),A295=Dashboard!$K$5),OR(OR(Dashboard!$N$5="All",Dashboard!$N$5=""),B295=Dashboard!$N$5),OR(OR(Dashboard!$Q$5="All",Dashboard!$Q$5=""),D295=Dashboard!$Q$5),OR(OR(Dashboard!$U$5="All",Dashboard!$U$5=""),E295=Dashboard!$U$5)),1,0))</f>
        <v>1</v>
      </c>
      <c r="O295" s="165">
        <f t="shared" si="37"/>
        <v>484</v>
      </c>
      <c r="AG295" s="178" t="str">
        <f>IF(E295="","",IFERROR(IF(INDEX('Item Purchases'!$AM$4:$AM$30,MATCH(E295,'Item Purchases'!$B$4:$B$30,0))="","Uncategorised",INDEX('Item Purchases'!$AM$4:$AM$30,MATCH(E295,'Item Purchases'!$B$4:$B$30,0))),"Uncategorised"))</f>
        <v>Beverages</v>
      </c>
      <c r="AH295" s="165">
        <f>IF(AND(E295&lt;&gt;"",L295=1),COUNTIFS($E$2:E295,E295,$L$2:L295,1),0)</f>
        <v>11</v>
      </c>
      <c r="AI295" s="165">
        <f t="shared" si="38"/>
        <v>22</v>
      </c>
      <c r="AJ295" s="165">
        <f t="shared" si="39"/>
        <v>1</v>
      </c>
    </row>
    <row r="296" spans="1:36" x14ac:dyDescent="0.25">
      <c r="A296" s="177">
        <f t="shared" si="40"/>
        <v>46280</v>
      </c>
      <c r="B296" s="178" t="str">
        <f t="shared" si="34"/>
        <v>Tue</v>
      </c>
      <c r="C296" s="178" t="str">
        <f>'Pantry Inventory'!$A$65</f>
        <v>Sep Week 3</v>
      </c>
      <c r="D296" s="178" t="str">
        <f>IF('Pantry Inventory'!A92="","",'Pantry Inventory'!A92)</f>
        <v>Oat Side</v>
      </c>
      <c r="E296" s="178" t="str">
        <f>IF('Pantry Inventory'!B92="","",'Pantry Inventory'!B92)</f>
        <v>Oat Side Original 200ml</v>
      </c>
      <c r="F296" s="178" t="str">
        <f>IF(E296="","",IFERROR(IF(INDEX('Item Purchases'!$S$4:$S$30,MATCH(E296,'Item Purchases'!$B$4:$B$30,0))="","Uncategorised",INDEX('Item Purchases'!$S$4:$S$30,MATCH(E296,'Item Purchases'!$B$4:$B$30,0))),"Uncategorised"))</f>
        <v>Other</v>
      </c>
      <c r="G296" s="178">
        <f>IF(E296="",0,'Pantry Inventory'!D92)</f>
        <v>0</v>
      </c>
      <c r="H296" s="178">
        <f>IF(E296="","",IF('Pantry Inventory'!E92="","",'Pantry Inventory'!E92))</f>
        <v>44</v>
      </c>
      <c r="I296" s="178">
        <f>IF(H296="","",'Pantry Inventory'!F92)</f>
        <v>9</v>
      </c>
      <c r="J296" s="179">
        <f>IF(E296="",0,IFERROR(INDEX('Item Purchases'!$Q$4:$Q$30,MATCH(E296,'Item Purchases'!$B$4:$B$30,0)),0))</f>
        <v>3</v>
      </c>
      <c r="K296" s="180">
        <f t="shared" si="35"/>
        <v>27</v>
      </c>
      <c r="L296" s="178">
        <f t="shared" si="36"/>
        <v>1</v>
      </c>
      <c r="M296" s="178">
        <f>IF(E296="",0,IF(AND(OR(OR(Dashboard!$E$5="All",Dashboard!$E$5=""),AG296=Dashboard!$E$5),OR(OR(Dashboard!$H$5="All",Dashboard!$H$5=""),F296=Dashboard!$H$5),OR(OR(Dashboard!$B$5="All",Dashboard!$B$5=""),C296=Dashboard!$B$5),OR(OR(Dashboard!$K$5="All",Dashboard!$K$5=""),A296=Dashboard!$K$5),OR(OR(Dashboard!$N$5="All",Dashboard!$N$5=""),B296=Dashboard!$N$5),OR(OR(Dashboard!$Q$5="All",Dashboard!$Q$5=""),D296=Dashboard!$Q$5),OR(OR(Dashboard!$U$5="All",Dashboard!$U$5=""),E296=Dashboard!$U$5)),1,0))</f>
        <v>1</v>
      </c>
      <c r="N296" s="178">
        <f>IF(E296="",0,IF(AND(OR(OR(Dashboard!$E$5="All",Dashboard!$E$5=""),AG296=Dashboard!$E$5),OR(OR(Dashboard!$B$5="All",Dashboard!$B$5=""),C296=Dashboard!$B$5),OR(OR(Dashboard!$K$5="All",Dashboard!$K$5=""),A296=Dashboard!$K$5),OR(OR(Dashboard!$N$5="All",Dashboard!$N$5=""),B296=Dashboard!$N$5),OR(OR(Dashboard!$Q$5="All",Dashboard!$Q$5=""),D296=Dashboard!$Q$5),OR(OR(Dashboard!$U$5="All",Dashboard!$U$5=""),E296=Dashboard!$U$5)),1,0))</f>
        <v>1</v>
      </c>
      <c r="O296" s="165">
        <f t="shared" si="37"/>
        <v>81</v>
      </c>
      <c r="AG296" s="178" t="str">
        <f>IF(E296="","",IFERROR(IF(INDEX('Item Purchases'!$AM$4:$AM$30,MATCH(E296,'Item Purchases'!$B$4:$B$30,0))="","Uncategorised",INDEX('Item Purchases'!$AM$4:$AM$30,MATCH(E296,'Item Purchases'!$B$4:$B$30,0))),"Uncategorised"))</f>
        <v>Beverages</v>
      </c>
      <c r="AH296" s="165">
        <f>IF(AND(E296&lt;&gt;"",L296=1),COUNTIFS($E$2:E296,E296,$L$2:L296,1),0)</f>
        <v>11</v>
      </c>
      <c r="AI296" s="165">
        <f t="shared" si="38"/>
        <v>9</v>
      </c>
      <c r="AJ296" s="165">
        <f t="shared" si="39"/>
        <v>1</v>
      </c>
    </row>
    <row r="297" spans="1:36" x14ac:dyDescent="0.25">
      <c r="A297" s="177">
        <f t="shared" si="40"/>
        <v>46280</v>
      </c>
      <c r="B297" s="178" t="str">
        <f t="shared" si="34"/>
        <v>Tue</v>
      </c>
      <c r="C297" s="178" t="str">
        <f>'Pantry Inventory'!$A$65</f>
        <v>Sep Week 3</v>
      </c>
      <c r="D297" s="178" t="str">
        <f>IF('Pantry Inventory'!A93="","",'Pantry Inventory'!A93)</f>
        <v>Oat Side</v>
      </c>
      <c r="E297" s="178" t="str">
        <f>IF('Pantry Inventory'!B93="","",'Pantry Inventory'!B93)</f>
        <v>Oat Side Chocolate 200ml</v>
      </c>
      <c r="F297" s="178" t="str">
        <f>IF(E297="","",IFERROR(IF(INDEX('Item Purchases'!$S$4:$S$30,MATCH(E297,'Item Purchases'!$B$4:$B$30,0))="","Uncategorised",INDEX('Item Purchases'!$S$4:$S$30,MATCH(E297,'Item Purchases'!$B$4:$B$30,0))),"Uncategorised"))</f>
        <v>Other</v>
      </c>
      <c r="G297" s="178">
        <f>IF(E297="",0,'Pantry Inventory'!D93)</f>
        <v>0</v>
      </c>
      <c r="H297" s="178">
        <f>IF(E297="","",IF('Pantry Inventory'!E93="","",'Pantry Inventory'!E93))</f>
        <v>37</v>
      </c>
      <c r="I297" s="178">
        <f>IF(H297="","",'Pantry Inventory'!F93)</f>
        <v>23</v>
      </c>
      <c r="J297" s="179">
        <f>IF(E297="",0,IFERROR(INDEX('Item Purchases'!$Q$4:$Q$30,MATCH(E297,'Item Purchases'!$B$4:$B$30,0)),0))</f>
        <v>3</v>
      </c>
      <c r="K297" s="180">
        <f t="shared" si="35"/>
        <v>69</v>
      </c>
      <c r="L297" s="178">
        <f t="shared" si="36"/>
        <v>1</v>
      </c>
      <c r="M297" s="178">
        <f>IF(E297="",0,IF(AND(OR(OR(Dashboard!$E$5="All",Dashboard!$E$5=""),AG297=Dashboard!$E$5),OR(OR(Dashboard!$H$5="All",Dashboard!$H$5=""),F297=Dashboard!$H$5),OR(OR(Dashboard!$B$5="All",Dashboard!$B$5=""),C297=Dashboard!$B$5),OR(OR(Dashboard!$K$5="All",Dashboard!$K$5=""),A297=Dashboard!$K$5),OR(OR(Dashboard!$N$5="All",Dashboard!$N$5=""),B297=Dashboard!$N$5),OR(OR(Dashboard!$Q$5="All",Dashboard!$Q$5=""),D297=Dashboard!$Q$5),OR(OR(Dashboard!$U$5="All",Dashboard!$U$5=""),E297=Dashboard!$U$5)),1,0))</f>
        <v>1</v>
      </c>
      <c r="N297" s="178">
        <f>IF(E297="",0,IF(AND(OR(OR(Dashboard!$E$5="All",Dashboard!$E$5=""),AG297=Dashboard!$E$5),OR(OR(Dashboard!$B$5="All",Dashboard!$B$5=""),C297=Dashboard!$B$5),OR(OR(Dashboard!$K$5="All",Dashboard!$K$5=""),A297=Dashboard!$K$5),OR(OR(Dashboard!$N$5="All",Dashboard!$N$5=""),B297=Dashboard!$N$5),OR(OR(Dashboard!$Q$5="All",Dashboard!$Q$5=""),D297=Dashboard!$Q$5),OR(OR(Dashboard!$U$5="All",Dashboard!$U$5=""),E297=Dashboard!$U$5)),1,0))</f>
        <v>1</v>
      </c>
      <c r="O297" s="165">
        <f t="shared" si="37"/>
        <v>529</v>
      </c>
      <c r="AG297" s="178" t="str">
        <f>IF(E297="","",IFERROR(IF(INDEX('Item Purchases'!$AM$4:$AM$30,MATCH(E297,'Item Purchases'!$B$4:$B$30,0))="","Uncategorised",INDEX('Item Purchases'!$AM$4:$AM$30,MATCH(E297,'Item Purchases'!$B$4:$B$30,0))),"Uncategorised"))</f>
        <v>Beverages</v>
      </c>
      <c r="AH297" s="165">
        <f>IF(AND(E297&lt;&gt;"",L297=1),COUNTIFS($E$2:E297,E297,$L$2:L297,1),0)</f>
        <v>11</v>
      </c>
      <c r="AI297" s="165">
        <f t="shared" si="38"/>
        <v>23</v>
      </c>
      <c r="AJ297" s="165">
        <f t="shared" si="39"/>
        <v>1</v>
      </c>
    </row>
    <row r="298" spans="1:36" x14ac:dyDescent="0.25">
      <c r="A298" s="177">
        <f t="shared" si="40"/>
        <v>46280</v>
      </c>
      <c r="B298" s="178" t="str">
        <f t="shared" si="34"/>
        <v>Tue</v>
      </c>
      <c r="C298" s="178" t="str">
        <f>'Pantry Inventory'!$A$65</f>
        <v>Sep Week 3</v>
      </c>
      <c r="D298" s="178" t="str">
        <f>IF('Pantry Inventory'!A94="","",'Pantry Inventory'!A94)</f>
        <v/>
      </c>
      <c r="E298" s="178" t="str">
        <f>IF('Pantry Inventory'!B94="","",'Pantry Inventory'!B94)</f>
        <v/>
      </c>
      <c r="F298" s="178" t="str">
        <f>IF(E298="","",IFERROR(IF(INDEX('Item Purchases'!$S$4:$S$30,MATCH(E298,'Item Purchases'!$B$4:$B$30,0))="","Uncategorised",INDEX('Item Purchases'!$S$4:$S$30,MATCH(E298,'Item Purchases'!$B$4:$B$30,0))),"Uncategorised"))</f>
        <v/>
      </c>
      <c r="G298" s="178">
        <f>IF(E298="",0,'Pantry Inventory'!D94)</f>
        <v>0</v>
      </c>
      <c r="H298" s="178" t="str">
        <f>IF(E298="","",IF('Pantry Inventory'!E94="","",'Pantry Inventory'!E94))</f>
        <v/>
      </c>
      <c r="I298" s="178" t="str">
        <f>IF(H298="","",'Pantry Inventory'!F94)</f>
        <v/>
      </c>
      <c r="J298" s="179">
        <f>IF(E298="",0,IFERROR(INDEX('Item Purchases'!$Q$4:$Q$30,MATCH(E298,'Item Purchases'!$B$4:$B$30,0)),0))</f>
        <v>0</v>
      </c>
      <c r="K298" s="180" t="str">
        <f t="shared" si="35"/>
        <v/>
      </c>
      <c r="L298" s="178">
        <f t="shared" si="36"/>
        <v>0</v>
      </c>
      <c r="M298" s="178">
        <f>IF(E298="",0,IF(AND(OR(OR(Dashboard!$E$5="All",Dashboard!$E$5=""),AG298=Dashboard!$E$5),OR(OR(Dashboard!$H$5="All",Dashboard!$H$5=""),F298=Dashboard!$H$5),OR(OR(Dashboard!$B$5="All",Dashboard!$B$5=""),C298=Dashboard!$B$5),OR(OR(Dashboard!$K$5="All",Dashboard!$K$5=""),A298=Dashboard!$K$5),OR(OR(Dashboard!$N$5="All",Dashboard!$N$5=""),B298=Dashboard!$N$5),OR(OR(Dashboard!$Q$5="All",Dashboard!$Q$5=""),D298=Dashboard!$Q$5),OR(OR(Dashboard!$U$5="All",Dashboard!$U$5=""),E298=Dashboard!$U$5)),1,0))</f>
        <v>0</v>
      </c>
      <c r="N298" s="178">
        <f>IF(E298="",0,IF(AND(OR(OR(Dashboard!$E$5="All",Dashboard!$E$5=""),AG298=Dashboard!$E$5),OR(OR(Dashboard!$B$5="All",Dashboard!$B$5=""),C298=Dashboard!$B$5),OR(OR(Dashboard!$K$5="All",Dashboard!$K$5=""),A298=Dashboard!$K$5),OR(OR(Dashboard!$N$5="All",Dashboard!$N$5=""),B298=Dashboard!$N$5),OR(OR(Dashboard!$Q$5="All",Dashboard!$Q$5=""),D298=Dashboard!$Q$5),OR(OR(Dashboard!$U$5="All",Dashboard!$U$5=""),E298=Dashboard!$U$5)),1,0))</f>
        <v>0</v>
      </c>
      <c r="O298" s="165">
        <f t="shared" si="37"/>
        <v>0</v>
      </c>
      <c r="AG298" s="178" t="str">
        <f>IF(E298="","",IFERROR(IF(INDEX('Item Purchases'!$AM$4:$AM$30,MATCH(E298,'Item Purchases'!$B$4:$B$30,0))="","Uncategorised",INDEX('Item Purchases'!$AM$4:$AM$30,MATCH(E298,'Item Purchases'!$B$4:$B$30,0))),"Uncategorised"))</f>
        <v/>
      </c>
      <c r="AH298" s="165">
        <f>IF(AND(E298&lt;&gt;"",L298=1),COUNTIFS($E$2:E298,E298,$L$2:L298,1),0)</f>
        <v>0</v>
      </c>
      <c r="AI298" s="165">
        <f t="shared" si="38"/>
        <v>0</v>
      </c>
      <c r="AJ298" s="165">
        <f t="shared" si="39"/>
        <v>0</v>
      </c>
    </row>
    <row r="299" spans="1:36" x14ac:dyDescent="0.25">
      <c r="A299" s="177">
        <f t="shared" ref="A299:A325" si="41">IF($Z$13="",0,$Z$13)</f>
        <v>46281</v>
      </c>
      <c r="B299" s="178" t="str">
        <f t="shared" si="34"/>
        <v>Wed</v>
      </c>
      <c r="C299" s="178" t="str">
        <f>'Pantry Inventory'!$A$65</f>
        <v>Sep Week 3</v>
      </c>
      <c r="D299" s="178" t="str">
        <f>IF('Pantry Inventory'!A68="","",'Pantry Inventory'!A68)</f>
        <v>Julie's</v>
      </c>
      <c r="E299" s="178" t="str">
        <f>IF('Pantry Inventory'!B68="","",'Pantry Inventory'!B68)</f>
        <v>Julie's Peanut Butter Sandwich 360g (12pkts x 30g)</v>
      </c>
      <c r="F299" s="178" t="str">
        <f>IF(E299="","",IFERROR(IF(INDEX('Item Purchases'!$S$4:$S$30,MATCH(E299,'Item Purchases'!$B$4:$B$30,0))="","Uncategorised",INDEX('Item Purchases'!$S$4:$S$30,MATCH(E299,'Item Purchases'!$B$4:$B$30,0))),"Uncategorised"))</f>
        <v>Sweet</v>
      </c>
      <c r="G299" s="178">
        <f>IF(E299="",0,'Pantry Inventory'!G68)</f>
        <v>0</v>
      </c>
      <c r="H299" s="178">
        <f>IF(E299="","",IF('Pantry Inventory'!H68="","",'Pantry Inventory'!H68))</f>
        <v>36</v>
      </c>
      <c r="I299" s="178">
        <f>IF(H299="","",'Pantry Inventory'!I68)</f>
        <v>0</v>
      </c>
      <c r="J299" s="179">
        <f>IF(E299="",0,IFERROR(INDEX('Item Purchases'!$Q$4:$Q$30,MATCH(E299,'Item Purchases'!$B$4:$B$30,0)),0))</f>
        <v>1.083</v>
      </c>
      <c r="K299" s="180">
        <f t="shared" si="35"/>
        <v>0</v>
      </c>
      <c r="L299" s="178">
        <f t="shared" si="36"/>
        <v>1</v>
      </c>
      <c r="M299" s="178">
        <f>IF(E299="",0,IF(AND(OR(OR(Dashboard!$E$5="All",Dashboard!$E$5=""),AG299=Dashboard!$E$5),OR(OR(Dashboard!$H$5="All",Dashboard!$H$5=""),F299=Dashboard!$H$5),OR(OR(Dashboard!$B$5="All",Dashboard!$B$5=""),C299=Dashboard!$B$5),OR(OR(Dashboard!$K$5="All",Dashboard!$K$5=""),A299=Dashboard!$K$5),OR(OR(Dashboard!$N$5="All",Dashboard!$N$5=""),B299=Dashboard!$N$5),OR(OR(Dashboard!$Q$5="All",Dashboard!$Q$5=""),D299=Dashboard!$Q$5),OR(OR(Dashboard!$U$5="All",Dashboard!$U$5=""),E299=Dashboard!$U$5)),1,0))</f>
        <v>1</v>
      </c>
      <c r="N299" s="178">
        <f>IF(E299="",0,IF(AND(OR(OR(Dashboard!$E$5="All",Dashboard!$E$5=""),AG299=Dashboard!$E$5),OR(OR(Dashboard!$B$5="All",Dashboard!$B$5=""),C299=Dashboard!$B$5),OR(OR(Dashboard!$K$5="All",Dashboard!$K$5=""),A299=Dashboard!$K$5),OR(OR(Dashboard!$N$5="All",Dashboard!$N$5=""),B299=Dashboard!$N$5),OR(OR(Dashboard!$Q$5="All",Dashboard!$Q$5=""),D299=Dashboard!$Q$5),OR(OR(Dashboard!$U$5="All",Dashboard!$U$5=""),E299=Dashboard!$U$5)),1,0))</f>
        <v>1</v>
      </c>
      <c r="O299" s="165">
        <f t="shared" si="37"/>
        <v>0</v>
      </c>
      <c r="AG299" s="178" t="str">
        <f>IF(E299="","",IFERROR(IF(INDEX('Item Purchases'!$AM$4:$AM$30,MATCH(E299,'Item Purchases'!$B$4:$B$30,0))="","Uncategorised",INDEX('Item Purchases'!$AM$4:$AM$30,MATCH(E299,'Item Purchases'!$B$4:$B$30,0))),"Uncategorised"))</f>
        <v>Snacks</v>
      </c>
      <c r="AH299" s="165">
        <f>IF(AND(E299&lt;&gt;"",L299=1),COUNTIFS($E$2:E299,E299,$L$2:L299,1),0)</f>
        <v>12</v>
      </c>
      <c r="AI299" s="165">
        <f t="shared" si="38"/>
        <v>0</v>
      </c>
      <c r="AJ299" s="165">
        <f t="shared" si="39"/>
        <v>1</v>
      </c>
    </row>
    <row r="300" spans="1:36" x14ac:dyDescent="0.25">
      <c r="A300" s="177">
        <f t="shared" si="41"/>
        <v>46281</v>
      </c>
      <c r="B300" s="178" t="str">
        <f t="shared" si="34"/>
        <v>Wed</v>
      </c>
      <c r="C300" s="178" t="str">
        <f>'Pantry Inventory'!$A$65</f>
        <v>Sep Week 3</v>
      </c>
      <c r="D300" s="178" t="str">
        <f>IF('Pantry Inventory'!A69="","",'Pantry Inventory'!A69)</f>
        <v>Julie's</v>
      </c>
      <c r="E300" s="178" t="str">
        <f>IF('Pantry Inventory'!B69="","",'Pantry Inventory'!B69)</f>
        <v>Julies Butter Waffles</v>
      </c>
      <c r="F300" s="178" t="str">
        <f>IF(E300="","",IFERROR(IF(INDEX('Item Purchases'!$S$4:$S$30,MATCH(E300,'Item Purchases'!$B$4:$B$30,0))="","Uncategorised",INDEX('Item Purchases'!$S$4:$S$30,MATCH(E300,'Item Purchases'!$B$4:$B$30,0))),"Uncategorised"))</f>
        <v>Sweet</v>
      </c>
      <c r="G300" s="178">
        <f>IF(E300="",0,'Pantry Inventory'!G69)</f>
        <v>0</v>
      </c>
      <c r="H300" s="178">
        <f>IF(E300="","",IF('Pantry Inventory'!H69="","",'Pantry Inventory'!H69))</f>
        <v>12</v>
      </c>
      <c r="I300" s="178">
        <f>IF(H300="","",'Pantry Inventory'!I69)</f>
        <v>0</v>
      </c>
      <c r="J300" s="179">
        <f>IF(E300="",0,IFERROR(INDEX('Item Purchases'!$Q$4:$Q$30,MATCH(E300,'Item Purchases'!$B$4:$B$30,0)),0))</f>
        <v>5.15</v>
      </c>
      <c r="K300" s="180">
        <f t="shared" si="35"/>
        <v>0</v>
      </c>
      <c r="L300" s="178">
        <f t="shared" si="36"/>
        <v>1</v>
      </c>
      <c r="M300" s="178">
        <f>IF(E300="",0,IF(AND(OR(OR(Dashboard!$E$5="All",Dashboard!$E$5=""),AG300=Dashboard!$E$5),OR(OR(Dashboard!$H$5="All",Dashboard!$H$5=""),F300=Dashboard!$H$5),OR(OR(Dashboard!$B$5="All",Dashboard!$B$5=""),C300=Dashboard!$B$5),OR(OR(Dashboard!$K$5="All",Dashboard!$K$5=""),A300=Dashboard!$K$5),OR(OR(Dashboard!$N$5="All",Dashboard!$N$5=""),B300=Dashboard!$N$5),OR(OR(Dashboard!$Q$5="All",Dashboard!$Q$5=""),D300=Dashboard!$Q$5),OR(OR(Dashboard!$U$5="All",Dashboard!$U$5=""),E300=Dashboard!$U$5)),1,0))</f>
        <v>1</v>
      </c>
      <c r="N300" s="178">
        <f>IF(E300="",0,IF(AND(OR(OR(Dashboard!$E$5="All",Dashboard!$E$5=""),AG300=Dashboard!$E$5),OR(OR(Dashboard!$B$5="All",Dashboard!$B$5=""),C300=Dashboard!$B$5),OR(OR(Dashboard!$K$5="All",Dashboard!$K$5=""),A300=Dashboard!$K$5),OR(OR(Dashboard!$N$5="All",Dashboard!$N$5=""),B300=Dashboard!$N$5),OR(OR(Dashboard!$Q$5="All",Dashboard!$Q$5=""),D300=Dashboard!$Q$5),OR(OR(Dashboard!$U$5="All",Dashboard!$U$5=""),E300=Dashboard!$U$5)),1,0))</f>
        <v>1</v>
      </c>
      <c r="O300" s="165">
        <f t="shared" si="37"/>
        <v>0</v>
      </c>
      <c r="AG300" s="178" t="str">
        <f>IF(E300="","",IFERROR(IF(INDEX('Item Purchases'!$AM$4:$AM$30,MATCH(E300,'Item Purchases'!$B$4:$B$30,0))="","Uncategorised",INDEX('Item Purchases'!$AM$4:$AM$30,MATCH(E300,'Item Purchases'!$B$4:$B$30,0))),"Uncategorised"))</f>
        <v>Snacks</v>
      </c>
      <c r="AH300" s="165">
        <f>IF(AND(E300&lt;&gt;"",L300=1),COUNTIFS($E$2:E300,E300,$L$2:L300,1),0)</f>
        <v>12</v>
      </c>
      <c r="AI300" s="165">
        <f t="shared" si="38"/>
        <v>0</v>
      </c>
      <c r="AJ300" s="165">
        <f t="shared" si="39"/>
        <v>1</v>
      </c>
    </row>
    <row r="301" spans="1:36" x14ac:dyDescent="0.25">
      <c r="A301" s="177">
        <f t="shared" si="41"/>
        <v>46281</v>
      </c>
      <c r="B301" s="178" t="str">
        <f t="shared" si="34"/>
        <v>Wed</v>
      </c>
      <c r="C301" s="178" t="str">
        <f>'Pantry Inventory'!$A$65</f>
        <v>Sep Week 3</v>
      </c>
      <c r="D301" s="178" t="str">
        <f>IF('Pantry Inventory'!A70="","",'Pantry Inventory'!A70)</f>
        <v>Julie's</v>
      </c>
      <c r="E301" s="178" t="str">
        <f>IF('Pantry Inventory'!B70="","",'Pantry Inventory'!B70)</f>
        <v>Julies Choco More Sandwich (44G)</v>
      </c>
      <c r="F301" s="178" t="str">
        <f>IF(E301="","",IFERROR(IF(INDEX('Item Purchases'!$S$4:$S$30,MATCH(E301,'Item Purchases'!$B$4:$B$30,0))="","Uncategorised",INDEX('Item Purchases'!$S$4:$S$30,MATCH(E301,'Item Purchases'!$B$4:$B$30,0))),"Uncategorised"))</f>
        <v>Sweet</v>
      </c>
      <c r="G301" s="178">
        <f>IF(E301="",0,'Pantry Inventory'!G70)</f>
        <v>0</v>
      </c>
      <c r="H301" s="178">
        <f>IF(E301="","",IF('Pantry Inventory'!H70="","",'Pantry Inventory'!H70))</f>
        <v>0</v>
      </c>
      <c r="I301" s="178">
        <f>IF(H301="","",'Pantry Inventory'!I70)</f>
        <v>0</v>
      </c>
      <c r="J301" s="179">
        <f>IF(E301="",0,IFERROR(INDEX('Item Purchases'!$Q$4:$Q$30,MATCH(E301,'Item Purchases'!$B$4:$B$30,0)),0))</f>
        <v>1.2</v>
      </c>
      <c r="K301" s="180">
        <f t="shared" si="35"/>
        <v>0</v>
      </c>
      <c r="L301" s="178">
        <f t="shared" si="36"/>
        <v>1</v>
      </c>
      <c r="M301" s="178">
        <f>IF(E301="",0,IF(AND(OR(OR(Dashboard!$E$5="All",Dashboard!$E$5=""),AG301=Dashboard!$E$5),OR(OR(Dashboard!$H$5="All",Dashboard!$H$5=""),F301=Dashboard!$H$5),OR(OR(Dashboard!$B$5="All",Dashboard!$B$5=""),C301=Dashboard!$B$5),OR(OR(Dashboard!$K$5="All",Dashboard!$K$5=""),A301=Dashboard!$K$5),OR(OR(Dashboard!$N$5="All",Dashboard!$N$5=""),B301=Dashboard!$N$5),OR(OR(Dashboard!$Q$5="All",Dashboard!$Q$5=""),D301=Dashboard!$Q$5),OR(OR(Dashboard!$U$5="All",Dashboard!$U$5=""),E301=Dashboard!$U$5)),1,0))</f>
        <v>1</v>
      </c>
      <c r="N301" s="178">
        <f>IF(E301="",0,IF(AND(OR(OR(Dashboard!$E$5="All",Dashboard!$E$5=""),AG301=Dashboard!$E$5),OR(OR(Dashboard!$B$5="All",Dashboard!$B$5=""),C301=Dashboard!$B$5),OR(OR(Dashboard!$K$5="All",Dashboard!$K$5=""),A301=Dashboard!$K$5),OR(OR(Dashboard!$N$5="All",Dashboard!$N$5=""),B301=Dashboard!$N$5),OR(OR(Dashboard!$Q$5="All",Dashboard!$Q$5=""),D301=Dashboard!$Q$5),OR(OR(Dashboard!$U$5="All",Dashboard!$U$5=""),E301=Dashboard!$U$5)),1,0))</f>
        <v>1</v>
      </c>
      <c r="O301" s="165">
        <f t="shared" si="37"/>
        <v>0</v>
      </c>
      <c r="AG301" s="178" t="str">
        <f>IF(E301="","",IFERROR(IF(INDEX('Item Purchases'!$AM$4:$AM$30,MATCH(E301,'Item Purchases'!$B$4:$B$30,0))="","Uncategorised",INDEX('Item Purchases'!$AM$4:$AM$30,MATCH(E301,'Item Purchases'!$B$4:$B$30,0))),"Uncategorised"))</f>
        <v>Snacks</v>
      </c>
      <c r="AH301" s="165">
        <f>IF(AND(E301&lt;&gt;"",L301=1),COUNTIFS($E$2:E301,E301,$L$2:L301,1),0)</f>
        <v>12</v>
      </c>
      <c r="AI301" s="165">
        <f t="shared" si="38"/>
        <v>0</v>
      </c>
      <c r="AJ301" s="165">
        <f t="shared" si="39"/>
        <v>0</v>
      </c>
    </row>
    <row r="302" spans="1:36" x14ac:dyDescent="0.25">
      <c r="A302" s="177">
        <f t="shared" si="41"/>
        <v>46281</v>
      </c>
      <c r="B302" s="178" t="str">
        <f t="shared" si="34"/>
        <v>Wed</v>
      </c>
      <c r="C302" s="178" t="str">
        <f>'Pantry Inventory'!$A$65</f>
        <v>Sep Week 3</v>
      </c>
      <c r="D302" s="178" t="str">
        <f>IF('Pantry Inventory'!A71="","",'Pantry Inventory'!A71)</f>
        <v>Julie's</v>
      </c>
      <c r="E302" s="178" t="str">
        <f>IF('Pantry Inventory'!B71="","",'Pantry Inventory'!B71)</f>
        <v>Julies Cheese Sandwich (28G)</v>
      </c>
      <c r="F302" s="178" t="str">
        <f>IF(E302="","",IFERROR(IF(INDEX('Item Purchases'!$S$4:$S$30,MATCH(E302,'Item Purchases'!$B$4:$B$30,0))="","Uncategorised",INDEX('Item Purchases'!$S$4:$S$30,MATCH(E302,'Item Purchases'!$B$4:$B$30,0))),"Uncategorised"))</f>
        <v>Savoury</v>
      </c>
      <c r="G302" s="178">
        <f>IF(E302="",0,'Pantry Inventory'!G71)</f>
        <v>0</v>
      </c>
      <c r="H302" s="178">
        <f>IF(E302="","",IF('Pantry Inventory'!H71="","",'Pantry Inventory'!H71))</f>
        <v>41</v>
      </c>
      <c r="I302" s="178">
        <f>IF(H302="","",'Pantry Inventory'!I71)</f>
        <v>0</v>
      </c>
      <c r="J302" s="179">
        <f>IF(E302="",0,IFERROR(INDEX('Item Purchases'!$Q$4:$Q$30,MATCH(E302,'Item Purchases'!$B$4:$B$30,0)),0))</f>
        <v>1.1000000000000001</v>
      </c>
      <c r="K302" s="180">
        <f t="shared" si="35"/>
        <v>0</v>
      </c>
      <c r="L302" s="178">
        <f t="shared" si="36"/>
        <v>1</v>
      </c>
      <c r="M302" s="178">
        <f>IF(E302="",0,IF(AND(OR(OR(Dashboard!$E$5="All",Dashboard!$E$5=""),AG302=Dashboard!$E$5),OR(OR(Dashboard!$H$5="All",Dashboard!$H$5=""),F302=Dashboard!$H$5),OR(OR(Dashboard!$B$5="All",Dashboard!$B$5=""),C302=Dashboard!$B$5),OR(OR(Dashboard!$K$5="All",Dashboard!$K$5=""),A302=Dashboard!$K$5),OR(OR(Dashboard!$N$5="All",Dashboard!$N$5=""),B302=Dashboard!$N$5),OR(OR(Dashboard!$Q$5="All",Dashboard!$Q$5=""),D302=Dashboard!$Q$5),OR(OR(Dashboard!$U$5="All",Dashboard!$U$5=""),E302=Dashboard!$U$5)),1,0))</f>
        <v>1</v>
      </c>
      <c r="N302" s="178">
        <f>IF(E302="",0,IF(AND(OR(OR(Dashboard!$E$5="All",Dashboard!$E$5=""),AG302=Dashboard!$E$5),OR(OR(Dashboard!$B$5="All",Dashboard!$B$5=""),C302=Dashboard!$B$5),OR(OR(Dashboard!$K$5="All",Dashboard!$K$5=""),A302=Dashboard!$K$5),OR(OR(Dashboard!$N$5="All",Dashboard!$N$5=""),B302=Dashboard!$N$5),OR(OR(Dashboard!$Q$5="All",Dashboard!$Q$5=""),D302=Dashboard!$Q$5),OR(OR(Dashboard!$U$5="All",Dashboard!$U$5=""),E302=Dashboard!$U$5)),1,0))</f>
        <v>1</v>
      </c>
      <c r="O302" s="165">
        <f t="shared" si="37"/>
        <v>0</v>
      </c>
      <c r="AG302" s="178" t="str">
        <f>IF(E302="","",IFERROR(IF(INDEX('Item Purchases'!$AM$4:$AM$30,MATCH(E302,'Item Purchases'!$B$4:$B$30,0))="","Uncategorised",INDEX('Item Purchases'!$AM$4:$AM$30,MATCH(E302,'Item Purchases'!$B$4:$B$30,0))),"Uncategorised"))</f>
        <v>Snacks</v>
      </c>
      <c r="AH302" s="165">
        <f>IF(AND(E302&lt;&gt;"",L302=1),COUNTIFS($E$2:E302,E302,$L$2:L302,1),0)</f>
        <v>12</v>
      </c>
      <c r="AI302" s="165">
        <f t="shared" si="38"/>
        <v>0</v>
      </c>
      <c r="AJ302" s="165">
        <f t="shared" si="39"/>
        <v>1</v>
      </c>
    </row>
    <row r="303" spans="1:36" x14ac:dyDescent="0.25">
      <c r="A303" s="177">
        <f t="shared" si="41"/>
        <v>46281</v>
      </c>
      <c r="B303" s="178" t="str">
        <f t="shared" si="34"/>
        <v>Wed</v>
      </c>
      <c r="C303" s="178" t="str">
        <f>'Pantry Inventory'!$A$65</f>
        <v>Sep Week 3</v>
      </c>
      <c r="D303" s="178" t="str">
        <f>IF('Pantry Inventory'!A72="","",'Pantry Inventory'!A72)</f>
        <v>Nature Valley</v>
      </c>
      <c r="E303" s="178" t="str">
        <f>IF('Pantry Inventory'!B72="","",'Pantry Inventory'!B72)</f>
        <v>NV OATS &amp; DARK CHOC 42GX5</v>
      </c>
      <c r="F303" s="178" t="str">
        <f>IF(E303="","",IFERROR(IF(INDEX('Item Purchases'!$S$4:$S$30,MATCH(E303,'Item Purchases'!$B$4:$B$30,0))="","Uncategorised",INDEX('Item Purchases'!$S$4:$S$30,MATCH(E303,'Item Purchases'!$B$4:$B$30,0))),"Uncategorised"))</f>
        <v>Sweet</v>
      </c>
      <c r="G303" s="178">
        <f>IF(E303="",0,'Pantry Inventory'!G72)</f>
        <v>0</v>
      </c>
      <c r="H303" s="178">
        <f>IF(E303="","",IF('Pantry Inventory'!H72="","",'Pantry Inventory'!H72))</f>
        <v>0</v>
      </c>
      <c r="I303" s="178">
        <f>IF(H303="","",'Pantry Inventory'!I72)</f>
        <v>0</v>
      </c>
      <c r="J303" s="179">
        <f>IF(E303="",0,IFERROR(INDEX('Item Purchases'!$Q$4:$Q$30,MATCH(E303,'Item Purchases'!$B$4:$B$30,0)),0))</f>
        <v>2.78</v>
      </c>
      <c r="K303" s="180">
        <f t="shared" si="35"/>
        <v>0</v>
      </c>
      <c r="L303" s="178">
        <f t="shared" si="36"/>
        <v>1</v>
      </c>
      <c r="M303" s="178">
        <f>IF(E303="",0,IF(AND(OR(OR(Dashboard!$E$5="All",Dashboard!$E$5=""),AG303=Dashboard!$E$5),OR(OR(Dashboard!$H$5="All",Dashboard!$H$5=""),F303=Dashboard!$H$5),OR(OR(Dashboard!$B$5="All",Dashboard!$B$5=""),C303=Dashboard!$B$5),OR(OR(Dashboard!$K$5="All",Dashboard!$K$5=""),A303=Dashboard!$K$5),OR(OR(Dashboard!$N$5="All",Dashboard!$N$5=""),B303=Dashboard!$N$5),OR(OR(Dashboard!$Q$5="All",Dashboard!$Q$5=""),D303=Dashboard!$Q$5),OR(OR(Dashboard!$U$5="All",Dashboard!$U$5=""),E303=Dashboard!$U$5)),1,0))</f>
        <v>1</v>
      </c>
      <c r="N303" s="178">
        <f>IF(E303="",0,IF(AND(OR(OR(Dashboard!$E$5="All",Dashboard!$E$5=""),AG303=Dashboard!$E$5),OR(OR(Dashboard!$B$5="All",Dashboard!$B$5=""),C303=Dashboard!$B$5),OR(OR(Dashboard!$K$5="All",Dashboard!$K$5=""),A303=Dashboard!$K$5),OR(OR(Dashboard!$N$5="All",Dashboard!$N$5=""),B303=Dashboard!$N$5),OR(OR(Dashboard!$Q$5="All",Dashboard!$Q$5=""),D303=Dashboard!$Q$5),OR(OR(Dashboard!$U$5="All",Dashboard!$U$5=""),E303=Dashboard!$U$5)),1,0))</f>
        <v>1</v>
      </c>
      <c r="O303" s="165">
        <f t="shared" si="37"/>
        <v>0</v>
      </c>
      <c r="AG303" s="178" t="str">
        <f>IF(E303="","",IFERROR(IF(INDEX('Item Purchases'!$AM$4:$AM$30,MATCH(E303,'Item Purchases'!$B$4:$B$30,0))="","Uncategorised",INDEX('Item Purchases'!$AM$4:$AM$30,MATCH(E303,'Item Purchases'!$B$4:$B$30,0))),"Uncategorised"))</f>
        <v>Snacks</v>
      </c>
      <c r="AH303" s="165">
        <f>IF(AND(E303&lt;&gt;"",L303=1),COUNTIFS($E$2:E303,E303,$L$2:L303,1),0)</f>
        <v>12</v>
      </c>
      <c r="AI303" s="165">
        <f t="shared" si="38"/>
        <v>0</v>
      </c>
      <c r="AJ303" s="165">
        <f t="shared" si="39"/>
        <v>0</v>
      </c>
    </row>
    <row r="304" spans="1:36" x14ac:dyDescent="0.25">
      <c r="A304" s="177">
        <f t="shared" si="41"/>
        <v>46281</v>
      </c>
      <c r="B304" s="178" t="str">
        <f t="shared" si="34"/>
        <v>Wed</v>
      </c>
      <c r="C304" s="178" t="str">
        <f>'Pantry Inventory'!$A$65</f>
        <v>Sep Week 3</v>
      </c>
      <c r="D304" s="178" t="str">
        <f>IF('Pantry Inventory'!A73="","",'Pantry Inventory'!A73)</f>
        <v>Nature Valley</v>
      </c>
      <c r="E304" s="178" t="str">
        <f>IF('Pantry Inventory'!B73="","",'Pantry Inventory'!B73)</f>
        <v xml:space="preserve">NV PROTEIN - SALTED CARAMEL 40G </v>
      </c>
      <c r="F304" s="178" t="str">
        <f>IF(E304="","",IFERROR(IF(INDEX('Item Purchases'!$S$4:$S$30,MATCH(E304,'Item Purchases'!$B$4:$B$30,0))="","Uncategorised",INDEX('Item Purchases'!$S$4:$S$30,MATCH(E304,'Item Purchases'!$B$4:$B$30,0))),"Uncategorised"))</f>
        <v>Sweet</v>
      </c>
      <c r="G304" s="178">
        <f>IF(E304="",0,'Pantry Inventory'!G73)</f>
        <v>0</v>
      </c>
      <c r="H304" s="178">
        <f>IF(E304="","",IF('Pantry Inventory'!H73="","",'Pantry Inventory'!H73))</f>
        <v>0</v>
      </c>
      <c r="I304" s="178">
        <f>IF(H304="","",'Pantry Inventory'!I73)</f>
        <v>0</v>
      </c>
      <c r="J304" s="179">
        <f>IF(E304="",0,IFERROR(INDEX('Item Purchases'!$Q$4:$Q$30,MATCH(E304,'Item Purchases'!$B$4:$B$30,0)),0))</f>
        <v>4.9000000000000004</v>
      </c>
      <c r="K304" s="180">
        <f t="shared" si="35"/>
        <v>0</v>
      </c>
      <c r="L304" s="178">
        <f t="shared" si="36"/>
        <v>1</v>
      </c>
      <c r="M304" s="178">
        <f>IF(E304="",0,IF(AND(OR(OR(Dashboard!$E$5="All",Dashboard!$E$5=""),AG304=Dashboard!$E$5),OR(OR(Dashboard!$H$5="All",Dashboard!$H$5=""),F304=Dashboard!$H$5),OR(OR(Dashboard!$B$5="All",Dashboard!$B$5=""),C304=Dashboard!$B$5),OR(OR(Dashboard!$K$5="All",Dashboard!$K$5=""),A304=Dashboard!$K$5),OR(OR(Dashboard!$N$5="All",Dashboard!$N$5=""),B304=Dashboard!$N$5),OR(OR(Dashboard!$Q$5="All",Dashboard!$Q$5=""),D304=Dashboard!$Q$5),OR(OR(Dashboard!$U$5="All",Dashboard!$U$5=""),E304=Dashboard!$U$5)),1,0))</f>
        <v>1</v>
      </c>
      <c r="N304" s="178">
        <f>IF(E304="",0,IF(AND(OR(OR(Dashboard!$E$5="All",Dashboard!$E$5=""),AG304=Dashboard!$E$5),OR(OR(Dashboard!$B$5="All",Dashboard!$B$5=""),C304=Dashboard!$B$5),OR(OR(Dashboard!$K$5="All",Dashboard!$K$5=""),A304=Dashboard!$K$5),OR(OR(Dashboard!$N$5="All",Dashboard!$N$5=""),B304=Dashboard!$N$5),OR(OR(Dashboard!$Q$5="All",Dashboard!$Q$5=""),D304=Dashboard!$Q$5),OR(OR(Dashboard!$U$5="All",Dashboard!$U$5=""),E304=Dashboard!$U$5)),1,0))</f>
        <v>1</v>
      </c>
      <c r="O304" s="165">
        <f t="shared" si="37"/>
        <v>0</v>
      </c>
      <c r="AG304" s="178" t="str">
        <f>IF(E304="","",IFERROR(IF(INDEX('Item Purchases'!$AM$4:$AM$30,MATCH(E304,'Item Purchases'!$B$4:$B$30,0))="","Uncategorised",INDEX('Item Purchases'!$AM$4:$AM$30,MATCH(E304,'Item Purchases'!$B$4:$B$30,0))),"Uncategorised"))</f>
        <v>Snacks</v>
      </c>
      <c r="AH304" s="165">
        <f>IF(AND(E304&lt;&gt;"",L304=1),COUNTIFS($E$2:E304,E304,$L$2:L304,1),0)</f>
        <v>12</v>
      </c>
      <c r="AI304" s="165">
        <f t="shared" si="38"/>
        <v>0</v>
      </c>
      <c r="AJ304" s="165">
        <f t="shared" si="39"/>
        <v>0</v>
      </c>
    </row>
    <row r="305" spans="1:36" x14ac:dyDescent="0.25">
      <c r="A305" s="177">
        <f t="shared" si="41"/>
        <v>46281</v>
      </c>
      <c r="B305" s="178" t="str">
        <f t="shared" si="34"/>
        <v>Wed</v>
      </c>
      <c r="C305" s="178" t="str">
        <f>'Pantry Inventory'!$A$65</f>
        <v>Sep Week 3</v>
      </c>
      <c r="D305" s="178" t="str">
        <f>IF('Pantry Inventory'!A74="","",'Pantry Inventory'!A74)</f>
        <v>BBMG</v>
      </c>
      <c r="E305" s="178" t="str">
        <f>IF('Pantry Inventory'!B74="","",'Pantry Inventory'!B74)</f>
        <v>BBMG 90G</v>
      </c>
      <c r="F305" s="178" t="str">
        <f>IF(E305="","",IFERROR(IF(INDEX('Item Purchases'!$S$4:$S$30,MATCH(E305,'Item Purchases'!$B$4:$B$30,0))="","Uncategorised",INDEX('Item Purchases'!$S$4:$S$30,MATCH(E305,'Item Purchases'!$B$4:$B$30,0))),"Uncategorised"))</f>
        <v>Savoury</v>
      </c>
      <c r="G305" s="178">
        <f>IF(E305="",0,'Pantry Inventory'!G74)</f>
        <v>0</v>
      </c>
      <c r="H305" s="178">
        <f>IF(E305="","",IF('Pantry Inventory'!H74="","",'Pantry Inventory'!H74))</f>
        <v>0</v>
      </c>
      <c r="I305" s="178">
        <f>IF(H305="","",'Pantry Inventory'!I74)</f>
        <v>0</v>
      </c>
      <c r="J305" s="179">
        <f>IF(E305="",0,IFERROR(INDEX('Item Purchases'!$Q$4:$Q$30,MATCH(E305,'Item Purchases'!$B$4:$B$30,0)),0))</f>
        <v>0.34300000000000003</v>
      </c>
      <c r="K305" s="180">
        <f t="shared" si="35"/>
        <v>0</v>
      </c>
      <c r="L305" s="178">
        <f t="shared" si="36"/>
        <v>1</v>
      </c>
      <c r="M305" s="178">
        <f>IF(E305="",0,IF(AND(OR(OR(Dashboard!$E$5="All",Dashboard!$E$5=""),AG305=Dashboard!$E$5),OR(OR(Dashboard!$H$5="All",Dashboard!$H$5=""),F305=Dashboard!$H$5),OR(OR(Dashboard!$B$5="All",Dashboard!$B$5=""),C305=Dashboard!$B$5),OR(OR(Dashboard!$K$5="All",Dashboard!$K$5=""),A305=Dashboard!$K$5),OR(OR(Dashboard!$N$5="All",Dashboard!$N$5=""),B305=Dashboard!$N$5),OR(OR(Dashboard!$Q$5="All",Dashboard!$Q$5=""),D305=Dashboard!$Q$5),OR(OR(Dashboard!$U$5="All",Dashboard!$U$5=""),E305=Dashboard!$U$5)),1,0))</f>
        <v>1</v>
      </c>
      <c r="N305" s="178">
        <f>IF(E305="",0,IF(AND(OR(OR(Dashboard!$E$5="All",Dashboard!$E$5=""),AG305=Dashboard!$E$5),OR(OR(Dashboard!$B$5="All",Dashboard!$B$5=""),C305=Dashboard!$B$5),OR(OR(Dashboard!$K$5="All",Dashboard!$K$5=""),A305=Dashboard!$K$5),OR(OR(Dashboard!$N$5="All",Dashboard!$N$5=""),B305=Dashboard!$N$5),OR(OR(Dashboard!$Q$5="All",Dashboard!$Q$5=""),D305=Dashboard!$Q$5),OR(OR(Dashboard!$U$5="All",Dashboard!$U$5=""),E305=Dashboard!$U$5)),1,0))</f>
        <v>1</v>
      </c>
      <c r="O305" s="165">
        <f t="shared" si="37"/>
        <v>0</v>
      </c>
      <c r="AG305" s="178" t="str">
        <f>IF(E305="","",IFERROR(IF(INDEX('Item Purchases'!$AM$4:$AM$30,MATCH(E305,'Item Purchases'!$B$4:$B$30,0))="","Uncategorised",INDEX('Item Purchases'!$AM$4:$AM$30,MATCH(E305,'Item Purchases'!$B$4:$B$30,0))),"Uncategorised"))</f>
        <v>Snacks</v>
      </c>
      <c r="AH305" s="165">
        <f>IF(AND(E305&lt;&gt;"",L305=1),COUNTIFS($E$2:E305,E305,$L$2:L305,1),0)</f>
        <v>12</v>
      </c>
      <c r="AI305" s="165">
        <f t="shared" si="38"/>
        <v>0</v>
      </c>
      <c r="AJ305" s="165">
        <f t="shared" si="39"/>
        <v>0</v>
      </c>
    </row>
    <row r="306" spans="1:36" x14ac:dyDescent="0.25">
      <c r="A306" s="177">
        <f t="shared" si="41"/>
        <v>46281</v>
      </c>
      <c r="B306" s="178" t="str">
        <f t="shared" si="34"/>
        <v>Wed</v>
      </c>
      <c r="C306" s="178" t="str">
        <f>'Pantry Inventory'!$A$65</f>
        <v>Sep Week 3</v>
      </c>
      <c r="D306" s="178" t="str">
        <f>IF('Pantry Inventory'!A75="","",'Pantry Inventory'!A75)</f>
        <v>Lays</v>
      </c>
      <c r="E306" s="178" t="str">
        <f>IF('Pantry Inventory'!B75="","",'Pantry Inventory'!B75)</f>
        <v>Lays Potato Chips (Original) 50g</v>
      </c>
      <c r="F306" s="178" t="str">
        <f>IF(E306="","",IFERROR(IF(INDEX('Item Purchases'!$S$4:$S$30,MATCH(E306,'Item Purchases'!$B$4:$B$30,0))="","Uncategorised",INDEX('Item Purchases'!$S$4:$S$30,MATCH(E306,'Item Purchases'!$B$4:$B$30,0))),"Uncategorised"))</f>
        <v>Savoury</v>
      </c>
      <c r="G306" s="178">
        <f>IF(E306="",0,'Pantry Inventory'!G75)</f>
        <v>0</v>
      </c>
      <c r="H306" s="178">
        <f>IF(E306="","",IF('Pantry Inventory'!H75="","",'Pantry Inventory'!H75))</f>
        <v>39</v>
      </c>
      <c r="I306" s="178">
        <f>IF(H306="","",'Pantry Inventory'!I75)</f>
        <v>0</v>
      </c>
      <c r="J306" s="179">
        <f>IF(E306="",0,IFERROR(INDEX('Item Purchases'!$Q$4:$Q$30,MATCH(E306,'Item Purchases'!$B$4:$B$30,0)),0))</f>
        <v>3.4580000000000002</v>
      </c>
      <c r="K306" s="180">
        <f t="shared" si="35"/>
        <v>0</v>
      </c>
      <c r="L306" s="178">
        <f t="shared" si="36"/>
        <v>1</v>
      </c>
      <c r="M306" s="178">
        <f>IF(E306="",0,IF(AND(OR(OR(Dashboard!$E$5="All",Dashboard!$E$5=""),AG306=Dashboard!$E$5),OR(OR(Dashboard!$H$5="All",Dashboard!$H$5=""),F306=Dashboard!$H$5),OR(OR(Dashboard!$B$5="All",Dashboard!$B$5=""),C306=Dashboard!$B$5),OR(OR(Dashboard!$K$5="All",Dashboard!$K$5=""),A306=Dashboard!$K$5),OR(OR(Dashboard!$N$5="All",Dashboard!$N$5=""),B306=Dashboard!$N$5),OR(OR(Dashboard!$Q$5="All",Dashboard!$Q$5=""),D306=Dashboard!$Q$5),OR(OR(Dashboard!$U$5="All",Dashboard!$U$5=""),E306=Dashboard!$U$5)),1,0))</f>
        <v>1</v>
      </c>
      <c r="N306" s="178">
        <f>IF(E306="",0,IF(AND(OR(OR(Dashboard!$E$5="All",Dashboard!$E$5=""),AG306=Dashboard!$E$5),OR(OR(Dashboard!$B$5="All",Dashboard!$B$5=""),C306=Dashboard!$B$5),OR(OR(Dashboard!$K$5="All",Dashboard!$K$5=""),A306=Dashboard!$K$5),OR(OR(Dashboard!$N$5="All",Dashboard!$N$5=""),B306=Dashboard!$N$5),OR(OR(Dashboard!$Q$5="All",Dashboard!$Q$5=""),D306=Dashboard!$Q$5),OR(OR(Dashboard!$U$5="All",Dashboard!$U$5=""),E306=Dashboard!$U$5)),1,0))</f>
        <v>1</v>
      </c>
      <c r="O306" s="165">
        <f t="shared" si="37"/>
        <v>0</v>
      </c>
      <c r="AG306" s="178" t="str">
        <f>IF(E306="","",IFERROR(IF(INDEX('Item Purchases'!$AM$4:$AM$30,MATCH(E306,'Item Purchases'!$B$4:$B$30,0))="","Uncategorised",INDEX('Item Purchases'!$AM$4:$AM$30,MATCH(E306,'Item Purchases'!$B$4:$B$30,0))),"Uncategorised"))</f>
        <v>Snacks</v>
      </c>
      <c r="AH306" s="165">
        <f>IF(AND(E306&lt;&gt;"",L306=1),COUNTIFS($E$2:E306,E306,$L$2:L306,1),0)</f>
        <v>12</v>
      </c>
      <c r="AI306" s="165">
        <f t="shared" si="38"/>
        <v>0</v>
      </c>
      <c r="AJ306" s="165">
        <f t="shared" si="39"/>
        <v>1</v>
      </c>
    </row>
    <row r="307" spans="1:36" x14ac:dyDescent="0.25">
      <c r="A307" s="177">
        <f t="shared" si="41"/>
        <v>46281</v>
      </c>
      <c r="B307" s="178" t="str">
        <f t="shared" si="34"/>
        <v>Wed</v>
      </c>
      <c r="C307" s="178" t="str">
        <f>'Pantry Inventory'!$A$65</f>
        <v>Sep Week 3</v>
      </c>
      <c r="D307" s="178" t="str">
        <f>IF('Pantry Inventory'!A76="","",'Pantry Inventory'!A76)</f>
        <v>Lays</v>
      </c>
      <c r="E307" s="178" t="str">
        <f>IF('Pantry Inventory'!B76="","",'Pantry Inventory'!B76)</f>
        <v xml:space="preserve">Lays Double Crunch - Seaweed Flav (50g) </v>
      </c>
      <c r="F307" s="178" t="str">
        <f>IF(E307="","",IFERROR(IF(INDEX('Item Purchases'!$S$4:$S$30,MATCH(E307,'Item Purchases'!$B$4:$B$30,0))="","Uncategorised",INDEX('Item Purchases'!$S$4:$S$30,MATCH(E307,'Item Purchases'!$B$4:$B$30,0))),"Uncategorised"))</f>
        <v>Savoury</v>
      </c>
      <c r="G307" s="178">
        <f>IF(E307="",0,'Pantry Inventory'!G76)</f>
        <v>0</v>
      </c>
      <c r="H307" s="178">
        <f>IF(E307="","",IF('Pantry Inventory'!H76="","",'Pantry Inventory'!H76))</f>
        <v>22</v>
      </c>
      <c r="I307" s="178">
        <f>IF(H307="","",'Pantry Inventory'!I76)</f>
        <v>0</v>
      </c>
      <c r="J307" s="179">
        <f>IF(E307="",0,IFERROR(INDEX('Item Purchases'!$Q$4:$Q$30,MATCH(E307,'Item Purchases'!$B$4:$B$30,0)),0))</f>
        <v>4</v>
      </c>
      <c r="K307" s="180">
        <f t="shared" si="35"/>
        <v>0</v>
      </c>
      <c r="L307" s="178">
        <f t="shared" si="36"/>
        <v>1</v>
      </c>
      <c r="M307" s="178">
        <f>IF(E307="",0,IF(AND(OR(OR(Dashboard!$E$5="All",Dashboard!$E$5=""),AG307=Dashboard!$E$5),OR(OR(Dashboard!$H$5="All",Dashboard!$H$5=""),F307=Dashboard!$H$5),OR(OR(Dashboard!$B$5="All",Dashboard!$B$5=""),C307=Dashboard!$B$5),OR(OR(Dashboard!$K$5="All",Dashboard!$K$5=""),A307=Dashboard!$K$5),OR(OR(Dashboard!$N$5="All",Dashboard!$N$5=""),B307=Dashboard!$N$5),OR(OR(Dashboard!$Q$5="All",Dashboard!$Q$5=""),D307=Dashboard!$Q$5),OR(OR(Dashboard!$U$5="All",Dashboard!$U$5=""),E307=Dashboard!$U$5)),1,0))</f>
        <v>1</v>
      </c>
      <c r="N307" s="178">
        <f>IF(E307="",0,IF(AND(OR(OR(Dashboard!$E$5="All",Dashboard!$E$5=""),AG307=Dashboard!$E$5),OR(OR(Dashboard!$B$5="All",Dashboard!$B$5=""),C307=Dashboard!$B$5),OR(OR(Dashboard!$K$5="All",Dashboard!$K$5=""),A307=Dashboard!$K$5),OR(OR(Dashboard!$N$5="All",Dashboard!$N$5=""),B307=Dashboard!$N$5),OR(OR(Dashboard!$Q$5="All",Dashboard!$Q$5=""),D307=Dashboard!$Q$5),OR(OR(Dashboard!$U$5="All",Dashboard!$U$5=""),E307=Dashboard!$U$5)),1,0))</f>
        <v>1</v>
      </c>
      <c r="O307" s="165">
        <f t="shared" si="37"/>
        <v>0</v>
      </c>
      <c r="AG307" s="178" t="str">
        <f>IF(E307="","",IFERROR(IF(INDEX('Item Purchases'!$AM$4:$AM$30,MATCH(E307,'Item Purchases'!$B$4:$B$30,0))="","Uncategorised",INDEX('Item Purchases'!$AM$4:$AM$30,MATCH(E307,'Item Purchases'!$B$4:$B$30,0))),"Uncategorised"))</f>
        <v>Snacks</v>
      </c>
      <c r="AH307" s="165">
        <f>IF(AND(E307&lt;&gt;"",L307=1),COUNTIFS($E$2:E307,E307,$L$2:L307,1),0)</f>
        <v>12</v>
      </c>
      <c r="AI307" s="165">
        <f t="shared" si="38"/>
        <v>0</v>
      </c>
      <c r="AJ307" s="165">
        <f t="shared" si="39"/>
        <v>1</v>
      </c>
    </row>
    <row r="308" spans="1:36" x14ac:dyDescent="0.25">
      <c r="A308" s="177">
        <f t="shared" si="41"/>
        <v>46281</v>
      </c>
      <c r="B308" s="178" t="str">
        <f t="shared" si="34"/>
        <v>Wed</v>
      </c>
      <c r="C308" s="178" t="str">
        <f>'Pantry Inventory'!$A$65</f>
        <v>Sep Week 3</v>
      </c>
      <c r="D308" s="178" t="str">
        <f>IF('Pantry Inventory'!A77="","",'Pantry Inventory'!A77)</f>
        <v>Munchy</v>
      </c>
      <c r="E308" s="178" t="str">
        <f>IF('Pantry Inventory'!B77="","",'Pantry Inventory'!B77)</f>
        <v>Munchy Oat Krunch - Dark Choco</v>
      </c>
      <c r="F308" s="178" t="str">
        <f>IF(E308="","",IFERROR(IF(INDEX('Item Purchases'!$S$4:$S$30,MATCH(E308,'Item Purchases'!$B$4:$B$30,0))="","Uncategorised",INDEX('Item Purchases'!$S$4:$S$30,MATCH(E308,'Item Purchases'!$B$4:$B$30,0))),"Uncategorised"))</f>
        <v>Sweet</v>
      </c>
      <c r="G308" s="178">
        <f>IF(E308="",0,'Pantry Inventory'!G77)</f>
        <v>0</v>
      </c>
      <c r="H308" s="178">
        <f>IF(E308="","",IF('Pantry Inventory'!H77="","",'Pantry Inventory'!H77))</f>
        <v>0</v>
      </c>
      <c r="I308" s="178">
        <f>IF(H308="","",'Pantry Inventory'!I77)</f>
        <v>0</v>
      </c>
      <c r="J308" s="179">
        <f>IF(E308="",0,IFERROR(INDEX('Item Purchases'!$Q$4:$Q$30,MATCH(E308,'Item Purchases'!$B$4:$B$30,0)),0))</f>
        <v>0.73</v>
      </c>
      <c r="K308" s="180">
        <f t="shared" si="35"/>
        <v>0</v>
      </c>
      <c r="L308" s="178">
        <f t="shared" si="36"/>
        <v>1</v>
      </c>
      <c r="M308" s="178">
        <f>IF(E308="",0,IF(AND(OR(OR(Dashboard!$E$5="All",Dashboard!$E$5=""),AG308=Dashboard!$E$5),OR(OR(Dashboard!$H$5="All",Dashboard!$H$5=""),F308=Dashboard!$H$5),OR(OR(Dashboard!$B$5="All",Dashboard!$B$5=""),C308=Dashboard!$B$5),OR(OR(Dashboard!$K$5="All",Dashboard!$K$5=""),A308=Dashboard!$K$5),OR(OR(Dashboard!$N$5="All",Dashboard!$N$5=""),B308=Dashboard!$N$5),OR(OR(Dashboard!$Q$5="All",Dashboard!$Q$5=""),D308=Dashboard!$Q$5),OR(OR(Dashboard!$U$5="All",Dashboard!$U$5=""),E308=Dashboard!$U$5)),1,0))</f>
        <v>1</v>
      </c>
      <c r="N308" s="178">
        <f>IF(E308="",0,IF(AND(OR(OR(Dashboard!$E$5="All",Dashboard!$E$5=""),AG308=Dashboard!$E$5),OR(OR(Dashboard!$B$5="All",Dashboard!$B$5=""),C308=Dashboard!$B$5),OR(OR(Dashboard!$K$5="All",Dashboard!$K$5=""),A308=Dashboard!$K$5),OR(OR(Dashboard!$N$5="All",Dashboard!$N$5=""),B308=Dashboard!$N$5),OR(OR(Dashboard!$Q$5="All",Dashboard!$Q$5=""),D308=Dashboard!$Q$5),OR(OR(Dashboard!$U$5="All",Dashboard!$U$5=""),E308=Dashboard!$U$5)),1,0))</f>
        <v>1</v>
      </c>
      <c r="O308" s="165">
        <f t="shared" si="37"/>
        <v>0</v>
      </c>
      <c r="AG308" s="178" t="str">
        <f>IF(E308="","",IFERROR(IF(INDEX('Item Purchases'!$AM$4:$AM$30,MATCH(E308,'Item Purchases'!$B$4:$B$30,0))="","Uncategorised",INDEX('Item Purchases'!$AM$4:$AM$30,MATCH(E308,'Item Purchases'!$B$4:$B$30,0))),"Uncategorised"))</f>
        <v>Snacks</v>
      </c>
      <c r="AH308" s="165">
        <f>IF(AND(E308&lt;&gt;"",L308=1),COUNTIFS($E$2:E308,E308,$L$2:L308,1),0)</f>
        <v>12</v>
      </c>
      <c r="AI308" s="165">
        <f t="shared" si="38"/>
        <v>0</v>
      </c>
      <c r="AJ308" s="165">
        <f t="shared" si="39"/>
        <v>0</v>
      </c>
    </row>
    <row r="309" spans="1:36" x14ac:dyDescent="0.25">
      <c r="A309" s="177">
        <f t="shared" si="41"/>
        <v>46281</v>
      </c>
      <c r="B309" s="178" t="str">
        <f t="shared" si="34"/>
        <v>Wed</v>
      </c>
      <c r="C309" s="178" t="str">
        <f>'Pantry Inventory'!$A$65</f>
        <v>Sep Week 3</v>
      </c>
      <c r="D309" s="178" t="str">
        <f>IF('Pantry Inventory'!A78="","",'Pantry Inventory'!A78)</f>
        <v>Munchy</v>
      </c>
      <c r="E309" s="178" t="str">
        <f>IF('Pantry Inventory'!B78="","",'Pantry Inventory'!B78)</f>
        <v>Munchy Oat Krunch - Strawberry &amp; Blackcurrant</v>
      </c>
      <c r="F309" s="178" t="str">
        <f>IF(E309="","",IFERROR(IF(INDEX('Item Purchases'!$S$4:$S$30,MATCH(E309,'Item Purchases'!$B$4:$B$30,0))="","Uncategorised",INDEX('Item Purchases'!$S$4:$S$30,MATCH(E309,'Item Purchases'!$B$4:$B$30,0))),"Uncategorised"))</f>
        <v>Sweet</v>
      </c>
      <c r="G309" s="178">
        <f>IF(E309="",0,'Pantry Inventory'!G78)</f>
        <v>0</v>
      </c>
      <c r="H309" s="178">
        <f>IF(E309="","",IF('Pantry Inventory'!H78="","",'Pantry Inventory'!H78))</f>
        <v>44</v>
      </c>
      <c r="I309" s="178">
        <f>IF(H309="","",'Pantry Inventory'!I78)</f>
        <v>0</v>
      </c>
      <c r="J309" s="179">
        <f>IF(E309="",0,IFERROR(INDEX('Item Purchases'!$Q$4:$Q$30,MATCH(E309,'Item Purchases'!$B$4:$B$30,0)),0))</f>
        <v>0.73</v>
      </c>
      <c r="K309" s="180">
        <f t="shared" si="35"/>
        <v>0</v>
      </c>
      <c r="L309" s="178">
        <f t="shared" si="36"/>
        <v>1</v>
      </c>
      <c r="M309" s="178">
        <f>IF(E309="",0,IF(AND(OR(OR(Dashboard!$E$5="All",Dashboard!$E$5=""),AG309=Dashboard!$E$5),OR(OR(Dashboard!$H$5="All",Dashboard!$H$5=""),F309=Dashboard!$H$5),OR(OR(Dashboard!$B$5="All",Dashboard!$B$5=""),C309=Dashboard!$B$5),OR(OR(Dashboard!$K$5="All",Dashboard!$K$5=""),A309=Dashboard!$K$5),OR(OR(Dashboard!$N$5="All",Dashboard!$N$5=""),B309=Dashboard!$N$5),OR(OR(Dashboard!$Q$5="All",Dashboard!$Q$5=""),D309=Dashboard!$Q$5),OR(OR(Dashboard!$U$5="All",Dashboard!$U$5=""),E309=Dashboard!$U$5)),1,0))</f>
        <v>1</v>
      </c>
      <c r="N309" s="178">
        <f>IF(E309="",0,IF(AND(OR(OR(Dashboard!$E$5="All",Dashboard!$E$5=""),AG309=Dashboard!$E$5),OR(OR(Dashboard!$B$5="All",Dashboard!$B$5=""),C309=Dashboard!$B$5),OR(OR(Dashboard!$K$5="All",Dashboard!$K$5=""),A309=Dashboard!$K$5),OR(OR(Dashboard!$N$5="All",Dashboard!$N$5=""),B309=Dashboard!$N$5),OR(OR(Dashboard!$Q$5="All",Dashboard!$Q$5=""),D309=Dashboard!$Q$5),OR(OR(Dashboard!$U$5="All",Dashboard!$U$5=""),E309=Dashboard!$U$5)),1,0))</f>
        <v>1</v>
      </c>
      <c r="O309" s="165">
        <f t="shared" si="37"/>
        <v>0</v>
      </c>
      <c r="AG309" s="178" t="str">
        <f>IF(E309="","",IFERROR(IF(INDEX('Item Purchases'!$AM$4:$AM$30,MATCH(E309,'Item Purchases'!$B$4:$B$30,0))="","Uncategorised",INDEX('Item Purchases'!$AM$4:$AM$30,MATCH(E309,'Item Purchases'!$B$4:$B$30,0))),"Uncategorised"))</f>
        <v>Snacks</v>
      </c>
      <c r="AH309" s="165">
        <f>IF(AND(E309&lt;&gt;"",L309=1),COUNTIFS($E$2:E309,E309,$L$2:L309,1),0)</f>
        <v>12</v>
      </c>
      <c r="AI309" s="165">
        <f t="shared" si="38"/>
        <v>0</v>
      </c>
      <c r="AJ309" s="165">
        <f t="shared" si="39"/>
        <v>1</v>
      </c>
    </row>
    <row r="310" spans="1:36" x14ac:dyDescent="0.25">
      <c r="A310" s="177">
        <f t="shared" si="41"/>
        <v>46281</v>
      </c>
      <c r="B310" s="178" t="str">
        <f t="shared" si="34"/>
        <v>Wed</v>
      </c>
      <c r="C310" s="178" t="str">
        <f>'Pantry Inventory'!$A$65</f>
        <v>Sep Week 3</v>
      </c>
      <c r="D310" s="178" t="str">
        <f>IF('Pantry Inventory'!A79="","",'Pantry Inventory'!A79)</f>
        <v/>
      </c>
      <c r="E310" s="178" t="str">
        <f>IF('Pantry Inventory'!B79="","",'Pantry Inventory'!B79)</f>
        <v/>
      </c>
      <c r="F310" s="178" t="str">
        <f>IF(E310="","",IFERROR(IF(INDEX('Item Purchases'!$S$4:$S$30,MATCH(E310,'Item Purchases'!$B$4:$B$30,0))="","Uncategorised",INDEX('Item Purchases'!$S$4:$S$30,MATCH(E310,'Item Purchases'!$B$4:$B$30,0))),"Uncategorised"))</f>
        <v/>
      </c>
      <c r="G310" s="178">
        <f>IF(E310="",0,'Pantry Inventory'!G79)</f>
        <v>0</v>
      </c>
      <c r="H310" s="178" t="str">
        <f>IF(E310="","",IF('Pantry Inventory'!H79="","",'Pantry Inventory'!H79))</f>
        <v/>
      </c>
      <c r="I310" s="178" t="str">
        <f>IF(H310="","",'Pantry Inventory'!I79)</f>
        <v/>
      </c>
      <c r="J310" s="179">
        <f>IF(E310="",0,IFERROR(INDEX('Item Purchases'!$Q$4:$Q$30,MATCH(E310,'Item Purchases'!$B$4:$B$30,0)),0))</f>
        <v>0</v>
      </c>
      <c r="K310" s="180" t="str">
        <f t="shared" si="35"/>
        <v/>
      </c>
      <c r="L310" s="178">
        <f t="shared" si="36"/>
        <v>0</v>
      </c>
      <c r="M310" s="178">
        <f>IF(E310="",0,IF(AND(OR(OR(Dashboard!$E$5="All",Dashboard!$E$5=""),AG310=Dashboard!$E$5),OR(OR(Dashboard!$H$5="All",Dashboard!$H$5=""),F310=Dashboard!$H$5),OR(OR(Dashboard!$B$5="All",Dashboard!$B$5=""),C310=Dashboard!$B$5),OR(OR(Dashboard!$K$5="All",Dashboard!$K$5=""),A310=Dashboard!$K$5),OR(OR(Dashboard!$N$5="All",Dashboard!$N$5=""),B310=Dashboard!$N$5),OR(OR(Dashboard!$Q$5="All",Dashboard!$Q$5=""),D310=Dashboard!$Q$5),OR(OR(Dashboard!$U$5="All",Dashboard!$U$5=""),E310=Dashboard!$U$5)),1,0))</f>
        <v>0</v>
      </c>
      <c r="N310" s="178">
        <f>IF(E310="",0,IF(AND(OR(OR(Dashboard!$E$5="All",Dashboard!$E$5=""),AG310=Dashboard!$E$5),OR(OR(Dashboard!$B$5="All",Dashboard!$B$5=""),C310=Dashboard!$B$5),OR(OR(Dashboard!$K$5="All",Dashboard!$K$5=""),A310=Dashboard!$K$5),OR(OR(Dashboard!$N$5="All",Dashboard!$N$5=""),B310=Dashboard!$N$5),OR(OR(Dashboard!$Q$5="All",Dashboard!$Q$5=""),D310=Dashboard!$Q$5),OR(OR(Dashboard!$U$5="All",Dashboard!$U$5=""),E310=Dashboard!$U$5)),1,0))</f>
        <v>0</v>
      </c>
      <c r="O310" s="165">
        <f t="shared" si="37"/>
        <v>0</v>
      </c>
      <c r="AG310" s="178" t="str">
        <f>IF(E310="","",IFERROR(IF(INDEX('Item Purchases'!$AM$4:$AM$30,MATCH(E310,'Item Purchases'!$B$4:$B$30,0))="","Uncategorised",INDEX('Item Purchases'!$AM$4:$AM$30,MATCH(E310,'Item Purchases'!$B$4:$B$30,0))),"Uncategorised"))</f>
        <v/>
      </c>
      <c r="AH310" s="165">
        <f>IF(AND(E310&lt;&gt;"",L310=1),COUNTIFS($E$2:E310,E310,$L$2:L310,1),0)</f>
        <v>0</v>
      </c>
      <c r="AI310" s="165">
        <f t="shared" si="38"/>
        <v>0</v>
      </c>
      <c r="AJ310" s="165">
        <f t="shared" si="39"/>
        <v>0</v>
      </c>
    </row>
    <row r="311" spans="1:36" x14ac:dyDescent="0.25">
      <c r="A311" s="177">
        <f t="shared" si="41"/>
        <v>46281</v>
      </c>
      <c r="B311" s="178" t="str">
        <f t="shared" si="34"/>
        <v>Wed</v>
      </c>
      <c r="C311" s="178" t="str">
        <f>'Pantry Inventory'!$A$65</f>
        <v>Sep Week 3</v>
      </c>
      <c r="D311" s="178" t="str">
        <f>IF('Pantry Inventory'!A80="","",'Pantry Inventory'!A80)</f>
        <v>Nestle</v>
      </c>
      <c r="E311" s="178" t="str">
        <f>IF('Pantry Inventory'!B80="","",'Pantry Inventory'!B80)</f>
        <v>Milo 200ml</v>
      </c>
      <c r="F311" s="178" t="str">
        <f>IF(E311="","",IFERROR(IF(INDEX('Item Purchases'!$S$4:$S$30,MATCH(E311,'Item Purchases'!$B$4:$B$30,0))="","Uncategorised",INDEX('Item Purchases'!$S$4:$S$30,MATCH(E311,'Item Purchases'!$B$4:$B$30,0))),"Uncategorised"))</f>
        <v>Other</v>
      </c>
      <c r="G311" s="178">
        <f>IF(E311="",0,'Pantry Inventory'!G80)</f>
        <v>0</v>
      </c>
      <c r="H311" s="178">
        <f>IF(E311="","",IF('Pantry Inventory'!H80="","",'Pantry Inventory'!H80))</f>
        <v>48</v>
      </c>
      <c r="I311" s="178">
        <f>IF(H311="","",'Pantry Inventory'!I80)</f>
        <v>0</v>
      </c>
      <c r="J311" s="179">
        <f>IF(E311="",0,IFERROR(INDEX('Item Purchases'!$Q$4:$Q$30,MATCH(E311,'Item Purchases'!$B$4:$B$30,0)),0))</f>
        <v>2.37</v>
      </c>
      <c r="K311" s="180">
        <f t="shared" si="35"/>
        <v>0</v>
      </c>
      <c r="L311" s="178">
        <f t="shared" si="36"/>
        <v>1</v>
      </c>
      <c r="M311" s="178">
        <f>IF(E311="",0,IF(AND(OR(OR(Dashboard!$E$5="All",Dashboard!$E$5=""),AG311=Dashboard!$E$5),OR(OR(Dashboard!$H$5="All",Dashboard!$H$5=""),F311=Dashboard!$H$5),OR(OR(Dashboard!$B$5="All",Dashboard!$B$5=""),C311=Dashboard!$B$5),OR(OR(Dashboard!$K$5="All",Dashboard!$K$5=""),A311=Dashboard!$K$5),OR(OR(Dashboard!$N$5="All",Dashboard!$N$5=""),B311=Dashboard!$N$5),OR(OR(Dashboard!$Q$5="All",Dashboard!$Q$5=""),D311=Dashboard!$Q$5),OR(OR(Dashboard!$U$5="All",Dashboard!$U$5=""),E311=Dashboard!$U$5)),1,0))</f>
        <v>1</v>
      </c>
      <c r="N311" s="178">
        <f>IF(E311="",0,IF(AND(OR(OR(Dashboard!$E$5="All",Dashboard!$E$5=""),AG311=Dashboard!$E$5),OR(OR(Dashboard!$B$5="All",Dashboard!$B$5=""),C311=Dashboard!$B$5),OR(OR(Dashboard!$K$5="All",Dashboard!$K$5=""),A311=Dashboard!$K$5),OR(OR(Dashboard!$N$5="All",Dashboard!$N$5=""),B311=Dashboard!$N$5),OR(OR(Dashboard!$Q$5="All",Dashboard!$Q$5=""),D311=Dashboard!$Q$5),OR(OR(Dashboard!$U$5="All",Dashboard!$U$5=""),E311=Dashboard!$U$5)),1,0))</f>
        <v>1</v>
      </c>
      <c r="O311" s="165">
        <f t="shared" si="37"/>
        <v>0</v>
      </c>
      <c r="AG311" s="178" t="str">
        <f>IF(E311="","",IFERROR(IF(INDEX('Item Purchases'!$AM$4:$AM$30,MATCH(E311,'Item Purchases'!$B$4:$B$30,0))="","Uncategorised",INDEX('Item Purchases'!$AM$4:$AM$30,MATCH(E311,'Item Purchases'!$B$4:$B$30,0))),"Uncategorised"))</f>
        <v>Beverages</v>
      </c>
      <c r="AH311" s="165">
        <f>IF(AND(E311&lt;&gt;"",L311=1),COUNTIFS($E$2:E311,E311,$L$2:L311,1),0)</f>
        <v>12</v>
      </c>
      <c r="AI311" s="165">
        <f t="shared" si="38"/>
        <v>0</v>
      </c>
      <c r="AJ311" s="165">
        <f t="shared" si="39"/>
        <v>1</v>
      </c>
    </row>
    <row r="312" spans="1:36" x14ac:dyDescent="0.25">
      <c r="A312" s="177">
        <f t="shared" si="41"/>
        <v>46281</v>
      </c>
      <c r="B312" s="178" t="str">
        <f t="shared" si="34"/>
        <v>Wed</v>
      </c>
      <c r="C312" s="178" t="str">
        <f>'Pantry Inventory'!$A$65</f>
        <v>Sep Week 3</v>
      </c>
      <c r="D312" s="178" t="str">
        <f>IF('Pantry Inventory'!A81="","",'Pantry Inventory'!A81)</f>
        <v>Nestle</v>
      </c>
      <c r="E312" s="178" t="str">
        <f>IF('Pantry Inventory'!B81="","",'Pantry Inventory'!B81)</f>
        <v>Nescafe Latte 240ml</v>
      </c>
      <c r="F312" s="178" t="str">
        <f>IF(E312="","",IFERROR(IF(INDEX('Item Purchases'!$S$4:$S$30,MATCH(E312,'Item Purchases'!$B$4:$B$30,0))="","Uncategorised",INDEX('Item Purchases'!$S$4:$S$30,MATCH(E312,'Item Purchases'!$B$4:$B$30,0))),"Uncategorised"))</f>
        <v>Coffee</v>
      </c>
      <c r="G312" s="178">
        <f>IF(E312="",0,'Pantry Inventory'!G81)</f>
        <v>0</v>
      </c>
      <c r="H312" s="178">
        <f>IF(E312="","",IF('Pantry Inventory'!H81="","",'Pantry Inventory'!H81))</f>
        <v>31</v>
      </c>
      <c r="I312" s="178">
        <f>IF(H312="","",'Pantry Inventory'!I81)</f>
        <v>0</v>
      </c>
      <c r="J312" s="179">
        <f>IF(E312="",0,IFERROR(INDEX('Item Purchases'!$Q$4:$Q$30,MATCH(E312,'Item Purchases'!$B$4:$B$30,0)),0))</f>
        <v>2.1875</v>
      </c>
      <c r="K312" s="180">
        <f t="shared" si="35"/>
        <v>0</v>
      </c>
      <c r="L312" s="178">
        <f t="shared" si="36"/>
        <v>1</v>
      </c>
      <c r="M312" s="178">
        <f>IF(E312="",0,IF(AND(OR(OR(Dashboard!$E$5="All",Dashboard!$E$5=""),AG312=Dashboard!$E$5),OR(OR(Dashboard!$H$5="All",Dashboard!$H$5=""),F312=Dashboard!$H$5),OR(OR(Dashboard!$B$5="All",Dashboard!$B$5=""),C312=Dashboard!$B$5),OR(OR(Dashboard!$K$5="All",Dashboard!$K$5=""),A312=Dashboard!$K$5),OR(OR(Dashboard!$N$5="All",Dashboard!$N$5=""),B312=Dashboard!$N$5),OR(OR(Dashboard!$Q$5="All",Dashboard!$Q$5=""),D312=Dashboard!$Q$5),OR(OR(Dashboard!$U$5="All",Dashboard!$U$5=""),E312=Dashboard!$U$5)),1,0))</f>
        <v>1</v>
      </c>
      <c r="N312" s="178">
        <f>IF(E312="",0,IF(AND(OR(OR(Dashboard!$E$5="All",Dashboard!$E$5=""),AG312=Dashboard!$E$5),OR(OR(Dashboard!$B$5="All",Dashboard!$B$5=""),C312=Dashboard!$B$5),OR(OR(Dashboard!$K$5="All",Dashboard!$K$5=""),A312=Dashboard!$K$5),OR(OR(Dashboard!$N$5="All",Dashboard!$N$5=""),B312=Dashboard!$N$5),OR(OR(Dashboard!$Q$5="All",Dashboard!$Q$5=""),D312=Dashboard!$Q$5),OR(OR(Dashboard!$U$5="All",Dashboard!$U$5=""),E312=Dashboard!$U$5)),1,0))</f>
        <v>1</v>
      </c>
      <c r="O312" s="165">
        <f t="shared" si="37"/>
        <v>0</v>
      </c>
      <c r="AG312" s="178" t="str">
        <f>IF(E312="","",IFERROR(IF(INDEX('Item Purchases'!$AM$4:$AM$30,MATCH(E312,'Item Purchases'!$B$4:$B$30,0))="","Uncategorised",INDEX('Item Purchases'!$AM$4:$AM$30,MATCH(E312,'Item Purchases'!$B$4:$B$30,0))),"Uncategorised"))</f>
        <v>Beverages</v>
      </c>
      <c r="AH312" s="165">
        <f>IF(AND(E312&lt;&gt;"",L312=1),COUNTIFS($E$2:E312,E312,$L$2:L312,1),0)</f>
        <v>12</v>
      </c>
      <c r="AI312" s="165">
        <f t="shared" si="38"/>
        <v>0</v>
      </c>
      <c r="AJ312" s="165">
        <f t="shared" si="39"/>
        <v>1</v>
      </c>
    </row>
    <row r="313" spans="1:36" x14ac:dyDescent="0.25">
      <c r="A313" s="177">
        <f t="shared" si="41"/>
        <v>46281</v>
      </c>
      <c r="B313" s="178" t="str">
        <f t="shared" si="34"/>
        <v>Wed</v>
      </c>
      <c r="C313" s="178" t="str">
        <f>'Pantry Inventory'!$A$65</f>
        <v>Sep Week 3</v>
      </c>
      <c r="D313" s="178" t="str">
        <f>IF('Pantry Inventory'!A82="","",'Pantry Inventory'!A82)</f>
        <v>Nestle</v>
      </c>
      <c r="E313" s="178" t="str">
        <f>IF('Pantry Inventory'!B82="","",'Pantry Inventory'!B82)</f>
        <v>Nescafe original 240ml</v>
      </c>
      <c r="F313" s="178" t="str">
        <f>IF(E313="","",IFERROR(IF(INDEX('Item Purchases'!$S$4:$S$30,MATCH(E313,'Item Purchases'!$B$4:$B$30,0))="","Uncategorised",INDEX('Item Purchases'!$S$4:$S$30,MATCH(E313,'Item Purchases'!$B$4:$B$30,0))),"Uncategorised"))</f>
        <v>Coffee</v>
      </c>
      <c r="G313" s="178">
        <f>IF(E313="",0,'Pantry Inventory'!G82)</f>
        <v>0</v>
      </c>
      <c r="H313" s="178">
        <f>IF(E313="","",IF('Pantry Inventory'!H82="","",'Pantry Inventory'!H82))</f>
        <v>25</v>
      </c>
      <c r="I313" s="178">
        <f>IF(H313="","",'Pantry Inventory'!I82)</f>
        <v>0</v>
      </c>
      <c r="J313" s="179">
        <f>IF(E313="",0,IFERROR(INDEX('Item Purchases'!$Q$4:$Q$30,MATCH(E313,'Item Purchases'!$B$4:$B$30,0)),0))</f>
        <v>2.1875</v>
      </c>
      <c r="K313" s="180">
        <f t="shared" si="35"/>
        <v>0</v>
      </c>
      <c r="L313" s="178">
        <f t="shared" si="36"/>
        <v>1</v>
      </c>
      <c r="M313" s="178">
        <f>IF(E313="",0,IF(AND(OR(OR(Dashboard!$E$5="All",Dashboard!$E$5=""),AG313=Dashboard!$E$5),OR(OR(Dashboard!$H$5="All",Dashboard!$H$5=""),F313=Dashboard!$H$5),OR(OR(Dashboard!$B$5="All",Dashboard!$B$5=""),C313=Dashboard!$B$5),OR(OR(Dashboard!$K$5="All",Dashboard!$K$5=""),A313=Dashboard!$K$5),OR(OR(Dashboard!$N$5="All",Dashboard!$N$5=""),B313=Dashboard!$N$5),OR(OR(Dashboard!$Q$5="All",Dashboard!$Q$5=""),D313=Dashboard!$Q$5),OR(OR(Dashboard!$U$5="All",Dashboard!$U$5=""),E313=Dashboard!$U$5)),1,0))</f>
        <v>1</v>
      </c>
      <c r="N313" s="178">
        <f>IF(E313="",0,IF(AND(OR(OR(Dashboard!$E$5="All",Dashboard!$E$5=""),AG313=Dashboard!$E$5),OR(OR(Dashboard!$B$5="All",Dashboard!$B$5=""),C313=Dashboard!$B$5),OR(OR(Dashboard!$K$5="All",Dashboard!$K$5=""),A313=Dashboard!$K$5),OR(OR(Dashboard!$N$5="All",Dashboard!$N$5=""),B313=Dashboard!$N$5),OR(OR(Dashboard!$Q$5="All",Dashboard!$Q$5=""),D313=Dashboard!$Q$5),OR(OR(Dashboard!$U$5="All",Dashboard!$U$5=""),E313=Dashboard!$U$5)),1,0))</f>
        <v>1</v>
      </c>
      <c r="O313" s="165">
        <f t="shared" si="37"/>
        <v>0</v>
      </c>
      <c r="AG313" s="178" t="str">
        <f>IF(E313="","",IFERROR(IF(INDEX('Item Purchases'!$AM$4:$AM$30,MATCH(E313,'Item Purchases'!$B$4:$B$30,0))="","Uncategorised",INDEX('Item Purchases'!$AM$4:$AM$30,MATCH(E313,'Item Purchases'!$B$4:$B$30,0))),"Uncategorised"))</f>
        <v>Beverages</v>
      </c>
      <c r="AH313" s="165">
        <f>IF(AND(E313&lt;&gt;"",L313=1),COUNTIFS($E$2:E313,E313,$L$2:L313,1),0)</f>
        <v>12</v>
      </c>
      <c r="AI313" s="165">
        <f t="shared" si="38"/>
        <v>0</v>
      </c>
      <c r="AJ313" s="165">
        <f t="shared" si="39"/>
        <v>1</v>
      </c>
    </row>
    <row r="314" spans="1:36" x14ac:dyDescent="0.25">
      <c r="A314" s="177">
        <f t="shared" si="41"/>
        <v>46281</v>
      </c>
      <c r="B314" s="178" t="str">
        <f t="shared" si="34"/>
        <v>Wed</v>
      </c>
      <c r="C314" s="178" t="str">
        <f>'Pantry Inventory'!$A$65</f>
        <v>Sep Week 3</v>
      </c>
      <c r="D314" s="178" t="str">
        <f>IF('Pantry Inventory'!A83="","",'Pantry Inventory'!A83)</f>
        <v>COWA</v>
      </c>
      <c r="E314" s="178" t="str">
        <f>IF('Pantry Inventory'!B83="","",'Pantry Inventory'!B83)</f>
        <v>COWA Coconut Water 330 ml</v>
      </c>
      <c r="F314" s="178" t="str">
        <f>IF(E314="","",IFERROR(IF(INDEX('Item Purchases'!$S$4:$S$30,MATCH(E314,'Item Purchases'!$B$4:$B$30,0))="","Uncategorised",INDEX('Item Purchases'!$S$4:$S$30,MATCH(E314,'Item Purchases'!$B$4:$B$30,0))),"Uncategorised"))</f>
        <v>Other</v>
      </c>
      <c r="G314" s="178">
        <f>IF(E314="",0,'Pantry Inventory'!G83)</f>
        <v>0</v>
      </c>
      <c r="H314" s="178">
        <f>IF(E314="","",IF('Pantry Inventory'!H83="","",'Pantry Inventory'!H83))</f>
        <v>124</v>
      </c>
      <c r="I314" s="178">
        <f>IF(H314="","",'Pantry Inventory'!I83)</f>
        <v>0</v>
      </c>
      <c r="J314" s="179">
        <f>IF(E314="",0,IFERROR(INDEX('Item Purchases'!$Q$4:$Q$30,MATCH(E314,'Item Purchases'!$B$4:$B$30,0)),0))</f>
        <v>3</v>
      </c>
      <c r="K314" s="180">
        <f t="shared" si="35"/>
        <v>0</v>
      </c>
      <c r="L314" s="178">
        <f t="shared" si="36"/>
        <v>1</v>
      </c>
      <c r="M314" s="178">
        <f>IF(E314="",0,IF(AND(OR(OR(Dashboard!$E$5="All",Dashboard!$E$5=""),AG314=Dashboard!$E$5),OR(OR(Dashboard!$H$5="All",Dashboard!$H$5=""),F314=Dashboard!$H$5),OR(OR(Dashboard!$B$5="All",Dashboard!$B$5=""),C314=Dashboard!$B$5),OR(OR(Dashboard!$K$5="All",Dashboard!$K$5=""),A314=Dashboard!$K$5),OR(OR(Dashboard!$N$5="All",Dashboard!$N$5=""),B314=Dashboard!$N$5),OR(OR(Dashboard!$Q$5="All",Dashboard!$Q$5=""),D314=Dashboard!$Q$5),OR(OR(Dashboard!$U$5="All",Dashboard!$U$5=""),E314=Dashboard!$U$5)),1,0))</f>
        <v>1</v>
      </c>
      <c r="N314" s="178">
        <f>IF(E314="",0,IF(AND(OR(OR(Dashboard!$E$5="All",Dashboard!$E$5=""),AG314=Dashboard!$E$5),OR(OR(Dashboard!$B$5="All",Dashboard!$B$5=""),C314=Dashboard!$B$5),OR(OR(Dashboard!$K$5="All",Dashboard!$K$5=""),A314=Dashboard!$K$5),OR(OR(Dashboard!$N$5="All",Dashboard!$N$5=""),B314=Dashboard!$N$5),OR(OR(Dashboard!$Q$5="All",Dashboard!$Q$5=""),D314=Dashboard!$Q$5),OR(OR(Dashboard!$U$5="All",Dashboard!$U$5=""),E314=Dashboard!$U$5)),1,0))</f>
        <v>1</v>
      </c>
      <c r="O314" s="165">
        <f t="shared" si="37"/>
        <v>0</v>
      </c>
      <c r="AG314" s="178" t="str">
        <f>IF(E314="","",IFERROR(IF(INDEX('Item Purchases'!$AM$4:$AM$30,MATCH(E314,'Item Purchases'!$B$4:$B$30,0))="","Uncategorised",INDEX('Item Purchases'!$AM$4:$AM$30,MATCH(E314,'Item Purchases'!$B$4:$B$30,0))),"Uncategorised"))</f>
        <v>Beverages</v>
      </c>
      <c r="AH314" s="165">
        <f>IF(AND(E314&lt;&gt;"",L314=1),COUNTIFS($E$2:E314,E314,$L$2:L314,1),0)</f>
        <v>12</v>
      </c>
      <c r="AI314" s="165">
        <f t="shared" si="38"/>
        <v>0</v>
      </c>
      <c r="AJ314" s="165">
        <f t="shared" si="39"/>
        <v>1</v>
      </c>
    </row>
    <row r="315" spans="1:36" x14ac:dyDescent="0.25">
      <c r="A315" s="177">
        <f t="shared" si="41"/>
        <v>46281</v>
      </c>
      <c r="B315" s="178" t="str">
        <f t="shared" si="34"/>
        <v>Wed</v>
      </c>
      <c r="C315" s="178" t="str">
        <f>'Pantry Inventory'!$A$65</f>
        <v>Sep Week 3</v>
      </c>
      <c r="D315" s="178" t="str">
        <f>IF('Pantry Inventory'!A84="","",'Pantry Inventory'!A84)</f>
        <v>Coca Cola</v>
      </c>
      <c r="E315" s="178" t="str">
        <f>IF('Pantry Inventory'!B84="","",'Pantry Inventory'!B84)</f>
        <v>COKE ZERO  325ML</v>
      </c>
      <c r="F315" s="178" t="str">
        <f>IF(E315="","",IFERROR(IF(INDEX('Item Purchases'!$S$4:$S$30,MATCH(E315,'Item Purchases'!$B$4:$B$30,0))="","Uncategorised",INDEX('Item Purchases'!$S$4:$S$30,MATCH(E315,'Item Purchases'!$B$4:$B$30,0))),"Uncategorised"))</f>
        <v>Other</v>
      </c>
      <c r="G315" s="178">
        <f>IF(E315="",0,'Pantry Inventory'!G84)</f>
        <v>0</v>
      </c>
      <c r="H315" s="178">
        <f>IF(E315="","",IF('Pantry Inventory'!H84="","",'Pantry Inventory'!H84))</f>
        <v>56</v>
      </c>
      <c r="I315" s="178">
        <f>IF(H315="","",'Pantry Inventory'!I84)</f>
        <v>0</v>
      </c>
      <c r="J315" s="179">
        <f>IF(E315="",0,IFERROR(INDEX('Item Purchases'!$Q$4:$Q$30,MATCH(E315,'Item Purchases'!$B$4:$B$30,0)),0))</f>
        <v>1.83</v>
      </c>
      <c r="K315" s="180">
        <f t="shared" si="35"/>
        <v>0</v>
      </c>
      <c r="L315" s="178">
        <f t="shared" si="36"/>
        <v>1</v>
      </c>
      <c r="M315" s="178">
        <f>IF(E315="",0,IF(AND(OR(OR(Dashboard!$E$5="All",Dashboard!$E$5=""),AG315=Dashboard!$E$5),OR(OR(Dashboard!$H$5="All",Dashboard!$H$5=""),F315=Dashboard!$H$5),OR(OR(Dashboard!$B$5="All",Dashboard!$B$5=""),C315=Dashboard!$B$5),OR(OR(Dashboard!$K$5="All",Dashboard!$K$5=""),A315=Dashboard!$K$5),OR(OR(Dashboard!$N$5="All",Dashboard!$N$5=""),B315=Dashboard!$N$5),OR(OR(Dashboard!$Q$5="All",Dashboard!$Q$5=""),D315=Dashboard!$Q$5),OR(OR(Dashboard!$U$5="All",Dashboard!$U$5=""),E315=Dashboard!$U$5)),1,0))</f>
        <v>1</v>
      </c>
      <c r="N315" s="178">
        <f>IF(E315="",0,IF(AND(OR(OR(Dashboard!$E$5="All",Dashboard!$E$5=""),AG315=Dashboard!$E$5),OR(OR(Dashboard!$B$5="All",Dashboard!$B$5=""),C315=Dashboard!$B$5),OR(OR(Dashboard!$K$5="All",Dashboard!$K$5=""),A315=Dashboard!$K$5),OR(OR(Dashboard!$N$5="All",Dashboard!$N$5=""),B315=Dashboard!$N$5),OR(OR(Dashboard!$Q$5="All",Dashboard!$Q$5=""),D315=Dashboard!$Q$5),OR(OR(Dashboard!$U$5="All",Dashboard!$U$5=""),E315=Dashboard!$U$5)),1,0))</f>
        <v>1</v>
      </c>
      <c r="O315" s="165">
        <f t="shared" si="37"/>
        <v>0</v>
      </c>
      <c r="AG315" s="178" t="str">
        <f>IF(E315="","",IFERROR(IF(INDEX('Item Purchases'!$AM$4:$AM$30,MATCH(E315,'Item Purchases'!$B$4:$B$30,0))="","Uncategorised",INDEX('Item Purchases'!$AM$4:$AM$30,MATCH(E315,'Item Purchases'!$B$4:$B$30,0))),"Uncategorised"))</f>
        <v>Beverages</v>
      </c>
      <c r="AH315" s="165">
        <f>IF(AND(E315&lt;&gt;"",L315=1),COUNTIFS($E$2:E315,E315,$L$2:L315,1),0)</f>
        <v>12</v>
      </c>
      <c r="AI315" s="165">
        <f t="shared" si="38"/>
        <v>0</v>
      </c>
      <c r="AJ315" s="165">
        <f t="shared" si="39"/>
        <v>1</v>
      </c>
    </row>
    <row r="316" spans="1:36" x14ac:dyDescent="0.25">
      <c r="A316" s="177">
        <f t="shared" si="41"/>
        <v>46281</v>
      </c>
      <c r="B316" s="178" t="str">
        <f t="shared" si="34"/>
        <v>Wed</v>
      </c>
      <c r="C316" s="178" t="str">
        <f>'Pantry Inventory'!$A$65</f>
        <v>Sep Week 3</v>
      </c>
      <c r="D316" s="178" t="str">
        <f>IF('Pantry Inventory'!A85="","",'Pantry Inventory'!A85)</f>
        <v>Coca Cola</v>
      </c>
      <c r="E316" s="178" t="str">
        <f>IF('Pantry Inventory'!B85="","",'Pantry Inventory'!B85)</f>
        <v>Ayataka Tea 300ml</v>
      </c>
      <c r="F316" s="178" t="str">
        <f>IF(E316="","",IFERROR(IF(INDEX('Item Purchases'!$S$4:$S$30,MATCH(E316,'Item Purchases'!$B$4:$B$30,0))="","Uncategorised",INDEX('Item Purchases'!$S$4:$S$30,MATCH(E316,'Item Purchases'!$B$4:$B$30,0))),"Uncategorised"))</f>
        <v>Tea</v>
      </c>
      <c r="G316" s="178">
        <f>IF(E316="",0,'Pantry Inventory'!G85)</f>
        <v>0</v>
      </c>
      <c r="H316" s="178">
        <f>IF(E316="","",IF('Pantry Inventory'!H85="","",'Pantry Inventory'!H85))</f>
        <v>0</v>
      </c>
      <c r="I316" s="178">
        <f>IF(H316="","",'Pantry Inventory'!I85)</f>
        <v>0</v>
      </c>
      <c r="J316" s="179">
        <f>IF(E316="",0,IFERROR(INDEX('Item Purchases'!$Q$4:$Q$30,MATCH(E316,'Item Purchases'!$B$4:$B$30,0)),0))</f>
        <v>1.75</v>
      </c>
      <c r="K316" s="180">
        <f t="shared" si="35"/>
        <v>0</v>
      </c>
      <c r="L316" s="178">
        <f t="shared" si="36"/>
        <v>1</v>
      </c>
      <c r="M316" s="178">
        <f>IF(E316="",0,IF(AND(OR(OR(Dashboard!$E$5="All",Dashboard!$E$5=""),AG316=Dashboard!$E$5),OR(OR(Dashboard!$H$5="All",Dashboard!$H$5=""),F316=Dashboard!$H$5),OR(OR(Dashboard!$B$5="All",Dashboard!$B$5=""),C316=Dashboard!$B$5),OR(OR(Dashboard!$K$5="All",Dashboard!$K$5=""),A316=Dashboard!$K$5),OR(OR(Dashboard!$N$5="All",Dashboard!$N$5=""),B316=Dashboard!$N$5),OR(OR(Dashboard!$Q$5="All",Dashboard!$Q$5=""),D316=Dashboard!$Q$5),OR(OR(Dashboard!$U$5="All",Dashboard!$U$5=""),E316=Dashboard!$U$5)),1,0))</f>
        <v>1</v>
      </c>
      <c r="N316" s="178">
        <f>IF(E316="",0,IF(AND(OR(OR(Dashboard!$E$5="All",Dashboard!$E$5=""),AG316=Dashboard!$E$5),OR(OR(Dashboard!$B$5="All",Dashboard!$B$5=""),C316=Dashboard!$B$5),OR(OR(Dashboard!$K$5="All",Dashboard!$K$5=""),A316=Dashboard!$K$5),OR(OR(Dashboard!$N$5="All",Dashboard!$N$5=""),B316=Dashboard!$N$5),OR(OR(Dashboard!$Q$5="All",Dashboard!$Q$5=""),D316=Dashboard!$Q$5),OR(OR(Dashboard!$U$5="All",Dashboard!$U$5=""),E316=Dashboard!$U$5)),1,0))</f>
        <v>1</v>
      </c>
      <c r="O316" s="165">
        <f t="shared" si="37"/>
        <v>0</v>
      </c>
      <c r="AG316" s="178" t="str">
        <f>IF(E316="","",IFERROR(IF(INDEX('Item Purchases'!$AM$4:$AM$30,MATCH(E316,'Item Purchases'!$B$4:$B$30,0))="","Uncategorised",INDEX('Item Purchases'!$AM$4:$AM$30,MATCH(E316,'Item Purchases'!$B$4:$B$30,0))),"Uncategorised"))</f>
        <v>Beverages</v>
      </c>
      <c r="AH316" s="165">
        <f>IF(AND(E316&lt;&gt;"",L316=1),COUNTIFS($E$2:E316,E316,$L$2:L316,1),0)</f>
        <v>12</v>
      </c>
      <c r="AI316" s="165">
        <f t="shared" si="38"/>
        <v>0</v>
      </c>
      <c r="AJ316" s="165">
        <f t="shared" si="39"/>
        <v>0</v>
      </c>
    </row>
    <row r="317" spans="1:36" x14ac:dyDescent="0.25">
      <c r="A317" s="177">
        <f t="shared" si="41"/>
        <v>46281</v>
      </c>
      <c r="B317" s="178" t="str">
        <f t="shared" si="34"/>
        <v>Wed</v>
      </c>
      <c r="C317" s="178" t="str">
        <f>'Pantry Inventory'!$A$65</f>
        <v>Sep Week 3</v>
      </c>
      <c r="D317" s="178" t="str">
        <f>IF('Pantry Inventory'!A86="","",'Pantry Inventory'!A86)</f>
        <v>Coca Cola</v>
      </c>
      <c r="E317" s="178" t="str">
        <f>IF('Pantry Inventory'!B86="","",'Pantry Inventory'!B86)</f>
        <v>Oolong Tea 300ml</v>
      </c>
      <c r="F317" s="178" t="str">
        <f>IF(E317="","",IFERROR(IF(INDEX('Item Purchases'!$S$4:$S$30,MATCH(E317,'Item Purchases'!$B$4:$B$30,0))="","Uncategorised",INDEX('Item Purchases'!$S$4:$S$30,MATCH(E317,'Item Purchases'!$B$4:$B$30,0))),"Uncategorised"))</f>
        <v>Tea</v>
      </c>
      <c r="G317" s="178">
        <f>IF(E317="",0,'Pantry Inventory'!G86)</f>
        <v>0</v>
      </c>
      <c r="H317" s="178">
        <f>IF(E317="","",IF('Pantry Inventory'!H86="","",'Pantry Inventory'!H86))</f>
        <v>0</v>
      </c>
      <c r="I317" s="178">
        <f>IF(H317="","",'Pantry Inventory'!I86)</f>
        <v>0</v>
      </c>
      <c r="J317" s="179">
        <f>IF(E317="",0,IFERROR(INDEX('Item Purchases'!$Q$4:$Q$30,MATCH(E317,'Item Purchases'!$B$4:$B$30,0)),0))</f>
        <v>1.75</v>
      </c>
      <c r="K317" s="180">
        <f t="shared" si="35"/>
        <v>0</v>
      </c>
      <c r="L317" s="178">
        <f t="shared" si="36"/>
        <v>1</v>
      </c>
      <c r="M317" s="178">
        <f>IF(E317="",0,IF(AND(OR(OR(Dashboard!$E$5="All",Dashboard!$E$5=""),AG317=Dashboard!$E$5),OR(OR(Dashboard!$H$5="All",Dashboard!$H$5=""),F317=Dashboard!$H$5),OR(OR(Dashboard!$B$5="All",Dashboard!$B$5=""),C317=Dashboard!$B$5),OR(OR(Dashboard!$K$5="All",Dashboard!$K$5=""),A317=Dashboard!$K$5),OR(OR(Dashboard!$N$5="All",Dashboard!$N$5=""),B317=Dashboard!$N$5),OR(OR(Dashboard!$Q$5="All",Dashboard!$Q$5=""),D317=Dashboard!$Q$5),OR(OR(Dashboard!$U$5="All",Dashboard!$U$5=""),E317=Dashboard!$U$5)),1,0))</f>
        <v>1</v>
      </c>
      <c r="N317" s="178">
        <f>IF(E317="",0,IF(AND(OR(OR(Dashboard!$E$5="All",Dashboard!$E$5=""),AG317=Dashboard!$E$5),OR(OR(Dashboard!$B$5="All",Dashboard!$B$5=""),C317=Dashboard!$B$5),OR(OR(Dashboard!$K$5="All",Dashboard!$K$5=""),A317=Dashboard!$K$5),OR(OR(Dashboard!$N$5="All",Dashboard!$N$5=""),B317=Dashboard!$N$5),OR(OR(Dashboard!$Q$5="All",Dashboard!$Q$5=""),D317=Dashboard!$Q$5),OR(OR(Dashboard!$U$5="All",Dashboard!$U$5=""),E317=Dashboard!$U$5)),1,0))</f>
        <v>1</v>
      </c>
      <c r="O317" s="165">
        <f t="shared" si="37"/>
        <v>0</v>
      </c>
      <c r="AG317" s="178" t="str">
        <f>IF(E317="","",IFERROR(IF(INDEX('Item Purchases'!$AM$4:$AM$30,MATCH(E317,'Item Purchases'!$B$4:$B$30,0))="","Uncategorised",INDEX('Item Purchases'!$AM$4:$AM$30,MATCH(E317,'Item Purchases'!$B$4:$B$30,0))),"Uncategorised"))</f>
        <v>Beverages</v>
      </c>
      <c r="AH317" s="165">
        <f>IF(AND(E317&lt;&gt;"",L317=1),COUNTIFS($E$2:E317,E317,$L$2:L317,1),0)</f>
        <v>12</v>
      </c>
      <c r="AI317" s="165">
        <f t="shared" si="38"/>
        <v>0</v>
      </c>
      <c r="AJ317" s="165">
        <f t="shared" si="39"/>
        <v>0</v>
      </c>
    </row>
    <row r="318" spans="1:36" x14ac:dyDescent="0.25">
      <c r="A318" s="177">
        <f t="shared" si="41"/>
        <v>46281</v>
      </c>
      <c r="B318" s="178" t="str">
        <f t="shared" si="34"/>
        <v>Wed</v>
      </c>
      <c r="C318" s="178" t="str">
        <f>'Pantry Inventory'!$A$65</f>
        <v>Sep Week 3</v>
      </c>
      <c r="D318" s="178" t="str">
        <f>IF('Pantry Inventory'!A87="","",'Pantry Inventory'!A87)</f>
        <v>Vsoy</v>
      </c>
      <c r="E318" s="178" t="str">
        <f>IF('Pantry Inventory'!B87="","",'Pantry Inventory'!B87)</f>
        <v>Vsoy Soya Bean  250ml</v>
      </c>
      <c r="F318" s="178" t="str">
        <f>IF(E318="","",IFERROR(IF(INDEX('Item Purchases'!$S$4:$S$30,MATCH(E318,'Item Purchases'!$B$4:$B$30,0))="","Uncategorised",INDEX('Item Purchases'!$S$4:$S$30,MATCH(E318,'Item Purchases'!$B$4:$B$30,0))),"Uncategorised"))</f>
        <v>Other</v>
      </c>
      <c r="G318" s="178">
        <f>IF(E318="",0,'Pantry Inventory'!G87)</f>
        <v>0</v>
      </c>
      <c r="H318" s="178">
        <f>IF(E318="","",IF('Pantry Inventory'!H87="","",'Pantry Inventory'!H87))</f>
        <v>0</v>
      </c>
      <c r="I318" s="178">
        <f>IF(H318="","",'Pantry Inventory'!I87)</f>
        <v>0</v>
      </c>
      <c r="J318" s="179">
        <f>IF(E318="",0,IFERROR(INDEX('Item Purchases'!$Q$4:$Q$30,MATCH(E318,'Item Purchases'!$B$4:$B$30,0)),0))</f>
        <v>1.25</v>
      </c>
      <c r="K318" s="180">
        <f t="shared" si="35"/>
        <v>0</v>
      </c>
      <c r="L318" s="178">
        <f t="shared" si="36"/>
        <v>1</v>
      </c>
      <c r="M318" s="178">
        <f>IF(E318="",0,IF(AND(OR(OR(Dashboard!$E$5="All",Dashboard!$E$5=""),AG318=Dashboard!$E$5),OR(OR(Dashboard!$H$5="All",Dashboard!$H$5=""),F318=Dashboard!$H$5),OR(OR(Dashboard!$B$5="All",Dashboard!$B$5=""),C318=Dashboard!$B$5),OR(OR(Dashboard!$K$5="All",Dashboard!$K$5=""),A318=Dashboard!$K$5),OR(OR(Dashboard!$N$5="All",Dashboard!$N$5=""),B318=Dashboard!$N$5),OR(OR(Dashboard!$Q$5="All",Dashboard!$Q$5=""),D318=Dashboard!$Q$5),OR(OR(Dashboard!$U$5="All",Dashboard!$U$5=""),E318=Dashboard!$U$5)),1,0))</f>
        <v>1</v>
      </c>
      <c r="N318" s="178">
        <f>IF(E318="",0,IF(AND(OR(OR(Dashboard!$E$5="All",Dashboard!$E$5=""),AG318=Dashboard!$E$5),OR(OR(Dashboard!$B$5="All",Dashboard!$B$5=""),C318=Dashboard!$B$5),OR(OR(Dashboard!$K$5="All",Dashboard!$K$5=""),A318=Dashboard!$K$5),OR(OR(Dashboard!$N$5="All",Dashboard!$N$5=""),B318=Dashboard!$N$5),OR(OR(Dashboard!$Q$5="All",Dashboard!$Q$5=""),D318=Dashboard!$Q$5),OR(OR(Dashboard!$U$5="All",Dashboard!$U$5=""),E318=Dashboard!$U$5)),1,0))</f>
        <v>1</v>
      </c>
      <c r="O318" s="165">
        <f t="shared" si="37"/>
        <v>0</v>
      </c>
      <c r="AG318" s="178" t="str">
        <f>IF(E318="","",IFERROR(IF(INDEX('Item Purchases'!$AM$4:$AM$30,MATCH(E318,'Item Purchases'!$B$4:$B$30,0))="","Uncategorised",INDEX('Item Purchases'!$AM$4:$AM$30,MATCH(E318,'Item Purchases'!$B$4:$B$30,0))),"Uncategorised"))</f>
        <v>Beverages</v>
      </c>
      <c r="AH318" s="165">
        <f>IF(AND(E318&lt;&gt;"",L318=1),COUNTIFS($E$2:E318,E318,$L$2:L318,1),0)</f>
        <v>12</v>
      </c>
      <c r="AI318" s="165">
        <f t="shared" si="38"/>
        <v>0</v>
      </c>
      <c r="AJ318" s="165">
        <f t="shared" si="39"/>
        <v>0</v>
      </c>
    </row>
    <row r="319" spans="1:36" x14ac:dyDescent="0.25">
      <c r="A319" s="177">
        <f t="shared" si="41"/>
        <v>46281</v>
      </c>
      <c r="B319" s="178" t="str">
        <f t="shared" si="34"/>
        <v>Wed</v>
      </c>
      <c r="C319" s="178" t="str">
        <f>'Pantry Inventory'!$A$65</f>
        <v>Sep Week 3</v>
      </c>
      <c r="D319" s="178" t="str">
        <f>IF('Pantry Inventory'!A88="","",'Pantry Inventory'!A88)</f>
        <v>BingRae</v>
      </c>
      <c r="E319" s="178" t="str">
        <f>IF('Pantry Inventory'!B88="","",'Pantry Inventory'!B88)</f>
        <v>BingRae Banana Milk 200ml</v>
      </c>
      <c r="F319" s="178" t="str">
        <f>IF(E319="","",IFERROR(IF(INDEX('Item Purchases'!$S$4:$S$30,MATCH(E319,'Item Purchases'!$B$4:$B$30,0))="","Uncategorised",INDEX('Item Purchases'!$S$4:$S$30,MATCH(E319,'Item Purchases'!$B$4:$B$30,0))),"Uncategorised"))</f>
        <v>Other</v>
      </c>
      <c r="G319" s="178">
        <f>IF(E319="",0,'Pantry Inventory'!G88)</f>
        <v>0</v>
      </c>
      <c r="H319" s="178">
        <f>IF(E319="","",IF('Pantry Inventory'!H88="","",'Pantry Inventory'!H88))</f>
        <v>36</v>
      </c>
      <c r="I319" s="178">
        <f>IF(H319="","",'Pantry Inventory'!I88)</f>
        <v>0</v>
      </c>
      <c r="J319" s="179">
        <f>IF(E319="",0,IFERROR(INDEX('Item Purchases'!$Q$4:$Q$30,MATCH(E319,'Item Purchases'!$B$4:$B$30,0)),0))</f>
        <v>3.3159999999999998</v>
      </c>
      <c r="K319" s="180">
        <f t="shared" si="35"/>
        <v>0</v>
      </c>
      <c r="L319" s="178">
        <f t="shared" si="36"/>
        <v>1</v>
      </c>
      <c r="M319" s="178">
        <f>IF(E319="",0,IF(AND(OR(OR(Dashboard!$E$5="All",Dashboard!$E$5=""),AG319=Dashboard!$E$5),OR(OR(Dashboard!$H$5="All",Dashboard!$H$5=""),F319=Dashboard!$H$5),OR(OR(Dashboard!$B$5="All",Dashboard!$B$5=""),C319=Dashboard!$B$5),OR(OR(Dashboard!$K$5="All",Dashboard!$K$5=""),A319=Dashboard!$K$5),OR(OR(Dashboard!$N$5="All",Dashboard!$N$5=""),B319=Dashboard!$N$5),OR(OR(Dashboard!$Q$5="All",Dashboard!$Q$5=""),D319=Dashboard!$Q$5),OR(OR(Dashboard!$U$5="All",Dashboard!$U$5=""),E319=Dashboard!$U$5)),1,0))</f>
        <v>1</v>
      </c>
      <c r="N319" s="178">
        <f>IF(E319="",0,IF(AND(OR(OR(Dashboard!$E$5="All",Dashboard!$E$5=""),AG319=Dashboard!$E$5),OR(OR(Dashboard!$B$5="All",Dashboard!$B$5=""),C319=Dashboard!$B$5),OR(OR(Dashboard!$K$5="All",Dashboard!$K$5=""),A319=Dashboard!$K$5),OR(OR(Dashboard!$N$5="All",Dashboard!$N$5=""),B319=Dashboard!$N$5),OR(OR(Dashboard!$Q$5="All",Dashboard!$Q$5=""),D319=Dashboard!$Q$5),OR(OR(Dashboard!$U$5="All",Dashboard!$U$5=""),E319=Dashboard!$U$5)),1,0))</f>
        <v>1</v>
      </c>
      <c r="O319" s="165">
        <f t="shared" si="37"/>
        <v>0</v>
      </c>
      <c r="AG319" s="178" t="str">
        <f>IF(E319="","",IFERROR(IF(INDEX('Item Purchases'!$AM$4:$AM$30,MATCH(E319,'Item Purchases'!$B$4:$B$30,0))="","Uncategorised",INDEX('Item Purchases'!$AM$4:$AM$30,MATCH(E319,'Item Purchases'!$B$4:$B$30,0))),"Uncategorised"))</f>
        <v>Beverages</v>
      </c>
      <c r="AH319" s="165">
        <f>IF(AND(E319&lt;&gt;"",L319=1),COUNTIFS($E$2:E319,E319,$L$2:L319,1),0)</f>
        <v>12</v>
      </c>
      <c r="AI319" s="165">
        <f t="shared" si="38"/>
        <v>0</v>
      </c>
      <c r="AJ319" s="165">
        <f t="shared" si="39"/>
        <v>1</v>
      </c>
    </row>
    <row r="320" spans="1:36" x14ac:dyDescent="0.25">
      <c r="A320" s="177">
        <f t="shared" si="41"/>
        <v>46281</v>
      </c>
      <c r="B320" s="178" t="str">
        <f t="shared" si="34"/>
        <v>Wed</v>
      </c>
      <c r="C320" s="178" t="str">
        <f>'Pantry Inventory'!$A$65</f>
        <v>Sep Week 3</v>
      </c>
      <c r="D320" s="178" t="str">
        <f>IF('Pantry Inventory'!A89="","",'Pantry Inventory'!A89)</f>
        <v>Fuze Tea</v>
      </c>
      <c r="E320" s="178" t="str">
        <f>IF('Pantry Inventory'!B89="","",'Pantry Inventory'!B89)</f>
        <v>Fuze Tea by Heaven and Earth Jasmine Tea</v>
      </c>
      <c r="F320" s="178" t="str">
        <f>IF(E320="","",IFERROR(IF(INDEX('Item Purchases'!$S$4:$S$30,MATCH(E320,'Item Purchases'!$B$4:$B$30,0))="","Uncategorised",INDEX('Item Purchases'!$S$4:$S$30,MATCH(E320,'Item Purchases'!$B$4:$B$30,0))),"Uncategorised"))</f>
        <v>Tea</v>
      </c>
      <c r="G320" s="178">
        <f>IF(E320="",0,'Pantry Inventory'!G89)</f>
        <v>0</v>
      </c>
      <c r="H320" s="178">
        <f>IF(E320="","",IF('Pantry Inventory'!H89="","",'Pantry Inventory'!H89))</f>
        <v>0</v>
      </c>
      <c r="I320" s="178">
        <f>IF(H320="","",'Pantry Inventory'!I89)</f>
        <v>0</v>
      </c>
      <c r="J320" s="179">
        <f>IF(E320="",0,IFERROR(INDEX('Item Purchases'!$Q$4:$Q$30,MATCH(E320,'Item Purchases'!$B$4:$B$30,0)),0))</f>
        <v>1.167</v>
      </c>
      <c r="K320" s="180">
        <f t="shared" si="35"/>
        <v>0</v>
      </c>
      <c r="L320" s="178">
        <f t="shared" si="36"/>
        <v>1</v>
      </c>
      <c r="M320" s="178">
        <f>IF(E320="",0,IF(AND(OR(OR(Dashboard!$E$5="All",Dashboard!$E$5=""),AG320=Dashboard!$E$5),OR(OR(Dashboard!$H$5="All",Dashboard!$H$5=""),F320=Dashboard!$H$5),OR(OR(Dashboard!$B$5="All",Dashboard!$B$5=""),C320=Dashboard!$B$5),OR(OR(Dashboard!$K$5="All",Dashboard!$K$5=""),A320=Dashboard!$K$5),OR(OR(Dashboard!$N$5="All",Dashboard!$N$5=""),B320=Dashboard!$N$5),OR(OR(Dashboard!$Q$5="All",Dashboard!$Q$5=""),D320=Dashboard!$Q$5),OR(OR(Dashboard!$U$5="All",Dashboard!$U$5=""),E320=Dashboard!$U$5)),1,0))</f>
        <v>1</v>
      </c>
      <c r="N320" s="178">
        <f>IF(E320="",0,IF(AND(OR(OR(Dashboard!$E$5="All",Dashboard!$E$5=""),AG320=Dashboard!$E$5),OR(OR(Dashboard!$B$5="All",Dashboard!$B$5=""),C320=Dashboard!$B$5),OR(OR(Dashboard!$K$5="All",Dashboard!$K$5=""),A320=Dashboard!$K$5),OR(OR(Dashboard!$N$5="All",Dashboard!$N$5=""),B320=Dashboard!$N$5),OR(OR(Dashboard!$Q$5="All",Dashboard!$Q$5=""),D320=Dashboard!$Q$5),OR(OR(Dashboard!$U$5="All",Dashboard!$U$5=""),E320=Dashboard!$U$5)),1,0))</f>
        <v>1</v>
      </c>
      <c r="O320" s="165">
        <f t="shared" si="37"/>
        <v>0</v>
      </c>
      <c r="AG320" s="178" t="str">
        <f>IF(E320="","",IFERROR(IF(INDEX('Item Purchases'!$AM$4:$AM$30,MATCH(E320,'Item Purchases'!$B$4:$B$30,0))="","Uncategorised",INDEX('Item Purchases'!$AM$4:$AM$30,MATCH(E320,'Item Purchases'!$B$4:$B$30,0))),"Uncategorised"))</f>
        <v>Beverages</v>
      </c>
      <c r="AH320" s="165">
        <f>IF(AND(E320&lt;&gt;"",L320=1),COUNTIFS($E$2:E320,E320,$L$2:L320,1),0)</f>
        <v>12</v>
      </c>
      <c r="AI320" s="165">
        <f t="shared" si="38"/>
        <v>0</v>
      </c>
      <c r="AJ320" s="165">
        <f t="shared" si="39"/>
        <v>0</v>
      </c>
    </row>
    <row r="321" spans="1:36" x14ac:dyDescent="0.25">
      <c r="A321" s="177">
        <f t="shared" si="41"/>
        <v>46281</v>
      </c>
      <c r="B321" s="178" t="str">
        <f t="shared" si="34"/>
        <v>Wed</v>
      </c>
      <c r="C321" s="178" t="str">
        <f>'Pantry Inventory'!$A$65</f>
        <v>Sep Week 3</v>
      </c>
      <c r="D321" s="178" t="str">
        <f>IF('Pantry Inventory'!A90="","",'Pantry Inventory'!A90)</f>
        <v>F&amp;N</v>
      </c>
      <c r="E321" s="178" t="str">
        <f>IF('Pantry Inventory'!B90="","",'Pantry Inventory'!B90)</f>
        <v>FN 100 plus (original) 325ml</v>
      </c>
      <c r="F321" s="178" t="str">
        <f>IF(E321="","",IFERROR(IF(INDEX('Item Purchases'!$S$4:$S$30,MATCH(E321,'Item Purchases'!$B$4:$B$30,0))="","Uncategorised",INDEX('Item Purchases'!$S$4:$S$30,MATCH(E321,'Item Purchases'!$B$4:$B$30,0))),"Uncategorised"))</f>
        <v>Other</v>
      </c>
      <c r="G321" s="178">
        <f>IF(E321="",0,'Pantry Inventory'!G90)</f>
        <v>0</v>
      </c>
      <c r="H321" s="178">
        <f>IF(E321="","",IF('Pantry Inventory'!H90="","",'Pantry Inventory'!H90))</f>
        <v>42</v>
      </c>
      <c r="I321" s="178">
        <f>IF(H321="","",'Pantry Inventory'!I90)</f>
        <v>0</v>
      </c>
      <c r="J321" s="179">
        <f>IF(E321="",0,IFERROR(INDEX('Item Purchases'!$Q$4:$Q$30,MATCH(E321,'Item Purchases'!$B$4:$B$30,0)),0))</f>
        <v>1.58</v>
      </c>
      <c r="K321" s="180">
        <f t="shared" si="35"/>
        <v>0</v>
      </c>
      <c r="L321" s="178">
        <f t="shared" si="36"/>
        <v>1</v>
      </c>
      <c r="M321" s="178">
        <f>IF(E321="",0,IF(AND(OR(OR(Dashboard!$E$5="All",Dashboard!$E$5=""),AG321=Dashboard!$E$5),OR(OR(Dashboard!$H$5="All",Dashboard!$H$5=""),F321=Dashboard!$H$5),OR(OR(Dashboard!$B$5="All",Dashboard!$B$5=""),C321=Dashboard!$B$5),OR(OR(Dashboard!$K$5="All",Dashboard!$K$5=""),A321=Dashboard!$K$5),OR(OR(Dashboard!$N$5="All",Dashboard!$N$5=""),B321=Dashboard!$N$5),OR(OR(Dashboard!$Q$5="All",Dashboard!$Q$5=""),D321=Dashboard!$Q$5),OR(OR(Dashboard!$U$5="All",Dashboard!$U$5=""),E321=Dashboard!$U$5)),1,0))</f>
        <v>1</v>
      </c>
      <c r="N321" s="178">
        <f>IF(E321="",0,IF(AND(OR(OR(Dashboard!$E$5="All",Dashboard!$E$5=""),AG321=Dashboard!$E$5),OR(OR(Dashboard!$B$5="All",Dashboard!$B$5=""),C321=Dashboard!$B$5),OR(OR(Dashboard!$K$5="All",Dashboard!$K$5=""),A321=Dashboard!$K$5),OR(OR(Dashboard!$N$5="All",Dashboard!$N$5=""),B321=Dashboard!$N$5),OR(OR(Dashboard!$Q$5="All",Dashboard!$Q$5=""),D321=Dashboard!$Q$5),OR(OR(Dashboard!$U$5="All",Dashboard!$U$5=""),E321=Dashboard!$U$5)),1,0))</f>
        <v>1</v>
      </c>
      <c r="O321" s="165">
        <f t="shared" si="37"/>
        <v>0</v>
      </c>
      <c r="AG321" s="178" t="str">
        <f>IF(E321="","",IFERROR(IF(INDEX('Item Purchases'!$AM$4:$AM$30,MATCH(E321,'Item Purchases'!$B$4:$B$30,0))="","Uncategorised",INDEX('Item Purchases'!$AM$4:$AM$30,MATCH(E321,'Item Purchases'!$B$4:$B$30,0))),"Uncategorised"))</f>
        <v>Beverages</v>
      </c>
      <c r="AH321" s="165">
        <f>IF(AND(E321&lt;&gt;"",L321=1),COUNTIFS($E$2:E321,E321,$L$2:L321,1),0)</f>
        <v>12</v>
      </c>
      <c r="AI321" s="165">
        <f t="shared" si="38"/>
        <v>0</v>
      </c>
      <c r="AJ321" s="165">
        <f t="shared" si="39"/>
        <v>1</v>
      </c>
    </row>
    <row r="322" spans="1:36" x14ac:dyDescent="0.25">
      <c r="A322" s="177">
        <f t="shared" si="41"/>
        <v>46281</v>
      </c>
      <c r="B322" s="178" t="str">
        <f t="shared" ref="B322:B385" si="42">IF(A322=0,"",CHOOSE(WEEKDAY(A322,2),"Mon","Tue","Wed","Thu","Fri","Sat","Sun"))</f>
        <v>Wed</v>
      </c>
      <c r="C322" s="178" t="str">
        <f>'Pantry Inventory'!$A$65</f>
        <v>Sep Week 3</v>
      </c>
      <c r="D322" s="178" t="str">
        <f>IF('Pantry Inventory'!A91="","",'Pantry Inventory'!A91)</f>
        <v>Spritzer</v>
      </c>
      <c r="E322" s="178" t="str">
        <f>IF('Pantry Inventory'!B91="","",'Pantry Inventory'!B91)</f>
        <v>Spritzer sparkling water (original) 400ml</v>
      </c>
      <c r="F322" s="178" t="str">
        <f>IF(E322="","",IFERROR(IF(INDEX('Item Purchases'!$S$4:$S$30,MATCH(E322,'Item Purchases'!$B$4:$B$30,0))="","Uncategorised",INDEX('Item Purchases'!$S$4:$S$30,MATCH(E322,'Item Purchases'!$B$4:$B$30,0))),"Uncategorised"))</f>
        <v>Other</v>
      </c>
      <c r="G322" s="178">
        <f>IF(E322="",0,'Pantry Inventory'!G91)</f>
        <v>0</v>
      </c>
      <c r="H322" s="178">
        <f>IF(E322="","",IF('Pantry Inventory'!H91="","",'Pantry Inventory'!H91))</f>
        <v>51</v>
      </c>
      <c r="I322" s="178">
        <f>IF(H322="","",'Pantry Inventory'!I91)</f>
        <v>0</v>
      </c>
      <c r="J322" s="179">
        <f>IF(E322="",0,IFERROR(INDEX('Item Purchases'!$Q$4:$Q$30,MATCH(E322,'Item Purchases'!$B$4:$B$30,0)),0))</f>
        <v>1.616666666666666</v>
      </c>
      <c r="K322" s="180">
        <f t="shared" ref="K322:K385" si="43">IF(I322="","",I322*J322)</f>
        <v>0</v>
      </c>
      <c r="L322" s="178">
        <f t="shared" ref="L322:L385" si="44">IF(H322="",0,1)</f>
        <v>1</v>
      </c>
      <c r="M322" s="178">
        <f>IF(E322="",0,IF(AND(OR(OR(Dashboard!$E$5="All",Dashboard!$E$5=""),AG322=Dashboard!$E$5),OR(OR(Dashboard!$H$5="All",Dashboard!$H$5=""),F322=Dashboard!$H$5),OR(OR(Dashboard!$B$5="All",Dashboard!$B$5=""),C322=Dashboard!$B$5),OR(OR(Dashboard!$K$5="All",Dashboard!$K$5=""),A322=Dashboard!$K$5),OR(OR(Dashboard!$N$5="All",Dashboard!$N$5=""),B322=Dashboard!$N$5),OR(OR(Dashboard!$Q$5="All",Dashboard!$Q$5=""),D322=Dashboard!$Q$5),OR(OR(Dashboard!$U$5="All",Dashboard!$U$5=""),E322=Dashboard!$U$5)),1,0))</f>
        <v>1</v>
      </c>
      <c r="N322" s="178">
        <f>IF(E322="",0,IF(AND(OR(OR(Dashboard!$E$5="All",Dashboard!$E$5=""),AG322=Dashboard!$E$5),OR(OR(Dashboard!$B$5="All",Dashboard!$B$5=""),C322=Dashboard!$B$5),OR(OR(Dashboard!$K$5="All",Dashboard!$K$5=""),A322=Dashboard!$K$5),OR(OR(Dashboard!$N$5="All",Dashboard!$N$5=""),B322=Dashboard!$N$5),OR(OR(Dashboard!$Q$5="All",Dashboard!$Q$5=""),D322=Dashboard!$Q$5),OR(OR(Dashboard!$U$5="All",Dashboard!$U$5=""),E322=Dashboard!$U$5)),1,0))</f>
        <v>1</v>
      </c>
      <c r="O322" s="165">
        <f t="shared" ref="O322:O385" si="45">IF(AND(N(H322)&gt;0,ISNUMBER(I322)),I322^2,0)</f>
        <v>0</v>
      </c>
      <c r="AG322" s="178" t="str">
        <f>IF(E322="","",IFERROR(IF(INDEX('Item Purchases'!$AM$4:$AM$30,MATCH(E322,'Item Purchases'!$B$4:$B$30,0))="","Uncategorised",INDEX('Item Purchases'!$AM$4:$AM$30,MATCH(E322,'Item Purchases'!$B$4:$B$30,0))),"Uncategorised"))</f>
        <v>Beverages</v>
      </c>
      <c r="AH322" s="165">
        <f>IF(AND(E322&lt;&gt;"",L322=1),COUNTIFS($E$2:E322,E322,$L$2:L322,1),0)</f>
        <v>12</v>
      </c>
      <c r="AI322" s="165">
        <f t="shared" ref="AI322:AI385" si="46">IF(ISNUMBER(I322),I322,0)</f>
        <v>0</v>
      </c>
      <c r="AJ322" s="165">
        <f t="shared" ref="AJ322:AJ385" si="47">IF(AND(L322=1,N(H322)&gt;0),1,0)</f>
        <v>1</v>
      </c>
    </row>
    <row r="323" spans="1:36" x14ac:dyDescent="0.25">
      <c r="A323" s="177">
        <f t="shared" si="41"/>
        <v>46281</v>
      </c>
      <c r="B323" s="178" t="str">
        <f t="shared" si="42"/>
        <v>Wed</v>
      </c>
      <c r="C323" s="178" t="str">
        <f>'Pantry Inventory'!$A$65</f>
        <v>Sep Week 3</v>
      </c>
      <c r="D323" s="178" t="str">
        <f>IF('Pantry Inventory'!A92="","",'Pantry Inventory'!A92)</f>
        <v>Oat Side</v>
      </c>
      <c r="E323" s="178" t="str">
        <f>IF('Pantry Inventory'!B92="","",'Pantry Inventory'!B92)</f>
        <v>Oat Side Original 200ml</v>
      </c>
      <c r="F323" s="178" t="str">
        <f>IF(E323="","",IFERROR(IF(INDEX('Item Purchases'!$S$4:$S$30,MATCH(E323,'Item Purchases'!$B$4:$B$30,0))="","Uncategorised",INDEX('Item Purchases'!$S$4:$S$30,MATCH(E323,'Item Purchases'!$B$4:$B$30,0))),"Uncategorised"))</f>
        <v>Other</v>
      </c>
      <c r="G323" s="178">
        <f>IF(E323="",0,'Pantry Inventory'!G92)</f>
        <v>0</v>
      </c>
      <c r="H323" s="178">
        <f>IF(E323="","",IF('Pantry Inventory'!H92="","",'Pantry Inventory'!H92))</f>
        <v>44</v>
      </c>
      <c r="I323" s="178">
        <f>IF(H323="","",'Pantry Inventory'!I92)</f>
        <v>0</v>
      </c>
      <c r="J323" s="179">
        <f>IF(E323="",0,IFERROR(INDEX('Item Purchases'!$Q$4:$Q$30,MATCH(E323,'Item Purchases'!$B$4:$B$30,0)),0))</f>
        <v>3</v>
      </c>
      <c r="K323" s="180">
        <f t="shared" si="43"/>
        <v>0</v>
      </c>
      <c r="L323" s="178">
        <f t="shared" si="44"/>
        <v>1</v>
      </c>
      <c r="M323" s="178">
        <f>IF(E323="",0,IF(AND(OR(OR(Dashboard!$E$5="All",Dashboard!$E$5=""),AG323=Dashboard!$E$5),OR(OR(Dashboard!$H$5="All",Dashboard!$H$5=""),F323=Dashboard!$H$5),OR(OR(Dashboard!$B$5="All",Dashboard!$B$5=""),C323=Dashboard!$B$5),OR(OR(Dashboard!$K$5="All",Dashboard!$K$5=""),A323=Dashboard!$K$5),OR(OR(Dashboard!$N$5="All",Dashboard!$N$5=""),B323=Dashboard!$N$5),OR(OR(Dashboard!$Q$5="All",Dashboard!$Q$5=""),D323=Dashboard!$Q$5),OR(OR(Dashboard!$U$5="All",Dashboard!$U$5=""),E323=Dashboard!$U$5)),1,0))</f>
        <v>1</v>
      </c>
      <c r="N323" s="178">
        <f>IF(E323="",0,IF(AND(OR(OR(Dashboard!$E$5="All",Dashboard!$E$5=""),AG323=Dashboard!$E$5),OR(OR(Dashboard!$B$5="All",Dashboard!$B$5=""),C323=Dashboard!$B$5),OR(OR(Dashboard!$K$5="All",Dashboard!$K$5=""),A323=Dashboard!$K$5),OR(OR(Dashboard!$N$5="All",Dashboard!$N$5=""),B323=Dashboard!$N$5),OR(OR(Dashboard!$Q$5="All",Dashboard!$Q$5=""),D323=Dashboard!$Q$5),OR(OR(Dashboard!$U$5="All",Dashboard!$U$5=""),E323=Dashboard!$U$5)),1,0))</f>
        <v>1</v>
      </c>
      <c r="O323" s="165">
        <f t="shared" si="45"/>
        <v>0</v>
      </c>
      <c r="AG323" s="178" t="str">
        <f>IF(E323="","",IFERROR(IF(INDEX('Item Purchases'!$AM$4:$AM$30,MATCH(E323,'Item Purchases'!$B$4:$B$30,0))="","Uncategorised",INDEX('Item Purchases'!$AM$4:$AM$30,MATCH(E323,'Item Purchases'!$B$4:$B$30,0))),"Uncategorised"))</f>
        <v>Beverages</v>
      </c>
      <c r="AH323" s="165">
        <f>IF(AND(E323&lt;&gt;"",L323=1),COUNTIFS($E$2:E323,E323,$L$2:L323,1),0)</f>
        <v>12</v>
      </c>
      <c r="AI323" s="165">
        <f t="shared" si="46"/>
        <v>0</v>
      </c>
      <c r="AJ323" s="165">
        <f t="shared" si="47"/>
        <v>1</v>
      </c>
    </row>
    <row r="324" spans="1:36" x14ac:dyDescent="0.25">
      <c r="A324" s="177">
        <f t="shared" si="41"/>
        <v>46281</v>
      </c>
      <c r="B324" s="178" t="str">
        <f t="shared" si="42"/>
        <v>Wed</v>
      </c>
      <c r="C324" s="178" t="str">
        <f>'Pantry Inventory'!$A$65</f>
        <v>Sep Week 3</v>
      </c>
      <c r="D324" s="178" t="str">
        <f>IF('Pantry Inventory'!A93="","",'Pantry Inventory'!A93)</f>
        <v>Oat Side</v>
      </c>
      <c r="E324" s="178" t="str">
        <f>IF('Pantry Inventory'!B93="","",'Pantry Inventory'!B93)</f>
        <v>Oat Side Chocolate 200ml</v>
      </c>
      <c r="F324" s="178" t="str">
        <f>IF(E324="","",IFERROR(IF(INDEX('Item Purchases'!$S$4:$S$30,MATCH(E324,'Item Purchases'!$B$4:$B$30,0))="","Uncategorised",INDEX('Item Purchases'!$S$4:$S$30,MATCH(E324,'Item Purchases'!$B$4:$B$30,0))),"Uncategorised"))</f>
        <v>Other</v>
      </c>
      <c r="G324" s="178">
        <f>IF(E324="",0,'Pantry Inventory'!G93)</f>
        <v>0</v>
      </c>
      <c r="H324" s="178">
        <f>IF(E324="","",IF('Pantry Inventory'!H93="","",'Pantry Inventory'!H93))</f>
        <v>37</v>
      </c>
      <c r="I324" s="178">
        <f>IF(H324="","",'Pantry Inventory'!I93)</f>
        <v>0</v>
      </c>
      <c r="J324" s="179">
        <f>IF(E324="",0,IFERROR(INDEX('Item Purchases'!$Q$4:$Q$30,MATCH(E324,'Item Purchases'!$B$4:$B$30,0)),0))</f>
        <v>3</v>
      </c>
      <c r="K324" s="180">
        <f t="shared" si="43"/>
        <v>0</v>
      </c>
      <c r="L324" s="178">
        <f t="shared" si="44"/>
        <v>1</v>
      </c>
      <c r="M324" s="178">
        <f>IF(E324="",0,IF(AND(OR(OR(Dashboard!$E$5="All",Dashboard!$E$5=""),AG324=Dashboard!$E$5),OR(OR(Dashboard!$H$5="All",Dashboard!$H$5=""),F324=Dashboard!$H$5),OR(OR(Dashboard!$B$5="All",Dashboard!$B$5=""),C324=Dashboard!$B$5),OR(OR(Dashboard!$K$5="All",Dashboard!$K$5=""),A324=Dashboard!$K$5),OR(OR(Dashboard!$N$5="All",Dashboard!$N$5=""),B324=Dashboard!$N$5),OR(OR(Dashboard!$Q$5="All",Dashboard!$Q$5=""),D324=Dashboard!$Q$5),OR(OR(Dashboard!$U$5="All",Dashboard!$U$5=""),E324=Dashboard!$U$5)),1,0))</f>
        <v>1</v>
      </c>
      <c r="N324" s="178">
        <f>IF(E324="",0,IF(AND(OR(OR(Dashboard!$E$5="All",Dashboard!$E$5=""),AG324=Dashboard!$E$5),OR(OR(Dashboard!$B$5="All",Dashboard!$B$5=""),C324=Dashboard!$B$5),OR(OR(Dashboard!$K$5="All",Dashboard!$K$5=""),A324=Dashboard!$K$5),OR(OR(Dashboard!$N$5="All",Dashboard!$N$5=""),B324=Dashboard!$N$5),OR(OR(Dashboard!$Q$5="All",Dashboard!$Q$5=""),D324=Dashboard!$Q$5),OR(OR(Dashboard!$U$5="All",Dashboard!$U$5=""),E324=Dashboard!$U$5)),1,0))</f>
        <v>1</v>
      </c>
      <c r="O324" s="165">
        <f t="shared" si="45"/>
        <v>0</v>
      </c>
      <c r="AG324" s="178" t="str">
        <f>IF(E324="","",IFERROR(IF(INDEX('Item Purchases'!$AM$4:$AM$30,MATCH(E324,'Item Purchases'!$B$4:$B$30,0))="","Uncategorised",INDEX('Item Purchases'!$AM$4:$AM$30,MATCH(E324,'Item Purchases'!$B$4:$B$30,0))),"Uncategorised"))</f>
        <v>Beverages</v>
      </c>
      <c r="AH324" s="165">
        <f>IF(AND(E324&lt;&gt;"",L324=1),COUNTIFS($E$2:E324,E324,$L$2:L324,1),0)</f>
        <v>12</v>
      </c>
      <c r="AI324" s="165">
        <f t="shared" si="46"/>
        <v>0</v>
      </c>
      <c r="AJ324" s="165">
        <f t="shared" si="47"/>
        <v>1</v>
      </c>
    </row>
    <row r="325" spans="1:36" x14ac:dyDescent="0.25">
      <c r="A325" s="177">
        <f t="shared" si="41"/>
        <v>46281</v>
      </c>
      <c r="B325" s="178" t="str">
        <f t="shared" si="42"/>
        <v>Wed</v>
      </c>
      <c r="C325" s="178" t="str">
        <f>'Pantry Inventory'!$A$65</f>
        <v>Sep Week 3</v>
      </c>
      <c r="D325" s="178" t="str">
        <f>IF('Pantry Inventory'!A94="","",'Pantry Inventory'!A94)</f>
        <v/>
      </c>
      <c r="E325" s="178" t="str">
        <f>IF('Pantry Inventory'!B94="","",'Pantry Inventory'!B94)</f>
        <v/>
      </c>
      <c r="F325" s="178" t="str">
        <f>IF(E325="","",IFERROR(IF(INDEX('Item Purchases'!$S$4:$S$30,MATCH(E325,'Item Purchases'!$B$4:$B$30,0))="","Uncategorised",INDEX('Item Purchases'!$S$4:$S$30,MATCH(E325,'Item Purchases'!$B$4:$B$30,0))),"Uncategorised"))</f>
        <v/>
      </c>
      <c r="G325" s="178">
        <f>IF(E325="",0,'Pantry Inventory'!G94)</f>
        <v>0</v>
      </c>
      <c r="H325" s="178" t="str">
        <f>IF(E325="","",IF('Pantry Inventory'!H94="","",'Pantry Inventory'!H94))</f>
        <v/>
      </c>
      <c r="I325" s="178" t="str">
        <f>IF(H325="","",'Pantry Inventory'!I94)</f>
        <v/>
      </c>
      <c r="J325" s="179">
        <f>IF(E325="",0,IFERROR(INDEX('Item Purchases'!$Q$4:$Q$30,MATCH(E325,'Item Purchases'!$B$4:$B$30,0)),0))</f>
        <v>0</v>
      </c>
      <c r="K325" s="180" t="str">
        <f t="shared" si="43"/>
        <v/>
      </c>
      <c r="L325" s="178">
        <f t="shared" si="44"/>
        <v>0</v>
      </c>
      <c r="M325" s="178">
        <f>IF(E325="",0,IF(AND(OR(OR(Dashboard!$E$5="All",Dashboard!$E$5=""),AG325=Dashboard!$E$5),OR(OR(Dashboard!$H$5="All",Dashboard!$H$5=""),F325=Dashboard!$H$5),OR(OR(Dashboard!$B$5="All",Dashboard!$B$5=""),C325=Dashboard!$B$5),OR(OR(Dashboard!$K$5="All",Dashboard!$K$5=""),A325=Dashboard!$K$5),OR(OR(Dashboard!$N$5="All",Dashboard!$N$5=""),B325=Dashboard!$N$5),OR(OR(Dashboard!$Q$5="All",Dashboard!$Q$5=""),D325=Dashboard!$Q$5),OR(OR(Dashboard!$U$5="All",Dashboard!$U$5=""),E325=Dashboard!$U$5)),1,0))</f>
        <v>0</v>
      </c>
      <c r="N325" s="178">
        <f>IF(E325="",0,IF(AND(OR(OR(Dashboard!$E$5="All",Dashboard!$E$5=""),AG325=Dashboard!$E$5),OR(OR(Dashboard!$B$5="All",Dashboard!$B$5=""),C325=Dashboard!$B$5),OR(OR(Dashboard!$K$5="All",Dashboard!$K$5=""),A325=Dashboard!$K$5),OR(OR(Dashboard!$N$5="All",Dashboard!$N$5=""),B325=Dashboard!$N$5),OR(OR(Dashboard!$Q$5="All",Dashboard!$Q$5=""),D325=Dashboard!$Q$5),OR(OR(Dashboard!$U$5="All",Dashboard!$U$5=""),E325=Dashboard!$U$5)),1,0))</f>
        <v>0</v>
      </c>
      <c r="O325" s="165">
        <f t="shared" si="45"/>
        <v>0</v>
      </c>
      <c r="AG325" s="178" t="str">
        <f>IF(E325="","",IFERROR(IF(INDEX('Item Purchases'!$AM$4:$AM$30,MATCH(E325,'Item Purchases'!$B$4:$B$30,0))="","Uncategorised",INDEX('Item Purchases'!$AM$4:$AM$30,MATCH(E325,'Item Purchases'!$B$4:$B$30,0))),"Uncategorised"))</f>
        <v/>
      </c>
      <c r="AH325" s="165">
        <f>IF(AND(E325&lt;&gt;"",L325=1),COUNTIFS($E$2:E325,E325,$L$2:L325,1),0)</f>
        <v>0</v>
      </c>
      <c r="AI325" s="165">
        <f t="shared" si="46"/>
        <v>0</v>
      </c>
      <c r="AJ325" s="165">
        <f t="shared" si="47"/>
        <v>0</v>
      </c>
    </row>
    <row r="326" spans="1:36" x14ac:dyDescent="0.25">
      <c r="A326" s="177">
        <f t="shared" ref="A326:A352" si="48">IF($Z$14="",0,$Z$14)</f>
        <v>46282</v>
      </c>
      <c r="B326" s="178" t="str">
        <f t="shared" si="42"/>
        <v>Thu</v>
      </c>
      <c r="C326" s="178" t="str">
        <f>'Pantry Inventory'!$A$65</f>
        <v>Sep Week 3</v>
      </c>
      <c r="D326" s="178" t="str">
        <f>IF('Pantry Inventory'!A68="","",'Pantry Inventory'!A68)</f>
        <v>Julie's</v>
      </c>
      <c r="E326" s="178" t="str">
        <f>IF('Pantry Inventory'!B68="","",'Pantry Inventory'!B68)</f>
        <v>Julie's Peanut Butter Sandwich 360g (12pkts x 30g)</v>
      </c>
      <c r="F326" s="178" t="str">
        <f>IF(E326="","",IFERROR(IF(INDEX('Item Purchases'!$S$4:$S$30,MATCH(E326,'Item Purchases'!$B$4:$B$30,0))="","Uncategorised",INDEX('Item Purchases'!$S$4:$S$30,MATCH(E326,'Item Purchases'!$B$4:$B$30,0))),"Uncategorised"))</f>
        <v>Sweet</v>
      </c>
      <c r="G326" s="178">
        <f>IF(E326="",0,'Pantry Inventory'!J68)</f>
        <v>0</v>
      </c>
      <c r="H326" s="178">
        <f>IF(E326="","",IF('Pantry Inventory'!K68="","",'Pantry Inventory'!K68))</f>
        <v>18</v>
      </c>
      <c r="I326" s="178">
        <f>IF(H326="","",'Pantry Inventory'!L68)</f>
        <v>18</v>
      </c>
      <c r="J326" s="179">
        <f>IF(E326="",0,IFERROR(INDEX('Item Purchases'!$Q$4:$Q$30,MATCH(E326,'Item Purchases'!$B$4:$B$30,0)),0))</f>
        <v>1.083</v>
      </c>
      <c r="K326" s="180">
        <f t="shared" si="43"/>
        <v>19.494</v>
      </c>
      <c r="L326" s="178">
        <f t="shared" si="44"/>
        <v>1</v>
      </c>
      <c r="M326" s="178">
        <f>IF(E326="",0,IF(AND(OR(OR(Dashboard!$E$5="All",Dashboard!$E$5=""),AG326=Dashboard!$E$5),OR(OR(Dashboard!$H$5="All",Dashboard!$H$5=""),F326=Dashboard!$H$5),OR(OR(Dashboard!$B$5="All",Dashboard!$B$5=""),C326=Dashboard!$B$5),OR(OR(Dashboard!$K$5="All",Dashboard!$K$5=""),A326=Dashboard!$K$5),OR(OR(Dashboard!$N$5="All",Dashboard!$N$5=""),B326=Dashboard!$N$5),OR(OR(Dashboard!$Q$5="All",Dashboard!$Q$5=""),D326=Dashboard!$Q$5),OR(OR(Dashboard!$U$5="All",Dashboard!$U$5=""),E326=Dashboard!$U$5)),1,0))</f>
        <v>1</v>
      </c>
      <c r="N326" s="178">
        <f>IF(E326="",0,IF(AND(OR(OR(Dashboard!$E$5="All",Dashboard!$E$5=""),AG326=Dashboard!$E$5),OR(OR(Dashboard!$B$5="All",Dashboard!$B$5=""),C326=Dashboard!$B$5),OR(OR(Dashboard!$K$5="All",Dashboard!$K$5=""),A326=Dashboard!$K$5),OR(OR(Dashboard!$N$5="All",Dashboard!$N$5=""),B326=Dashboard!$N$5),OR(OR(Dashboard!$Q$5="All",Dashboard!$Q$5=""),D326=Dashboard!$Q$5),OR(OR(Dashboard!$U$5="All",Dashboard!$U$5=""),E326=Dashboard!$U$5)),1,0))</f>
        <v>1</v>
      </c>
      <c r="O326" s="165">
        <f t="shared" si="45"/>
        <v>324</v>
      </c>
      <c r="AG326" s="178" t="str">
        <f>IF(E326="","",IFERROR(IF(INDEX('Item Purchases'!$AM$4:$AM$30,MATCH(E326,'Item Purchases'!$B$4:$B$30,0))="","Uncategorised",INDEX('Item Purchases'!$AM$4:$AM$30,MATCH(E326,'Item Purchases'!$B$4:$B$30,0))),"Uncategorised"))</f>
        <v>Snacks</v>
      </c>
      <c r="AH326" s="165">
        <f>IF(AND(E326&lt;&gt;"",L326=1),COUNTIFS($E$2:E326,E326,$L$2:L326,1),0)</f>
        <v>13</v>
      </c>
      <c r="AI326" s="165">
        <f t="shared" si="46"/>
        <v>18</v>
      </c>
      <c r="AJ326" s="165">
        <f t="shared" si="47"/>
        <v>1</v>
      </c>
    </row>
    <row r="327" spans="1:36" x14ac:dyDescent="0.25">
      <c r="A327" s="177">
        <f t="shared" si="48"/>
        <v>46282</v>
      </c>
      <c r="B327" s="178" t="str">
        <f t="shared" si="42"/>
        <v>Thu</v>
      </c>
      <c r="C327" s="178" t="str">
        <f>'Pantry Inventory'!$A$65</f>
        <v>Sep Week 3</v>
      </c>
      <c r="D327" s="178" t="str">
        <f>IF('Pantry Inventory'!A69="","",'Pantry Inventory'!A69)</f>
        <v>Julie's</v>
      </c>
      <c r="E327" s="178" t="str">
        <f>IF('Pantry Inventory'!B69="","",'Pantry Inventory'!B69)</f>
        <v>Julies Butter Waffles</v>
      </c>
      <c r="F327" s="178" t="str">
        <f>IF(E327="","",IFERROR(IF(INDEX('Item Purchases'!$S$4:$S$30,MATCH(E327,'Item Purchases'!$B$4:$B$30,0))="","Uncategorised",INDEX('Item Purchases'!$S$4:$S$30,MATCH(E327,'Item Purchases'!$B$4:$B$30,0))),"Uncategorised"))</f>
        <v>Sweet</v>
      </c>
      <c r="G327" s="178">
        <f>IF(E327="",0,'Pantry Inventory'!J69)</f>
        <v>0</v>
      </c>
      <c r="H327" s="178">
        <f>IF(E327="","",IF('Pantry Inventory'!K69="","",'Pantry Inventory'!K69))</f>
        <v>12</v>
      </c>
      <c r="I327" s="178">
        <f>IF(H327="","",'Pantry Inventory'!L69)</f>
        <v>0</v>
      </c>
      <c r="J327" s="179">
        <f>IF(E327="",0,IFERROR(INDEX('Item Purchases'!$Q$4:$Q$30,MATCH(E327,'Item Purchases'!$B$4:$B$30,0)),0))</f>
        <v>5.15</v>
      </c>
      <c r="K327" s="180">
        <f t="shared" si="43"/>
        <v>0</v>
      </c>
      <c r="L327" s="178">
        <f t="shared" si="44"/>
        <v>1</v>
      </c>
      <c r="M327" s="178">
        <f>IF(E327="",0,IF(AND(OR(OR(Dashboard!$E$5="All",Dashboard!$E$5=""),AG327=Dashboard!$E$5),OR(OR(Dashboard!$H$5="All",Dashboard!$H$5=""),F327=Dashboard!$H$5),OR(OR(Dashboard!$B$5="All",Dashboard!$B$5=""),C327=Dashboard!$B$5),OR(OR(Dashboard!$K$5="All",Dashboard!$K$5=""),A327=Dashboard!$K$5),OR(OR(Dashboard!$N$5="All",Dashboard!$N$5=""),B327=Dashboard!$N$5),OR(OR(Dashboard!$Q$5="All",Dashboard!$Q$5=""),D327=Dashboard!$Q$5),OR(OR(Dashboard!$U$5="All",Dashboard!$U$5=""),E327=Dashboard!$U$5)),1,0))</f>
        <v>1</v>
      </c>
      <c r="N327" s="178">
        <f>IF(E327="",0,IF(AND(OR(OR(Dashboard!$E$5="All",Dashboard!$E$5=""),AG327=Dashboard!$E$5),OR(OR(Dashboard!$B$5="All",Dashboard!$B$5=""),C327=Dashboard!$B$5),OR(OR(Dashboard!$K$5="All",Dashboard!$K$5=""),A327=Dashboard!$K$5),OR(OR(Dashboard!$N$5="All",Dashboard!$N$5=""),B327=Dashboard!$N$5),OR(OR(Dashboard!$Q$5="All",Dashboard!$Q$5=""),D327=Dashboard!$Q$5),OR(OR(Dashboard!$U$5="All",Dashboard!$U$5=""),E327=Dashboard!$U$5)),1,0))</f>
        <v>1</v>
      </c>
      <c r="O327" s="165">
        <f t="shared" si="45"/>
        <v>0</v>
      </c>
      <c r="AG327" s="178" t="str">
        <f>IF(E327="","",IFERROR(IF(INDEX('Item Purchases'!$AM$4:$AM$30,MATCH(E327,'Item Purchases'!$B$4:$B$30,0))="","Uncategorised",INDEX('Item Purchases'!$AM$4:$AM$30,MATCH(E327,'Item Purchases'!$B$4:$B$30,0))),"Uncategorised"))</f>
        <v>Snacks</v>
      </c>
      <c r="AH327" s="165">
        <f>IF(AND(E327&lt;&gt;"",L327=1),COUNTIFS($E$2:E327,E327,$L$2:L327,1),0)</f>
        <v>13</v>
      </c>
      <c r="AI327" s="165">
        <f t="shared" si="46"/>
        <v>0</v>
      </c>
      <c r="AJ327" s="165">
        <f t="shared" si="47"/>
        <v>1</v>
      </c>
    </row>
    <row r="328" spans="1:36" x14ac:dyDescent="0.25">
      <c r="A328" s="177">
        <f t="shared" si="48"/>
        <v>46282</v>
      </c>
      <c r="B328" s="178" t="str">
        <f t="shared" si="42"/>
        <v>Thu</v>
      </c>
      <c r="C328" s="178" t="str">
        <f>'Pantry Inventory'!$A$65</f>
        <v>Sep Week 3</v>
      </c>
      <c r="D328" s="178" t="str">
        <f>IF('Pantry Inventory'!A70="","",'Pantry Inventory'!A70)</f>
        <v>Julie's</v>
      </c>
      <c r="E328" s="178" t="str">
        <f>IF('Pantry Inventory'!B70="","",'Pantry Inventory'!B70)</f>
        <v>Julies Choco More Sandwich (44G)</v>
      </c>
      <c r="F328" s="178" t="str">
        <f>IF(E328="","",IFERROR(IF(INDEX('Item Purchases'!$S$4:$S$30,MATCH(E328,'Item Purchases'!$B$4:$B$30,0))="","Uncategorised",INDEX('Item Purchases'!$S$4:$S$30,MATCH(E328,'Item Purchases'!$B$4:$B$30,0))),"Uncategorised"))</f>
        <v>Sweet</v>
      </c>
      <c r="G328" s="178">
        <f>IF(E328="",0,'Pantry Inventory'!J70)</f>
        <v>40</v>
      </c>
      <c r="H328" s="178">
        <f>IF(E328="","",IF('Pantry Inventory'!K70="","",'Pantry Inventory'!K70))</f>
        <v>40</v>
      </c>
      <c r="I328" s="178">
        <f>IF(H328="","",'Pantry Inventory'!L70)</f>
        <v>0</v>
      </c>
      <c r="J328" s="179">
        <f>IF(E328="",0,IFERROR(INDEX('Item Purchases'!$Q$4:$Q$30,MATCH(E328,'Item Purchases'!$B$4:$B$30,0)),0))</f>
        <v>1.2</v>
      </c>
      <c r="K328" s="180">
        <f t="shared" si="43"/>
        <v>0</v>
      </c>
      <c r="L328" s="178">
        <f t="shared" si="44"/>
        <v>1</v>
      </c>
      <c r="M328" s="178">
        <f>IF(E328="",0,IF(AND(OR(OR(Dashboard!$E$5="All",Dashboard!$E$5=""),AG328=Dashboard!$E$5),OR(OR(Dashboard!$H$5="All",Dashboard!$H$5=""),F328=Dashboard!$H$5),OR(OR(Dashboard!$B$5="All",Dashboard!$B$5=""),C328=Dashboard!$B$5),OR(OR(Dashboard!$K$5="All",Dashboard!$K$5=""),A328=Dashboard!$K$5),OR(OR(Dashboard!$N$5="All",Dashboard!$N$5=""),B328=Dashboard!$N$5),OR(OR(Dashboard!$Q$5="All",Dashboard!$Q$5=""),D328=Dashboard!$Q$5),OR(OR(Dashboard!$U$5="All",Dashboard!$U$5=""),E328=Dashboard!$U$5)),1,0))</f>
        <v>1</v>
      </c>
      <c r="N328" s="178">
        <f>IF(E328="",0,IF(AND(OR(OR(Dashboard!$E$5="All",Dashboard!$E$5=""),AG328=Dashboard!$E$5),OR(OR(Dashboard!$B$5="All",Dashboard!$B$5=""),C328=Dashboard!$B$5),OR(OR(Dashboard!$K$5="All",Dashboard!$K$5=""),A328=Dashboard!$K$5),OR(OR(Dashboard!$N$5="All",Dashboard!$N$5=""),B328=Dashboard!$N$5),OR(OR(Dashboard!$Q$5="All",Dashboard!$Q$5=""),D328=Dashboard!$Q$5),OR(OR(Dashboard!$U$5="All",Dashboard!$U$5=""),E328=Dashboard!$U$5)),1,0))</f>
        <v>1</v>
      </c>
      <c r="O328" s="165">
        <f t="shared" si="45"/>
        <v>0</v>
      </c>
      <c r="AG328" s="178" t="str">
        <f>IF(E328="","",IFERROR(IF(INDEX('Item Purchases'!$AM$4:$AM$30,MATCH(E328,'Item Purchases'!$B$4:$B$30,0))="","Uncategorised",INDEX('Item Purchases'!$AM$4:$AM$30,MATCH(E328,'Item Purchases'!$B$4:$B$30,0))),"Uncategorised"))</f>
        <v>Snacks</v>
      </c>
      <c r="AH328" s="165">
        <f>IF(AND(E328&lt;&gt;"",L328=1),COUNTIFS($E$2:E328,E328,$L$2:L328,1),0)</f>
        <v>13</v>
      </c>
      <c r="AI328" s="165">
        <f t="shared" si="46"/>
        <v>0</v>
      </c>
      <c r="AJ328" s="165">
        <f t="shared" si="47"/>
        <v>1</v>
      </c>
    </row>
    <row r="329" spans="1:36" x14ac:dyDescent="0.25">
      <c r="A329" s="177">
        <f t="shared" si="48"/>
        <v>46282</v>
      </c>
      <c r="B329" s="178" t="str">
        <f t="shared" si="42"/>
        <v>Thu</v>
      </c>
      <c r="C329" s="178" t="str">
        <f>'Pantry Inventory'!$A$65</f>
        <v>Sep Week 3</v>
      </c>
      <c r="D329" s="178" t="str">
        <f>IF('Pantry Inventory'!A71="","",'Pantry Inventory'!A71)</f>
        <v>Julie's</v>
      </c>
      <c r="E329" s="178" t="str">
        <f>IF('Pantry Inventory'!B71="","",'Pantry Inventory'!B71)</f>
        <v>Julies Cheese Sandwich (28G)</v>
      </c>
      <c r="F329" s="178" t="str">
        <f>IF(E329="","",IFERROR(IF(INDEX('Item Purchases'!$S$4:$S$30,MATCH(E329,'Item Purchases'!$B$4:$B$30,0))="","Uncategorised",INDEX('Item Purchases'!$S$4:$S$30,MATCH(E329,'Item Purchases'!$B$4:$B$30,0))),"Uncategorised"))</f>
        <v>Savoury</v>
      </c>
      <c r="G329" s="178">
        <f>IF(E329="",0,'Pantry Inventory'!J71)</f>
        <v>0</v>
      </c>
      <c r="H329" s="178">
        <f>IF(E329="","",IF('Pantry Inventory'!K71="","",'Pantry Inventory'!K71))</f>
        <v>32</v>
      </c>
      <c r="I329" s="178">
        <f>IF(H329="","",'Pantry Inventory'!L71)</f>
        <v>9</v>
      </c>
      <c r="J329" s="179">
        <f>IF(E329="",0,IFERROR(INDEX('Item Purchases'!$Q$4:$Q$30,MATCH(E329,'Item Purchases'!$B$4:$B$30,0)),0))</f>
        <v>1.1000000000000001</v>
      </c>
      <c r="K329" s="180">
        <f t="shared" si="43"/>
        <v>9.9</v>
      </c>
      <c r="L329" s="178">
        <f t="shared" si="44"/>
        <v>1</v>
      </c>
      <c r="M329" s="178">
        <f>IF(E329="",0,IF(AND(OR(OR(Dashboard!$E$5="All",Dashboard!$E$5=""),AG329=Dashboard!$E$5),OR(OR(Dashboard!$H$5="All",Dashboard!$H$5=""),F329=Dashboard!$H$5),OR(OR(Dashboard!$B$5="All",Dashboard!$B$5=""),C329=Dashboard!$B$5),OR(OR(Dashboard!$K$5="All",Dashboard!$K$5=""),A329=Dashboard!$K$5),OR(OR(Dashboard!$N$5="All",Dashboard!$N$5=""),B329=Dashboard!$N$5),OR(OR(Dashboard!$Q$5="All",Dashboard!$Q$5=""),D329=Dashboard!$Q$5),OR(OR(Dashboard!$U$5="All",Dashboard!$U$5=""),E329=Dashboard!$U$5)),1,0))</f>
        <v>1</v>
      </c>
      <c r="N329" s="178">
        <f>IF(E329="",0,IF(AND(OR(OR(Dashboard!$E$5="All",Dashboard!$E$5=""),AG329=Dashboard!$E$5),OR(OR(Dashboard!$B$5="All",Dashboard!$B$5=""),C329=Dashboard!$B$5),OR(OR(Dashboard!$K$5="All",Dashboard!$K$5=""),A329=Dashboard!$K$5),OR(OR(Dashboard!$N$5="All",Dashboard!$N$5=""),B329=Dashboard!$N$5),OR(OR(Dashboard!$Q$5="All",Dashboard!$Q$5=""),D329=Dashboard!$Q$5),OR(OR(Dashboard!$U$5="All",Dashboard!$U$5=""),E329=Dashboard!$U$5)),1,0))</f>
        <v>1</v>
      </c>
      <c r="O329" s="165">
        <f t="shared" si="45"/>
        <v>81</v>
      </c>
      <c r="AG329" s="178" t="str">
        <f>IF(E329="","",IFERROR(IF(INDEX('Item Purchases'!$AM$4:$AM$30,MATCH(E329,'Item Purchases'!$B$4:$B$30,0))="","Uncategorised",INDEX('Item Purchases'!$AM$4:$AM$30,MATCH(E329,'Item Purchases'!$B$4:$B$30,0))),"Uncategorised"))</f>
        <v>Snacks</v>
      </c>
      <c r="AH329" s="165">
        <f>IF(AND(E329&lt;&gt;"",L329=1),COUNTIFS($E$2:E329,E329,$L$2:L329,1),0)</f>
        <v>13</v>
      </c>
      <c r="AI329" s="165">
        <f t="shared" si="46"/>
        <v>9</v>
      </c>
      <c r="AJ329" s="165">
        <f t="shared" si="47"/>
        <v>1</v>
      </c>
    </row>
    <row r="330" spans="1:36" x14ac:dyDescent="0.25">
      <c r="A330" s="177">
        <f t="shared" si="48"/>
        <v>46282</v>
      </c>
      <c r="B330" s="178" t="str">
        <f t="shared" si="42"/>
        <v>Thu</v>
      </c>
      <c r="C330" s="178" t="str">
        <f>'Pantry Inventory'!$A$65</f>
        <v>Sep Week 3</v>
      </c>
      <c r="D330" s="178" t="str">
        <f>IF('Pantry Inventory'!A72="","",'Pantry Inventory'!A72)</f>
        <v>Nature Valley</v>
      </c>
      <c r="E330" s="178" t="str">
        <f>IF('Pantry Inventory'!B72="","",'Pantry Inventory'!B72)</f>
        <v>NV OATS &amp; DARK CHOC 42GX5</v>
      </c>
      <c r="F330" s="178" t="str">
        <f>IF(E330="","",IFERROR(IF(INDEX('Item Purchases'!$S$4:$S$30,MATCH(E330,'Item Purchases'!$B$4:$B$30,0))="","Uncategorised",INDEX('Item Purchases'!$S$4:$S$30,MATCH(E330,'Item Purchases'!$B$4:$B$30,0))),"Uncategorised"))</f>
        <v>Sweet</v>
      </c>
      <c r="G330" s="178">
        <f>IF(E330="",0,'Pantry Inventory'!J72)</f>
        <v>0</v>
      </c>
      <c r="H330" s="178">
        <f>IF(E330="","",IF('Pantry Inventory'!K72="","",'Pantry Inventory'!K72))</f>
        <v>0</v>
      </c>
      <c r="I330" s="178">
        <f>IF(H330="","",'Pantry Inventory'!L72)</f>
        <v>0</v>
      </c>
      <c r="J330" s="179">
        <f>IF(E330="",0,IFERROR(INDEX('Item Purchases'!$Q$4:$Q$30,MATCH(E330,'Item Purchases'!$B$4:$B$30,0)),0))</f>
        <v>2.78</v>
      </c>
      <c r="K330" s="180">
        <f t="shared" si="43"/>
        <v>0</v>
      </c>
      <c r="L330" s="178">
        <f t="shared" si="44"/>
        <v>1</v>
      </c>
      <c r="M330" s="178">
        <f>IF(E330="",0,IF(AND(OR(OR(Dashboard!$E$5="All",Dashboard!$E$5=""),AG330=Dashboard!$E$5),OR(OR(Dashboard!$H$5="All",Dashboard!$H$5=""),F330=Dashboard!$H$5),OR(OR(Dashboard!$B$5="All",Dashboard!$B$5=""),C330=Dashboard!$B$5),OR(OR(Dashboard!$K$5="All",Dashboard!$K$5=""),A330=Dashboard!$K$5),OR(OR(Dashboard!$N$5="All",Dashboard!$N$5=""),B330=Dashboard!$N$5),OR(OR(Dashboard!$Q$5="All",Dashboard!$Q$5=""),D330=Dashboard!$Q$5),OR(OR(Dashboard!$U$5="All",Dashboard!$U$5=""),E330=Dashboard!$U$5)),1,0))</f>
        <v>1</v>
      </c>
      <c r="N330" s="178">
        <f>IF(E330="",0,IF(AND(OR(OR(Dashboard!$E$5="All",Dashboard!$E$5=""),AG330=Dashboard!$E$5),OR(OR(Dashboard!$B$5="All",Dashboard!$B$5=""),C330=Dashboard!$B$5),OR(OR(Dashboard!$K$5="All",Dashboard!$K$5=""),A330=Dashboard!$K$5),OR(OR(Dashboard!$N$5="All",Dashboard!$N$5=""),B330=Dashboard!$N$5),OR(OR(Dashboard!$Q$5="All",Dashboard!$Q$5=""),D330=Dashboard!$Q$5),OR(OR(Dashboard!$U$5="All",Dashboard!$U$5=""),E330=Dashboard!$U$5)),1,0))</f>
        <v>1</v>
      </c>
      <c r="O330" s="165">
        <f t="shared" si="45"/>
        <v>0</v>
      </c>
      <c r="AG330" s="178" t="str">
        <f>IF(E330="","",IFERROR(IF(INDEX('Item Purchases'!$AM$4:$AM$30,MATCH(E330,'Item Purchases'!$B$4:$B$30,0))="","Uncategorised",INDEX('Item Purchases'!$AM$4:$AM$30,MATCH(E330,'Item Purchases'!$B$4:$B$30,0))),"Uncategorised"))</f>
        <v>Snacks</v>
      </c>
      <c r="AH330" s="165">
        <f>IF(AND(E330&lt;&gt;"",L330=1),COUNTIFS($E$2:E330,E330,$L$2:L330,1),0)</f>
        <v>13</v>
      </c>
      <c r="AI330" s="165">
        <f t="shared" si="46"/>
        <v>0</v>
      </c>
      <c r="AJ330" s="165">
        <f t="shared" si="47"/>
        <v>0</v>
      </c>
    </row>
    <row r="331" spans="1:36" x14ac:dyDescent="0.25">
      <c r="A331" s="177">
        <f t="shared" si="48"/>
        <v>46282</v>
      </c>
      <c r="B331" s="178" t="str">
        <f t="shared" si="42"/>
        <v>Thu</v>
      </c>
      <c r="C331" s="178" t="str">
        <f>'Pantry Inventory'!$A$65</f>
        <v>Sep Week 3</v>
      </c>
      <c r="D331" s="178" t="str">
        <f>IF('Pantry Inventory'!A73="","",'Pantry Inventory'!A73)</f>
        <v>Nature Valley</v>
      </c>
      <c r="E331" s="178" t="str">
        <f>IF('Pantry Inventory'!B73="","",'Pantry Inventory'!B73)</f>
        <v xml:space="preserve">NV PROTEIN - SALTED CARAMEL 40G </v>
      </c>
      <c r="F331" s="178" t="str">
        <f>IF(E331="","",IFERROR(IF(INDEX('Item Purchases'!$S$4:$S$30,MATCH(E331,'Item Purchases'!$B$4:$B$30,0))="","Uncategorised",INDEX('Item Purchases'!$S$4:$S$30,MATCH(E331,'Item Purchases'!$B$4:$B$30,0))),"Uncategorised"))</f>
        <v>Sweet</v>
      </c>
      <c r="G331" s="178">
        <f>IF(E331="",0,'Pantry Inventory'!J73)</f>
        <v>0</v>
      </c>
      <c r="H331" s="178">
        <f>IF(E331="","",IF('Pantry Inventory'!K73="","",'Pantry Inventory'!K73))</f>
        <v>0</v>
      </c>
      <c r="I331" s="178">
        <f>IF(H331="","",'Pantry Inventory'!L73)</f>
        <v>0</v>
      </c>
      <c r="J331" s="179">
        <f>IF(E331="",0,IFERROR(INDEX('Item Purchases'!$Q$4:$Q$30,MATCH(E331,'Item Purchases'!$B$4:$B$30,0)),0))</f>
        <v>4.9000000000000004</v>
      </c>
      <c r="K331" s="180">
        <f t="shared" si="43"/>
        <v>0</v>
      </c>
      <c r="L331" s="178">
        <f t="shared" si="44"/>
        <v>1</v>
      </c>
      <c r="M331" s="178">
        <f>IF(E331="",0,IF(AND(OR(OR(Dashboard!$E$5="All",Dashboard!$E$5=""),AG331=Dashboard!$E$5),OR(OR(Dashboard!$H$5="All",Dashboard!$H$5=""),F331=Dashboard!$H$5),OR(OR(Dashboard!$B$5="All",Dashboard!$B$5=""),C331=Dashboard!$B$5),OR(OR(Dashboard!$K$5="All",Dashboard!$K$5=""),A331=Dashboard!$K$5),OR(OR(Dashboard!$N$5="All",Dashboard!$N$5=""),B331=Dashboard!$N$5),OR(OR(Dashboard!$Q$5="All",Dashboard!$Q$5=""),D331=Dashboard!$Q$5),OR(OR(Dashboard!$U$5="All",Dashboard!$U$5=""),E331=Dashboard!$U$5)),1,0))</f>
        <v>1</v>
      </c>
      <c r="N331" s="178">
        <f>IF(E331="",0,IF(AND(OR(OR(Dashboard!$E$5="All",Dashboard!$E$5=""),AG331=Dashboard!$E$5),OR(OR(Dashboard!$B$5="All",Dashboard!$B$5=""),C331=Dashboard!$B$5),OR(OR(Dashboard!$K$5="All",Dashboard!$K$5=""),A331=Dashboard!$K$5),OR(OR(Dashboard!$N$5="All",Dashboard!$N$5=""),B331=Dashboard!$N$5),OR(OR(Dashboard!$Q$5="All",Dashboard!$Q$5=""),D331=Dashboard!$Q$5),OR(OR(Dashboard!$U$5="All",Dashboard!$U$5=""),E331=Dashboard!$U$5)),1,0))</f>
        <v>1</v>
      </c>
      <c r="O331" s="165">
        <f t="shared" si="45"/>
        <v>0</v>
      </c>
      <c r="AG331" s="178" t="str">
        <f>IF(E331="","",IFERROR(IF(INDEX('Item Purchases'!$AM$4:$AM$30,MATCH(E331,'Item Purchases'!$B$4:$B$30,0))="","Uncategorised",INDEX('Item Purchases'!$AM$4:$AM$30,MATCH(E331,'Item Purchases'!$B$4:$B$30,0))),"Uncategorised"))</f>
        <v>Snacks</v>
      </c>
      <c r="AH331" s="165">
        <f>IF(AND(E331&lt;&gt;"",L331=1),COUNTIFS($E$2:E331,E331,$L$2:L331,1),0)</f>
        <v>13</v>
      </c>
      <c r="AI331" s="165">
        <f t="shared" si="46"/>
        <v>0</v>
      </c>
      <c r="AJ331" s="165">
        <f t="shared" si="47"/>
        <v>0</v>
      </c>
    </row>
    <row r="332" spans="1:36" x14ac:dyDescent="0.25">
      <c r="A332" s="177">
        <f t="shared" si="48"/>
        <v>46282</v>
      </c>
      <c r="B332" s="178" t="str">
        <f t="shared" si="42"/>
        <v>Thu</v>
      </c>
      <c r="C332" s="178" t="str">
        <f>'Pantry Inventory'!$A$65</f>
        <v>Sep Week 3</v>
      </c>
      <c r="D332" s="178" t="str">
        <f>IF('Pantry Inventory'!A74="","",'Pantry Inventory'!A74)</f>
        <v>BBMG</v>
      </c>
      <c r="E332" s="178" t="str">
        <f>IF('Pantry Inventory'!B74="","",'Pantry Inventory'!B74)</f>
        <v>BBMG 90G</v>
      </c>
      <c r="F332" s="178" t="str">
        <f>IF(E332="","",IFERROR(IF(INDEX('Item Purchases'!$S$4:$S$30,MATCH(E332,'Item Purchases'!$B$4:$B$30,0))="","Uncategorised",INDEX('Item Purchases'!$S$4:$S$30,MATCH(E332,'Item Purchases'!$B$4:$B$30,0))),"Uncategorised"))</f>
        <v>Savoury</v>
      </c>
      <c r="G332" s="178">
        <f>IF(E332="",0,'Pantry Inventory'!J74)</f>
        <v>0</v>
      </c>
      <c r="H332" s="178">
        <f>IF(E332="","",IF('Pantry Inventory'!K74="","",'Pantry Inventory'!K74))</f>
        <v>0</v>
      </c>
      <c r="I332" s="178">
        <f>IF(H332="","",'Pantry Inventory'!L74)</f>
        <v>0</v>
      </c>
      <c r="J332" s="179">
        <f>IF(E332="",0,IFERROR(INDEX('Item Purchases'!$Q$4:$Q$30,MATCH(E332,'Item Purchases'!$B$4:$B$30,0)),0))</f>
        <v>0.34300000000000003</v>
      </c>
      <c r="K332" s="180">
        <f t="shared" si="43"/>
        <v>0</v>
      </c>
      <c r="L332" s="178">
        <f t="shared" si="44"/>
        <v>1</v>
      </c>
      <c r="M332" s="178">
        <f>IF(E332="",0,IF(AND(OR(OR(Dashboard!$E$5="All",Dashboard!$E$5=""),AG332=Dashboard!$E$5),OR(OR(Dashboard!$H$5="All",Dashboard!$H$5=""),F332=Dashboard!$H$5),OR(OR(Dashboard!$B$5="All",Dashboard!$B$5=""),C332=Dashboard!$B$5),OR(OR(Dashboard!$K$5="All",Dashboard!$K$5=""),A332=Dashboard!$K$5),OR(OR(Dashboard!$N$5="All",Dashboard!$N$5=""),B332=Dashboard!$N$5),OR(OR(Dashboard!$Q$5="All",Dashboard!$Q$5=""),D332=Dashboard!$Q$5),OR(OR(Dashboard!$U$5="All",Dashboard!$U$5=""),E332=Dashboard!$U$5)),1,0))</f>
        <v>1</v>
      </c>
      <c r="N332" s="178">
        <f>IF(E332="",0,IF(AND(OR(OR(Dashboard!$E$5="All",Dashboard!$E$5=""),AG332=Dashboard!$E$5),OR(OR(Dashboard!$B$5="All",Dashboard!$B$5=""),C332=Dashboard!$B$5),OR(OR(Dashboard!$K$5="All",Dashboard!$K$5=""),A332=Dashboard!$K$5),OR(OR(Dashboard!$N$5="All",Dashboard!$N$5=""),B332=Dashboard!$N$5),OR(OR(Dashboard!$Q$5="All",Dashboard!$Q$5=""),D332=Dashboard!$Q$5),OR(OR(Dashboard!$U$5="All",Dashboard!$U$5=""),E332=Dashboard!$U$5)),1,0))</f>
        <v>1</v>
      </c>
      <c r="O332" s="165">
        <f t="shared" si="45"/>
        <v>0</v>
      </c>
      <c r="AG332" s="178" t="str">
        <f>IF(E332="","",IFERROR(IF(INDEX('Item Purchases'!$AM$4:$AM$30,MATCH(E332,'Item Purchases'!$B$4:$B$30,0))="","Uncategorised",INDEX('Item Purchases'!$AM$4:$AM$30,MATCH(E332,'Item Purchases'!$B$4:$B$30,0))),"Uncategorised"))</f>
        <v>Snacks</v>
      </c>
      <c r="AH332" s="165">
        <f>IF(AND(E332&lt;&gt;"",L332=1),COUNTIFS($E$2:E332,E332,$L$2:L332,1),0)</f>
        <v>13</v>
      </c>
      <c r="AI332" s="165">
        <f t="shared" si="46"/>
        <v>0</v>
      </c>
      <c r="AJ332" s="165">
        <f t="shared" si="47"/>
        <v>0</v>
      </c>
    </row>
    <row r="333" spans="1:36" x14ac:dyDescent="0.25">
      <c r="A333" s="177">
        <f t="shared" si="48"/>
        <v>46282</v>
      </c>
      <c r="B333" s="178" t="str">
        <f t="shared" si="42"/>
        <v>Thu</v>
      </c>
      <c r="C333" s="178" t="str">
        <f>'Pantry Inventory'!$A$65</f>
        <v>Sep Week 3</v>
      </c>
      <c r="D333" s="178" t="str">
        <f>IF('Pantry Inventory'!A75="","",'Pantry Inventory'!A75)</f>
        <v>Lays</v>
      </c>
      <c r="E333" s="178" t="str">
        <f>IF('Pantry Inventory'!B75="","",'Pantry Inventory'!B75)</f>
        <v>Lays Potato Chips (Original) 50g</v>
      </c>
      <c r="F333" s="178" t="str">
        <f>IF(E333="","",IFERROR(IF(INDEX('Item Purchases'!$S$4:$S$30,MATCH(E333,'Item Purchases'!$B$4:$B$30,0))="","Uncategorised",INDEX('Item Purchases'!$S$4:$S$30,MATCH(E333,'Item Purchases'!$B$4:$B$30,0))),"Uncategorised"))</f>
        <v>Savoury</v>
      </c>
      <c r="G333" s="178">
        <f>IF(E333="",0,'Pantry Inventory'!J75)</f>
        <v>0</v>
      </c>
      <c r="H333" s="178">
        <f>IF(E333="","",IF('Pantry Inventory'!K75="","",'Pantry Inventory'!K75))</f>
        <v>35</v>
      </c>
      <c r="I333" s="178">
        <f>IF(H333="","",'Pantry Inventory'!L75)</f>
        <v>4</v>
      </c>
      <c r="J333" s="179">
        <f>IF(E333="",0,IFERROR(INDEX('Item Purchases'!$Q$4:$Q$30,MATCH(E333,'Item Purchases'!$B$4:$B$30,0)),0))</f>
        <v>3.4580000000000002</v>
      </c>
      <c r="K333" s="180">
        <f t="shared" si="43"/>
        <v>13.832000000000001</v>
      </c>
      <c r="L333" s="178">
        <f t="shared" si="44"/>
        <v>1</v>
      </c>
      <c r="M333" s="178">
        <f>IF(E333="",0,IF(AND(OR(OR(Dashboard!$E$5="All",Dashboard!$E$5=""),AG333=Dashboard!$E$5),OR(OR(Dashboard!$H$5="All",Dashboard!$H$5=""),F333=Dashboard!$H$5),OR(OR(Dashboard!$B$5="All",Dashboard!$B$5=""),C333=Dashboard!$B$5),OR(OR(Dashboard!$K$5="All",Dashboard!$K$5=""),A333=Dashboard!$K$5),OR(OR(Dashboard!$N$5="All",Dashboard!$N$5=""),B333=Dashboard!$N$5),OR(OR(Dashboard!$Q$5="All",Dashboard!$Q$5=""),D333=Dashboard!$Q$5),OR(OR(Dashboard!$U$5="All",Dashboard!$U$5=""),E333=Dashboard!$U$5)),1,0))</f>
        <v>1</v>
      </c>
      <c r="N333" s="178">
        <f>IF(E333="",0,IF(AND(OR(OR(Dashboard!$E$5="All",Dashboard!$E$5=""),AG333=Dashboard!$E$5),OR(OR(Dashboard!$B$5="All",Dashboard!$B$5=""),C333=Dashboard!$B$5),OR(OR(Dashboard!$K$5="All",Dashboard!$K$5=""),A333=Dashboard!$K$5),OR(OR(Dashboard!$N$5="All",Dashboard!$N$5=""),B333=Dashboard!$N$5),OR(OR(Dashboard!$Q$5="All",Dashboard!$Q$5=""),D333=Dashboard!$Q$5),OR(OR(Dashboard!$U$5="All",Dashboard!$U$5=""),E333=Dashboard!$U$5)),1,0))</f>
        <v>1</v>
      </c>
      <c r="O333" s="165">
        <f t="shared" si="45"/>
        <v>16</v>
      </c>
      <c r="AG333" s="178" t="str">
        <f>IF(E333="","",IFERROR(IF(INDEX('Item Purchases'!$AM$4:$AM$30,MATCH(E333,'Item Purchases'!$B$4:$B$30,0))="","Uncategorised",INDEX('Item Purchases'!$AM$4:$AM$30,MATCH(E333,'Item Purchases'!$B$4:$B$30,0))),"Uncategorised"))</f>
        <v>Snacks</v>
      </c>
      <c r="AH333" s="165">
        <f>IF(AND(E333&lt;&gt;"",L333=1),COUNTIFS($E$2:E333,E333,$L$2:L333,1),0)</f>
        <v>13</v>
      </c>
      <c r="AI333" s="165">
        <f t="shared" si="46"/>
        <v>4</v>
      </c>
      <c r="AJ333" s="165">
        <f t="shared" si="47"/>
        <v>1</v>
      </c>
    </row>
    <row r="334" spans="1:36" x14ac:dyDescent="0.25">
      <c r="A334" s="177">
        <f t="shared" si="48"/>
        <v>46282</v>
      </c>
      <c r="B334" s="178" t="str">
        <f t="shared" si="42"/>
        <v>Thu</v>
      </c>
      <c r="C334" s="178" t="str">
        <f>'Pantry Inventory'!$A$65</f>
        <v>Sep Week 3</v>
      </c>
      <c r="D334" s="178" t="str">
        <f>IF('Pantry Inventory'!A76="","",'Pantry Inventory'!A76)</f>
        <v>Lays</v>
      </c>
      <c r="E334" s="178" t="str">
        <f>IF('Pantry Inventory'!B76="","",'Pantry Inventory'!B76)</f>
        <v xml:space="preserve">Lays Double Crunch - Seaweed Flav (50g) </v>
      </c>
      <c r="F334" s="178" t="str">
        <f>IF(E334="","",IFERROR(IF(INDEX('Item Purchases'!$S$4:$S$30,MATCH(E334,'Item Purchases'!$B$4:$B$30,0))="","Uncategorised",INDEX('Item Purchases'!$S$4:$S$30,MATCH(E334,'Item Purchases'!$B$4:$B$30,0))),"Uncategorised"))</f>
        <v>Savoury</v>
      </c>
      <c r="G334" s="178">
        <f>IF(E334="",0,'Pantry Inventory'!J76)</f>
        <v>20</v>
      </c>
      <c r="H334" s="178">
        <f>IF(E334="","",IF('Pantry Inventory'!K76="","",'Pantry Inventory'!K76))</f>
        <v>25</v>
      </c>
      <c r="I334" s="178">
        <f>IF(H334="","",'Pantry Inventory'!L76)</f>
        <v>17</v>
      </c>
      <c r="J334" s="179">
        <f>IF(E334="",0,IFERROR(INDEX('Item Purchases'!$Q$4:$Q$30,MATCH(E334,'Item Purchases'!$B$4:$B$30,0)),0))</f>
        <v>4</v>
      </c>
      <c r="K334" s="180">
        <f t="shared" si="43"/>
        <v>68</v>
      </c>
      <c r="L334" s="178">
        <f t="shared" si="44"/>
        <v>1</v>
      </c>
      <c r="M334" s="178">
        <f>IF(E334="",0,IF(AND(OR(OR(Dashboard!$E$5="All",Dashboard!$E$5=""),AG334=Dashboard!$E$5),OR(OR(Dashboard!$H$5="All",Dashboard!$H$5=""),F334=Dashboard!$H$5),OR(OR(Dashboard!$B$5="All",Dashboard!$B$5=""),C334=Dashboard!$B$5),OR(OR(Dashboard!$K$5="All",Dashboard!$K$5=""),A334=Dashboard!$K$5),OR(OR(Dashboard!$N$5="All",Dashboard!$N$5=""),B334=Dashboard!$N$5),OR(OR(Dashboard!$Q$5="All",Dashboard!$Q$5=""),D334=Dashboard!$Q$5),OR(OR(Dashboard!$U$5="All",Dashboard!$U$5=""),E334=Dashboard!$U$5)),1,0))</f>
        <v>1</v>
      </c>
      <c r="N334" s="178">
        <f>IF(E334="",0,IF(AND(OR(OR(Dashboard!$E$5="All",Dashboard!$E$5=""),AG334=Dashboard!$E$5),OR(OR(Dashboard!$B$5="All",Dashboard!$B$5=""),C334=Dashboard!$B$5),OR(OR(Dashboard!$K$5="All",Dashboard!$K$5=""),A334=Dashboard!$K$5),OR(OR(Dashboard!$N$5="All",Dashboard!$N$5=""),B334=Dashboard!$N$5),OR(OR(Dashboard!$Q$5="All",Dashboard!$Q$5=""),D334=Dashboard!$Q$5),OR(OR(Dashboard!$U$5="All",Dashboard!$U$5=""),E334=Dashboard!$U$5)),1,0))</f>
        <v>1</v>
      </c>
      <c r="O334" s="165">
        <f t="shared" si="45"/>
        <v>289</v>
      </c>
      <c r="AG334" s="178" t="str">
        <f>IF(E334="","",IFERROR(IF(INDEX('Item Purchases'!$AM$4:$AM$30,MATCH(E334,'Item Purchases'!$B$4:$B$30,0))="","Uncategorised",INDEX('Item Purchases'!$AM$4:$AM$30,MATCH(E334,'Item Purchases'!$B$4:$B$30,0))),"Uncategorised"))</f>
        <v>Snacks</v>
      </c>
      <c r="AH334" s="165">
        <f>IF(AND(E334&lt;&gt;"",L334=1),COUNTIFS($E$2:E334,E334,$L$2:L334,1),0)</f>
        <v>13</v>
      </c>
      <c r="AI334" s="165">
        <f t="shared" si="46"/>
        <v>17</v>
      </c>
      <c r="AJ334" s="165">
        <f t="shared" si="47"/>
        <v>1</v>
      </c>
    </row>
    <row r="335" spans="1:36" x14ac:dyDescent="0.25">
      <c r="A335" s="177">
        <f t="shared" si="48"/>
        <v>46282</v>
      </c>
      <c r="B335" s="178" t="str">
        <f t="shared" si="42"/>
        <v>Thu</v>
      </c>
      <c r="C335" s="178" t="str">
        <f>'Pantry Inventory'!$A$65</f>
        <v>Sep Week 3</v>
      </c>
      <c r="D335" s="178" t="str">
        <f>IF('Pantry Inventory'!A77="","",'Pantry Inventory'!A77)</f>
        <v>Munchy</v>
      </c>
      <c r="E335" s="178" t="str">
        <f>IF('Pantry Inventory'!B77="","",'Pantry Inventory'!B77)</f>
        <v>Munchy Oat Krunch - Dark Choco</v>
      </c>
      <c r="F335" s="178" t="str">
        <f>IF(E335="","",IFERROR(IF(INDEX('Item Purchases'!$S$4:$S$30,MATCH(E335,'Item Purchases'!$B$4:$B$30,0))="","Uncategorised",INDEX('Item Purchases'!$S$4:$S$30,MATCH(E335,'Item Purchases'!$B$4:$B$30,0))),"Uncategorised"))</f>
        <v>Sweet</v>
      </c>
      <c r="G335" s="178">
        <f>IF(E335="",0,'Pantry Inventory'!J77)</f>
        <v>45</v>
      </c>
      <c r="H335" s="178">
        <f>IF(E335="","",IF('Pantry Inventory'!K77="","",'Pantry Inventory'!K77))</f>
        <v>45</v>
      </c>
      <c r="I335" s="178">
        <f>IF(H335="","",'Pantry Inventory'!L77)</f>
        <v>0</v>
      </c>
      <c r="J335" s="179">
        <f>IF(E335="",0,IFERROR(INDEX('Item Purchases'!$Q$4:$Q$30,MATCH(E335,'Item Purchases'!$B$4:$B$30,0)),0))</f>
        <v>0.73</v>
      </c>
      <c r="K335" s="180">
        <f t="shared" si="43"/>
        <v>0</v>
      </c>
      <c r="L335" s="178">
        <f t="shared" si="44"/>
        <v>1</v>
      </c>
      <c r="M335" s="178">
        <f>IF(E335="",0,IF(AND(OR(OR(Dashboard!$E$5="All",Dashboard!$E$5=""),AG335=Dashboard!$E$5),OR(OR(Dashboard!$H$5="All",Dashboard!$H$5=""),F335=Dashboard!$H$5),OR(OR(Dashboard!$B$5="All",Dashboard!$B$5=""),C335=Dashboard!$B$5),OR(OR(Dashboard!$K$5="All",Dashboard!$K$5=""),A335=Dashboard!$K$5),OR(OR(Dashboard!$N$5="All",Dashboard!$N$5=""),B335=Dashboard!$N$5),OR(OR(Dashboard!$Q$5="All",Dashboard!$Q$5=""),D335=Dashboard!$Q$5),OR(OR(Dashboard!$U$5="All",Dashboard!$U$5=""),E335=Dashboard!$U$5)),1,0))</f>
        <v>1</v>
      </c>
      <c r="N335" s="178">
        <f>IF(E335="",0,IF(AND(OR(OR(Dashboard!$E$5="All",Dashboard!$E$5=""),AG335=Dashboard!$E$5),OR(OR(Dashboard!$B$5="All",Dashboard!$B$5=""),C335=Dashboard!$B$5),OR(OR(Dashboard!$K$5="All",Dashboard!$K$5=""),A335=Dashboard!$K$5),OR(OR(Dashboard!$N$5="All",Dashboard!$N$5=""),B335=Dashboard!$N$5),OR(OR(Dashboard!$Q$5="All",Dashboard!$Q$5=""),D335=Dashboard!$Q$5),OR(OR(Dashboard!$U$5="All",Dashboard!$U$5=""),E335=Dashboard!$U$5)),1,0))</f>
        <v>1</v>
      </c>
      <c r="O335" s="165">
        <f t="shared" si="45"/>
        <v>0</v>
      </c>
      <c r="AG335" s="178" t="str">
        <f>IF(E335="","",IFERROR(IF(INDEX('Item Purchases'!$AM$4:$AM$30,MATCH(E335,'Item Purchases'!$B$4:$B$30,0))="","Uncategorised",INDEX('Item Purchases'!$AM$4:$AM$30,MATCH(E335,'Item Purchases'!$B$4:$B$30,0))),"Uncategorised"))</f>
        <v>Snacks</v>
      </c>
      <c r="AH335" s="165">
        <f>IF(AND(E335&lt;&gt;"",L335=1),COUNTIFS($E$2:E335,E335,$L$2:L335,1),0)</f>
        <v>13</v>
      </c>
      <c r="AI335" s="165">
        <f t="shared" si="46"/>
        <v>0</v>
      </c>
      <c r="AJ335" s="165">
        <f t="shared" si="47"/>
        <v>1</v>
      </c>
    </row>
    <row r="336" spans="1:36" x14ac:dyDescent="0.25">
      <c r="A336" s="177">
        <f t="shared" si="48"/>
        <v>46282</v>
      </c>
      <c r="B336" s="178" t="str">
        <f t="shared" si="42"/>
        <v>Thu</v>
      </c>
      <c r="C336" s="178" t="str">
        <f>'Pantry Inventory'!$A$65</f>
        <v>Sep Week 3</v>
      </c>
      <c r="D336" s="178" t="str">
        <f>IF('Pantry Inventory'!A78="","",'Pantry Inventory'!A78)</f>
        <v>Munchy</v>
      </c>
      <c r="E336" s="178" t="str">
        <f>IF('Pantry Inventory'!B78="","",'Pantry Inventory'!B78)</f>
        <v>Munchy Oat Krunch - Strawberry &amp; Blackcurrant</v>
      </c>
      <c r="F336" s="178" t="str">
        <f>IF(E336="","",IFERROR(IF(INDEX('Item Purchases'!$S$4:$S$30,MATCH(E336,'Item Purchases'!$B$4:$B$30,0))="","Uncategorised",INDEX('Item Purchases'!$S$4:$S$30,MATCH(E336,'Item Purchases'!$B$4:$B$30,0))),"Uncategorised"))</f>
        <v>Sweet</v>
      </c>
      <c r="G336" s="178">
        <f>IF(E336="",0,'Pantry Inventory'!J78)</f>
        <v>0</v>
      </c>
      <c r="H336" s="178">
        <f>IF(E336="","",IF('Pantry Inventory'!K78="","",'Pantry Inventory'!K78))</f>
        <v>31</v>
      </c>
      <c r="I336" s="178">
        <f>IF(H336="","",'Pantry Inventory'!L78)</f>
        <v>13</v>
      </c>
      <c r="J336" s="179">
        <f>IF(E336="",0,IFERROR(INDEX('Item Purchases'!$Q$4:$Q$30,MATCH(E336,'Item Purchases'!$B$4:$B$30,0)),0))</f>
        <v>0.73</v>
      </c>
      <c r="K336" s="180">
        <f t="shared" si="43"/>
        <v>9.49</v>
      </c>
      <c r="L336" s="178">
        <f t="shared" si="44"/>
        <v>1</v>
      </c>
      <c r="M336" s="178">
        <f>IF(E336="",0,IF(AND(OR(OR(Dashboard!$E$5="All",Dashboard!$E$5=""),AG336=Dashboard!$E$5),OR(OR(Dashboard!$H$5="All",Dashboard!$H$5=""),F336=Dashboard!$H$5),OR(OR(Dashboard!$B$5="All",Dashboard!$B$5=""),C336=Dashboard!$B$5),OR(OR(Dashboard!$K$5="All",Dashboard!$K$5=""),A336=Dashboard!$K$5),OR(OR(Dashboard!$N$5="All",Dashboard!$N$5=""),B336=Dashboard!$N$5),OR(OR(Dashboard!$Q$5="All",Dashboard!$Q$5=""),D336=Dashboard!$Q$5),OR(OR(Dashboard!$U$5="All",Dashboard!$U$5=""),E336=Dashboard!$U$5)),1,0))</f>
        <v>1</v>
      </c>
      <c r="N336" s="178">
        <f>IF(E336="",0,IF(AND(OR(OR(Dashboard!$E$5="All",Dashboard!$E$5=""),AG336=Dashboard!$E$5),OR(OR(Dashboard!$B$5="All",Dashboard!$B$5=""),C336=Dashboard!$B$5),OR(OR(Dashboard!$K$5="All",Dashboard!$K$5=""),A336=Dashboard!$K$5),OR(OR(Dashboard!$N$5="All",Dashboard!$N$5=""),B336=Dashboard!$N$5),OR(OR(Dashboard!$Q$5="All",Dashboard!$Q$5=""),D336=Dashboard!$Q$5),OR(OR(Dashboard!$U$5="All",Dashboard!$U$5=""),E336=Dashboard!$U$5)),1,0))</f>
        <v>1</v>
      </c>
      <c r="O336" s="165">
        <f t="shared" si="45"/>
        <v>169</v>
      </c>
      <c r="AG336" s="178" t="str">
        <f>IF(E336="","",IFERROR(IF(INDEX('Item Purchases'!$AM$4:$AM$30,MATCH(E336,'Item Purchases'!$B$4:$B$30,0))="","Uncategorised",INDEX('Item Purchases'!$AM$4:$AM$30,MATCH(E336,'Item Purchases'!$B$4:$B$30,0))),"Uncategorised"))</f>
        <v>Snacks</v>
      </c>
      <c r="AH336" s="165">
        <f>IF(AND(E336&lt;&gt;"",L336=1),COUNTIFS($E$2:E336,E336,$L$2:L336,1),0)</f>
        <v>13</v>
      </c>
      <c r="AI336" s="165">
        <f t="shared" si="46"/>
        <v>13</v>
      </c>
      <c r="AJ336" s="165">
        <f t="shared" si="47"/>
        <v>1</v>
      </c>
    </row>
    <row r="337" spans="1:36" x14ac:dyDescent="0.25">
      <c r="A337" s="177">
        <f t="shared" si="48"/>
        <v>46282</v>
      </c>
      <c r="B337" s="178" t="str">
        <f t="shared" si="42"/>
        <v>Thu</v>
      </c>
      <c r="C337" s="178" t="str">
        <f>'Pantry Inventory'!$A$65</f>
        <v>Sep Week 3</v>
      </c>
      <c r="D337" s="178" t="str">
        <f>IF('Pantry Inventory'!A79="","",'Pantry Inventory'!A79)</f>
        <v/>
      </c>
      <c r="E337" s="178" t="str">
        <f>IF('Pantry Inventory'!B79="","",'Pantry Inventory'!B79)</f>
        <v/>
      </c>
      <c r="F337" s="178" t="str">
        <f>IF(E337="","",IFERROR(IF(INDEX('Item Purchases'!$S$4:$S$30,MATCH(E337,'Item Purchases'!$B$4:$B$30,0))="","Uncategorised",INDEX('Item Purchases'!$S$4:$S$30,MATCH(E337,'Item Purchases'!$B$4:$B$30,0))),"Uncategorised"))</f>
        <v/>
      </c>
      <c r="G337" s="178">
        <f>IF(E337="",0,'Pantry Inventory'!J79)</f>
        <v>0</v>
      </c>
      <c r="H337" s="178" t="str">
        <f>IF(E337="","",IF('Pantry Inventory'!K79="","",'Pantry Inventory'!K79))</f>
        <v/>
      </c>
      <c r="I337" s="178" t="str">
        <f>IF(H337="","",'Pantry Inventory'!L79)</f>
        <v/>
      </c>
      <c r="J337" s="179">
        <f>IF(E337="",0,IFERROR(INDEX('Item Purchases'!$Q$4:$Q$30,MATCH(E337,'Item Purchases'!$B$4:$B$30,0)),0))</f>
        <v>0</v>
      </c>
      <c r="K337" s="180" t="str">
        <f t="shared" si="43"/>
        <v/>
      </c>
      <c r="L337" s="178">
        <f t="shared" si="44"/>
        <v>0</v>
      </c>
      <c r="M337" s="178">
        <f>IF(E337="",0,IF(AND(OR(OR(Dashboard!$E$5="All",Dashboard!$E$5=""),AG337=Dashboard!$E$5),OR(OR(Dashboard!$H$5="All",Dashboard!$H$5=""),F337=Dashboard!$H$5),OR(OR(Dashboard!$B$5="All",Dashboard!$B$5=""),C337=Dashboard!$B$5),OR(OR(Dashboard!$K$5="All",Dashboard!$K$5=""),A337=Dashboard!$K$5),OR(OR(Dashboard!$N$5="All",Dashboard!$N$5=""),B337=Dashboard!$N$5),OR(OR(Dashboard!$Q$5="All",Dashboard!$Q$5=""),D337=Dashboard!$Q$5),OR(OR(Dashboard!$U$5="All",Dashboard!$U$5=""),E337=Dashboard!$U$5)),1,0))</f>
        <v>0</v>
      </c>
      <c r="N337" s="178">
        <f>IF(E337="",0,IF(AND(OR(OR(Dashboard!$E$5="All",Dashboard!$E$5=""),AG337=Dashboard!$E$5),OR(OR(Dashboard!$B$5="All",Dashboard!$B$5=""),C337=Dashboard!$B$5),OR(OR(Dashboard!$K$5="All",Dashboard!$K$5=""),A337=Dashboard!$K$5),OR(OR(Dashboard!$N$5="All",Dashboard!$N$5=""),B337=Dashboard!$N$5),OR(OR(Dashboard!$Q$5="All",Dashboard!$Q$5=""),D337=Dashboard!$Q$5),OR(OR(Dashboard!$U$5="All",Dashboard!$U$5=""),E337=Dashboard!$U$5)),1,0))</f>
        <v>0</v>
      </c>
      <c r="O337" s="165">
        <f t="shared" si="45"/>
        <v>0</v>
      </c>
      <c r="AG337" s="178" t="str">
        <f>IF(E337="","",IFERROR(IF(INDEX('Item Purchases'!$AM$4:$AM$30,MATCH(E337,'Item Purchases'!$B$4:$B$30,0))="","Uncategorised",INDEX('Item Purchases'!$AM$4:$AM$30,MATCH(E337,'Item Purchases'!$B$4:$B$30,0))),"Uncategorised"))</f>
        <v/>
      </c>
      <c r="AH337" s="165">
        <f>IF(AND(E337&lt;&gt;"",L337=1),COUNTIFS($E$2:E337,E337,$L$2:L337,1),0)</f>
        <v>0</v>
      </c>
      <c r="AI337" s="165">
        <f t="shared" si="46"/>
        <v>0</v>
      </c>
      <c r="AJ337" s="165">
        <f t="shared" si="47"/>
        <v>0</v>
      </c>
    </row>
    <row r="338" spans="1:36" x14ac:dyDescent="0.25">
      <c r="A338" s="177">
        <f t="shared" si="48"/>
        <v>46282</v>
      </c>
      <c r="B338" s="178" t="str">
        <f t="shared" si="42"/>
        <v>Thu</v>
      </c>
      <c r="C338" s="178" t="str">
        <f>'Pantry Inventory'!$A$65</f>
        <v>Sep Week 3</v>
      </c>
      <c r="D338" s="178" t="str">
        <f>IF('Pantry Inventory'!A80="","",'Pantry Inventory'!A80)</f>
        <v>Nestle</v>
      </c>
      <c r="E338" s="178" t="str">
        <f>IF('Pantry Inventory'!B80="","",'Pantry Inventory'!B80)</f>
        <v>Milo 200ml</v>
      </c>
      <c r="F338" s="178" t="str">
        <f>IF(E338="","",IFERROR(IF(INDEX('Item Purchases'!$S$4:$S$30,MATCH(E338,'Item Purchases'!$B$4:$B$30,0))="","Uncategorised",INDEX('Item Purchases'!$S$4:$S$30,MATCH(E338,'Item Purchases'!$B$4:$B$30,0))),"Uncategorised"))</f>
        <v>Other</v>
      </c>
      <c r="G338" s="178">
        <f>IF(E338="",0,'Pantry Inventory'!J80)</f>
        <v>0</v>
      </c>
      <c r="H338" s="178">
        <f>IF(E338="","",IF('Pantry Inventory'!K80="","",'Pantry Inventory'!K80))</f>
        <v>22</v>
      </c>
      <c r="I338" s="178">
        <f>IF(H338="","",'Pantry Inventory'!L80)</f>
        <v>26</v>
      </c>
      <c r="J338" s="179">
        <f>IF(E338="",0,IFERROR(INDEX('Item Purchases'!$Q$4:$Q$30,MATCH(E338,'Item Purchases'!$B$4:$B$30,0)),0))</f>
        <v>2.37</v>
      </c>
      <c r="K338" s="180">
        <f t="shared" si="43"/>
        <v>61.620000000000005</v>
      </c>
      <c r="L338" s="178">
        <f t="shared" si="44"/>
        <v>1</v>
      </c>
      <c r="M338" s="178">
        <f>IF(E338="",0,IF(AND(OR(OR(Dashboard!$E$5="All",Dashboard!$E$5=""),AG338=Dashboard!$E$5),OR(OR(Dashboard!$H$5="All",Dashboard!$H$5=""),F338=Dashboard!$H$5),OR(OR(Dashboard!$B$5="All",Dashboard!$B$5=""),C338=Dashboard!$B$5),OR(OR(Dashboard!$K$5="All",Dashboard!$K$5=""),A338=Dashboard!$K$5),OR(OR(Dashboard!$N$5="All",Dashboard!$N$5=""),B338=Dashboard!$N$5),OR(OR(Dashboard!$Q$5="All",Dashboard!$Q$5=""),D338=Dashboard!$Q$5),OR(OR(Dashboard!$U$5="All",Dashboard!$U$5=""),E338=Dashboard!$U$5)),1,0))</f>
        <v>1</v>
      </c>
      <c r="N338" s="178">
        <f>IF(E338="",0,IF(AND(OR(OR(Dashboard!$E$5="All",Dashboard!$E$5=""),AG338=Dashboard!$E$5),OR(OR(Dashboard!$B$5="All",Dashboard!$B$5=""),C338=Dashboard!$B$5),OR(OR(Dashboard!$K$5="All",Dashboard!$K$5=""),A338=Dashboard!$K$5),OR(OR(Dashboard!$N$5="All",Dashboard!$N$5=""),B338=Dashboard!$N$5),OR(OR(Dashboard!$Q$5="All",Dashboard!$Q$5=""),D338=Dashboard!$Q$5),OR(OR(Dashboard!$U$5="All",Dashboard!$U$5=""),E338=Dashboard!$U$5)),1,0))</f>
        <v>1</v>
      </c>
      <c r="O338" s="165">
        <f t="shared" si="45"/>
        <v>676</v>
      </c>
      <c r="AG338" s="178" t="str">
        <f>IF(E338="","",IFERROR(IF(INDEX('Item Purchases'!$AM$4:$AM$30,MATCH(E338,'Item Purchases'!$B$4:$B$30,0))="","Uncategorised",INDEX('Item Purchases'!$AM$4:$AM$30,MATCH(E338,'Item Purchases'!$B$4:$B$30,0))),"Uncategorised"))</f>
        <v>Beverages</v>
      </c>
      <c r="AH338" s="165">
        <f>IF(AND(E338&lt;&gt;"",L338=1),COUNTIFS($E$2:E338,E338,$L$2:L338,1),0)</f>
        <v>13</v>
      </c>
      <c r="AI338" s="165">
        <f t="shared" si="46"/>
        <v>26</v>
      </c>
      <c r="AJ338" s="165">
        <f t="shared" si="47"/>
        <v>1</v>
      </c>
    </row>
    <row r="339" spans="1:36" x14ac:dyDescent="0.25">
      <c r="A339" s="177">
        <f t="shared" si="48"/>
        <v>46282</v>
      </c>
      <c r="B339" s="178" t="str">
        <f t="shared" si="42"/>
        <v>Thu</v>
      </c>
      <c r="C339" s="178" t="str">
        <f>'Pantry Inventory'!$A$65</f>
        <v>Sep Week 3</v>
      </c>
      <c r="D339" s="178" t="str">
        <f>IF('Pantry Inventory'!A81="","",'Pantry Inventory'!A81)</f>
        <v>Nestle</v>
      </c>
      <c r="E339" s="178" t="str">
        <f>IF('Pantry Inventory'!B81="","",'Pantry Inventory'!B81)</f>
        <v>Nescafe Latte 240ml</v>
      </c>
      <c r="F339" s="178" t="str">
        <f>IF(E339="","",IFERROR(IF(INDEX('Item Purchases'!$S$4:$S$30,MATCH(E339,'Item Purchases'!$B$4:$B$30,0))="","Uncategorised",INDEX('Item Purchases'!$S$4:$S$30,MATCH(E339,'Item Purchases'!$B$4:$B$30,0))),"Uncategorised"))</f>
        <v>Coffee</v>
      </c>
      <c r="G339" s="178">
        <f>IF(E339="",0,'Pantry Inventory'!J81)</f>
        <v>0</v>
      </c>
      <c r="H339" s="178">
        <f>IF(E339="","",IF('Pantry Inventory'!K81="","",'Pantry Inventory'!K81))</f>
        <v>31</v>
      </c>
      <c r="I339" s="178">
        <f>IF(H339="","",'Pantry Inventory'!L81)</f>
        <v>0</v>
      </c>
      <c r="J339" s="179">
        <f>IF(E339="",0,IFERROR(INDEX('Item Purchases'!$Q$4:$Q$30,MATCH(E339,'Item Purchases'!$B$4:$B$30,0)),0))</f>
        <v>2.1875</v>
      </c>
      <c r="K339" s="180">
        <f t="shared" si="43"/>
        <v>0</v>
      </c>
      <c r="L339" s="178">
        <f t="shared" si="44"/>
        <v>1</v>
      </c>
      <c r="M339" s="178">
        <f>IF(E339="",0,IF(AND(OR(OR(Dashboard!$E$5="All",Dashboard!$E$5=""),AG339=Dashboard!$E$5),OR(OR(Dashboard!$H$5="All",Dashboard!$H$5=""),F339=Dashboard!$H$5),OR(OR(Dashboard!$B$5="All",Dashboard!$B$5=""),C339=Dashboard!$B$5),OR(OR(Dashboard!$K$5="All",Dashboard!$K$5=""),A339=Dashboard!$K$5),OR(OR(Dashboard!$N$5="All",Dashboard!$N$5=""),B339=Dashboard!$N$5),OR(OR(Dashboard!$Q$5="All",Dashboard!$Q$5=""),D339=Dashboard!$Q$5),OR(OR(Dashboard!$U$5="All",Dashboard!$U$5=""),E339=Dashboard!$U$5)),1,0))</f>
        <v>1</v>
      </c>
      <c r="N339" s="178">
        <f>IF(E339="",0,IF(AND(OR(OR(Dashboard!$E$5="All",Dashboard!$E$5=""),AG339=Dashboard!$E$5),OR(OR(Dashboard!$B$5="All",Dashboard!$B$5=""),C339=Dashboard!$B$5),OR(OR(Dashboard!$K$5="All",Dashboard!$K$5=""),A339=Dashboard!$K$5),OR(OR(Dashboard!$N$5="All",Dashboard!$N$5=""),B339=Dashboard!$N$5),OR(OR(Dashboard!$Q$5="All",Dashboard!$Q$5=""),D339=Dashboard!$Q$5),OR(OR(Dashboard!$U$5="All",Dashboard!$U$5=""),E339=Dashboard!$U$5)),1,0))</f>
        <v>1</v>
      </c>
      <c r="O339" s="165">
        <f t="shared" si="45"/>
        <v>0</v>
      </c>
      <c r="AG339" s="178" t="str">
        <f>IF(E339="","",IFERROR(IF(INDEX('Item Purchases'!$AM$4:$AM$30,MATCH(E339,'Item Purchases'!$B$4:$B$30,0))="","Uncategorised",INDEX('Item Purchases'!$AM$4:$AM$30,MATCH(E339,'Item Purchases'!$B$4:$B$30,0))),"Uncategorised"))</f>
        <v>Beverages</v>
      </c>
      <c r="AH339" s="165">
        <f>IF(AND(E339&lt;&gt;"",L339=1),COUNTIFS($E$2:E339,E339,$L$2:L339,1),0)</f>
        <v>13</v>
      </c>
      <c r="AI339" s="165">
        <f t="shared" si="46"/>
        <v>0</v>
      </c>
      <c r="AJ339" s="165">
        <f t="shared" si="47"/>
        <v>1</v>
      </c>
    </row>
    <row r="340" spans="1:36" x14ac:dyDescent="0.25">
      <c r="A340" s="177">
        <f t="shared" si="48"/>
        <v>46282</v>
      </c>
      <c r="B340" s="178" t="str">
        <f t="shared" si="42"/>
        <v>Thu</v>
      </c>
      <c r="C340" s="178" t="str">
        <f>'Pantry Inventory'!$A$65</f>
        <v>Sep Week 3</v>
      </c>
      <c r="D340" s="178" t="str">
        <f>IF('Pantry Inventory'!A82="","",'Pantry Inventory'!A82)</f>
        <v>Nestle</v>
      </c>
      <c r="E340" s="178" t="str">
        <f>IF('Pantry Inventory'!B82="","",'Pantry Inventory'!B82)</f>
        <v>Nescafe original 240ml</v>
      </c>
      <c r="F340" s="178" t="str">
        <f>IF(E340="","",IFERROR(IF(INDEX('Item Purchases'!$S$4:$S$30,MATCH(E340,'Item Purchases'!$B$4:$B$30,0))="","Uncategorised",INDEX('Item Purchases'!$S$4:$S$30,MATCH(E340,'Item Purchases'!$B$4:$B$30,0))),"Uncategorised"))</f>
        <v>Coffee</v>
      </c>
      <c r="G340" s="178">
        <f>IF(E340="",0,'Pantry Inventory'!J82)</f>
        <v>0</v>
      </c>
      <c r="H340" s="178">
        <f>IF(E340="","",IF('Pantry Inventory'!K82="","",'Pantry Inventory'!K82))</f>
        <v>19</v>
      </c>
      <c r="I340" s="178">
        <f>IF(H340="","",'Pantry Inventory'!L82)</f>
        <v>6</v>
      </c>
      <c r="J340" s="179">
        <f>IF(E340="",0,IFERROR(INDEX('Item Purchases'!$Q$4:$Q$30,MATCH(E340,'Item Purchases'!$B$4:$B$30,0)),0))</f>
        <v>2.1875</v>
      </c>
      <c r="K340" s="180">
        <f t="shared" si="43"/>
        <v>13.125</v>
      </c>
      <c r="L340" s="178">
        <f t="shared" si="44"/>
        <v>1</v>
      </c>
      <c r="M340" s="178">
        <f>IF(E340="",0,IF(AND(OR(OR(Dashboard!$E$5="All",Dashboard!$E$5=""),AG340=Dashboard!$E$5),OR(OR(Dashboard!$H$5="All",Dashboard!$H$5=""),F340=Dashboard!$H$5),OR(OR(Dashboard!$B$5="All",Dashboard!$B$5=""),C340=Dashboard!$B$5),OR(OR(Dashboard!$K$5="All",Dashboard!$K$5=""),A340=Dashboard!$K$5),OR(OR(Dashboard!$N$5="All",Dashboard!$N$5=""),B340=Dashboard!$N$5),OR(OR(Dashboard!$Q$5="All",Dashboard!$Q$5=""),D340=Dashboard!$Q$5),OR(OR(Dashboard!$U$5="All",Dashboard!$U$5=""),E340=Dashboard!$U$5)),1,0))</f>
        <v>1</v>
      </c>
      <c r="N340" s="178">
        <f>IF(E340="",0,IF(AND(OR(OR(Dashboard!$E$5="All",Dashboard!$E$5=""),AG340=Dashboard!$E$5),OR(OR(Dashboard!$B$5="All",Dashboard!$B$5=""),C340=Dashboard!$B$5),OR(OR(Dashboard!$K$5="All",Dashboard!$K$5=""),A340=Dashboard!$K$5),OR(OR(Dashboard!$N$5="All",Dashboard!$N$5=""),B340=Dashboard!$N$5),OR(OR(Dashboard!$Q$5="All",Dashboard!$Q$5=""),D340=Dashboard!$Q$5),OR(OR(Dashboard!$U$5="All",Dashboard!$U$5=""),E340=Dashboard!$U$5)),1,0))</f>
        <v>1</v>
      </c>
      <c r="O340" s="165">
        <f t="shared" si="45"/>
        <v>36</v>
      </c>
      <c r="AG340" s="178" t="str">
        <f>IF(E340="","",IFERROR(IF(INDEX('Item Purchases'!$AM$4:$AM$30,MATCH(E340,'Item Purchases'!$B$4:$B$30,0))="","Uncategorised",INDEX('Item Purchases'!$AM$4:$AM$30,MATCH(E340,'Item Purchases'!$B$4:$B$30,0))),"Uncategorised"))</f>
        <v>Beverages</v>
      </c>
      <c r="AH340" s="165">
        <f>IF(AND(E340&lt;&gt;"",L340=1),COUNTIFS($E$2:E340,E340,$L$2:L340,1),0)</f>
        <v>13</v>
      </c>
      <c r="AI340" s="165">
        <f t="shared" si="46"/>
        <v>6</v>
      </c>
      <c r="AJ340" s="165">
        <f t="shared" si="47"/>
        <v>1</v>
      </c>
    </row>
    <row r="341" spans="1:36" x14ac:dyDescent="0.25">
      <c r="A341" s="177">
        <f t="shared" si="48"/>
        <v>46282</v>
      </c>
      <c r="B341" s="178" t="str">
        <f t="shared" si="42"/>
        <v>Thu</v>
      </c>
      <c r="C341" s="178" t="str">
        <f>'Pantry Inventory'!$A$65</f>
        <v>Sep Week 3</v>
      </c>
      <c r="D341" s="178" t="str">
        <f>IF('Pantry Inventory'!A83="","",'Pantry Inventory'!A83)</f>
        <v>COWA</v>
      </c>
      <c r="E341" s="178" t="str">
        <f>IF('Pantry Inventory'!B83="","",'Pantry Inventory'!B83)</f>
        <v>COWA Coconut Water 330 ml</v>
      </c>
      <c r="F341" s="178" t="str">
        <f>IF(E341="","",IFERROR(IF(INDEX('Item Purchases'!$S$4:$S$30,MATCH(E341,'Item Purchases'!$B$4:$B$30,0))="","Uncategorised",INDEX('Item Purchases'!$S$4:$S$30,MATCH(E341,'Item Purchases'!$B$4:$B$30,0))),"Uncategorised"))</f>
        <v>Other</v>
      </c>
      <c r="G341" s="178">
        <f>IF(E341="",0,'Pantry Inventory'!J83)</f>
        <v>0</v>
      </c>
      <c r="H341" s="178">
        <f>IF(E341="","",IF('Pantry Inventory'!K83="","",'Pantry Inventory'!K83))</f>
        <v>89</v>
      </c>
      <c r="I341" s="178">
        <f>IF(H341="","",'Pantry Inventory'!L83)</f>
        <v>35</v>
      </c>
      <c r="J341" s="179">
        <f>IF(E341="",0,IFERROR(INDEX('Item Purchases'!$Q$4:$Q$30,MATCH(E341,'Item Purchases'!$B$4:$B$30,0)),0))</f>
        <v>3</v>
      </c>
      <c r="K341" s="180">
        <f t="shared" si="43"/>
        <v>105</v>
      </c>
      <c r="L341" s="178">
        <f t="shared" si="44"/>
        <v>1</v>
      </c>
      <c r="M341" s="178">
        <f>IF(E341="",0,IF(AND(OR(OR(Dashboard!$E$5="All",Dashboard!$E$5=""),AG341=Dashboard!$E$5),OR(OR(Dashboard!$H$5="All",Dashboard!$H$5=""),F341=Dashboard!$H$5),OR(OR(Dashboard!$B$5="All",Dashboard!$B$5=""),C341=Dashboard!$B$5),OR(OR(Dashboard!$K$5="All",Dashboard!$K$5=""),A341=Dashboard!$K$5),OR(OR(Dashboard!$N$5="All",Dashboard!$N$5=""),B341=Dashboard!$N$5),OR(OR(Dashboard!$Q$5="All",Dashboard!$Q$5=""),D341=Dashboard!$Q$5),OR(OR(Dashboard!$U$5="All",Dashboard!$U$5=""),E341=Dashboard!$U$5)),1,0))</f>
        <v>1</v>
      </c>
      <c r="N341" s="178">
        <f>IF(E341="",0,IF(AND(OR(OR(Dashboard!$E$5="All",Dashboard!$E$5=""),AG341=Dashboard!$E$5),OR(OR(Dashboard!$B$5="All",Dashboard!$B$5=""),C341=Dashboard!$B$5),OR(OR(Dashboard!$K$5="All",Dashboard!$K$5=""),A341=Dashboard!$K$5),OR(OR(Dashboard!$N$5="All",Dashboard!$N$5=""),B341=Dashboard!$N$5),OR(OR(Dashboard!$Q$5="All",Dashboard!$Q$5=""),D341=Dashboard!$Q$5),OR(OR(Dashboard!$U$5="All",Dashboard!$U$5=""),E341=Dashboard!$U$5)),1,0))</f>
        <v>1</v>
      </c>
      <c r="O341" s="165">
        <f t="shared" si="45"/>
        <v>1225</v>
      </c>
      <c r="AG341" s="178" t="str">
        <f>IF(E341="","",IFERROR(IF(INDEX('Item Purchases'!$AM$4:$AM$30,MATCH(E341,'Item Purchases'!$B$4:$B$30,0))="","Uncategorised",INDEX('Item Purchases'!$AM$4:$AM$30,MATCH(E341,'Item Purchases'!$B$4:$B$30,0))),"Uncategorised"))</f>
        <v>Beverages</v>
      </c>
      <c r="AH341" s="165">
        <f>IF(AND(E341&lt;&gt;"",L341=1),COUNTIFS($E$2:E341,E341,$L$2:L341,1),0)</f>
        <v>13</v>
      </c>
      <c r="AI341" s="165">
        <f t="shared" si="46"/>
        <v>35</v>
      </c>
      <c r="AJ341" s="165">
        <f t="shared" si="47"/>
        <v>1</v>
      </c>
    </row>
    <row r="342" spans="1:36" x14ac:dyDescent="0.25">
      <c r="A342" s="177">
        <f t="shared" si="48"/>
        <v>46282</v>
      </c>
      <c r="B342" s="178" t="str">
        <f t="shared" si="42"/>
        <v>Thu</v>
      </c>
      <c r="C342" s="178" t="str">
        <f>'Pantry Inventory'!$A$65</f>
        <v>Sep Week 3</v>
      </c>
      <c r="D342" s="178" t="str">
        <f>IF('Pantry Inventory'!A84="","",'Pantry Inventory'!A84)</f>
        <v>Coca Cola</v>
      </c>
      <c r="E342" s="178" t="str">
        <f>IF('Pantry Inventory'!B84="","",'Pantry Inventory'!B84)</f>
        <v>COKE ZERO  325ML</v>
      </c>
      <c r="F342" s="178" t="str">
        <f>IF(E342="","",IFERROR(IF(INDEX('Item Purchases'!$S$4:$S$30,MATCH(E342,'Item Purchases'!$B$4:$B$30,0))="","Uncategorised",INDEX('Item Purchases'!$S$4:$S$30,MATCH(E342,'Item Purchases'!$B$4:$B$30,0))),"Uncategorised"))</f>
        <v>Other</v>
      </c>
      <c r="G342" s="178">
        <f>IF(E342="",0,'Pantry Inventory'!J84)</f>
        <v>0</v>
      </c>
      <c r="H342" s="178">
        <f>IF(E342="","",IF('Pantry Inventory'!K84="","",'Pantry Inventory'!K84))</f>
        <v>41</v>
      </c>
      <c r="I342" s="178">
        <f>IF(H342="","",'Pantry Inventory'!L84)</f>
        <v>15</v>
      </c>
      <c r="J342" s="179">
        <f>IF(E342="",0,IFERROR(INDEX('Item Purchases'!$Q$4:$Q$30,MATCH(E342,'Item Purchases'!$B$4:$B$30,0)),0))</f>
        <v>1.83</v>
      </c>
      <c r="K342" s="180">
        <f t="shared" si="43"/>
        <v>27.450000000000003</v>
      </c>
      <c r="L342" s="178">
        <f t="shared" si="44"/>
        <v>1</v>
      </c>
      <c r="M342" s="178">
        <f>IF(E342="",0,IF(AND(OR(OR(Dashboard!$E$5="All",Dashboard!$E$5=""),AG342=Dashboard!$E$5),OR(OR(Dashboard!$H$5="All",Dashboard!$H$5=""),F342=Dashboard!$H$5),OR(OR(Dashboard!$B$5="All",Dashboard!$B$5=""),C342=Dashboard!$B$5),OR(OR(Dashboard!$K$5="All",Dashboard!$K$5=""),A342=Dashboard!$K$5),OR(OR(Dashboard!$N$5="All",Dashboard!$N$5=""),B342=Dashboard!$N$5),OR(OR(Dashboard!$Q$5="All",Dashboard!$Q$5=""),D342=Dashboard!$Q$5),OR(OR(Dashboard!$U$5="All",Dashboard!$U$5=""),E342=Dashboard!$U$5)),1,0))</f>
        <v>1</v>
      </c>
      <c r="N342" s="178">
        <f>IF(E342="",0,IF(AND(OR(OR(Dashboard!$E$5="All",Dashboard!$E$5=""),AG342=Dashboard!$E$5),OR(OR(Dashboard!$B$5="All",Dashboard!$B$5=""),C342=Dashboard!$B$5),OR(OR(Dashboard!$K$5="All",Dashboard!$K$5=""),A342=Dashboard!$K$5),OR(OR(Dashboard!$N$5="All",Dashboard!$N$5=""),B342=Dashboard!$N$5),OR(OR(Dashboard!$Q$5="All",Dashboard!$Q$5=""),D342=Dashboard!$Q$5),OR(OR(Dashboard!$U$5="All",Dashboard!$U$5=""),E342=Dashboard!$U$5)),1,0))</f>
        <v>1</v>
      </c>
      <c r="O342" s="165">
        <f t="shared" si="45"/>
        <v>225</v>
      </c>
      <c r="AG342" s="178" t="str">
        <f>IF(E342="","",IFERROR(IF(INDEX('Item Purchases'!$AM$4:$AM$30,MATCH(E342,'Item Purchases'!$B$4:$B$30,0))="","Uncategorised",INDEX('Item Purchases'!$AM$4:$AM$30,MATCH(E342,'Item Purchases'!$B$4:$B$30,0))),"Uncategorised"))</f>
        <v>Beverages</v>
      </c>
      <c r="AH342" s="165">
        <f>IF(AND(E342&lt;&gt;"",L342=1),COUNTIFS($E$2:E342,E342,$L$2:L342,1),0)</f>
        <v>13</v>
      </c>
      <c r="AI342" s="165">
        <f t="shared" si="46"/>
        <v>15</v>
      </c>
      <c r="AJ342" s="165">
        <f t="shared" si="47"/>
        <v>1</v>
      </c>
    </row>
    <row r="343" spans="1:36" x14ac:dyDescent="0.25">
      <c r="A343" s="177">
        <f t="shared" si="48"/>
        <v>46282</v>
      </c>
      <c r="B343" s="178" t="str">
        <f t="shared" si="42"/>
        <v>Thu</v>
      </c>
      <c r="C343" s="178" t="str">
        <f>'Pantry Inventory'!$A$65</f>
        <v>Sep Week 3</v>
      </c>
      <c r="D343" s="178" t="str">
        <f>IF('Pantry Inventory'!A85="","",'Pantry Inventory'!A85)</f>
        <v>Coca Cola</v>
      </c>
      <c r="E343" s="178" t="str">
        <f>IF('Pantry Inventory'!B85="","",'Pantry Inventory'!B85)</f>
        <v>Ayataka Tea 300ml</v>
      </c>
      <c r="F343" s="178" t="str">
        <f>IF(E343="","",IFERROR(IF(INDEX('Item Purchases'!$S$4:$S$30,MATCH(E343,'Item Purchases'!$B$4:$B$30,0))="","Uncategorised",INDEX('Item Purchases'!$S$4:$S$30,MATCH(E343,'Item Purchases'!$B$4:$B$30,0))),"Uncategorised"))</f>
        <v>Tea</v>
      </c>
      <c r="G343" s="178">
        <f>IF(E343="",0,'Pantry Inventory'!J85)</f>
        <v>0</v>
      </c>
      <c r="H343" s="178">
        <f>IF(E343="","",IF('Pantry Inventory'!K85="","",'Pantry Inventory'!K85))</f>
        <v>0</v>
      </c>
      <c r="I343" s="178">
        <f>IF(H343="","",'Pantry Inventory'!L85)</f>
        <v>0</v>
      </c>
      <c r="J343" s="179">
        <f>IF(E343="",0,IFERROR(INDEX('Item Purchases'!$Q$4:$Q$30,MATCH(E343,'Item Purchases'!$B$4:$B$30,0)),0))</f>
        <v>1.75</v>
      </c>
      <c r="K343" s="180">
        <f t="shared" si="43"/>
        <v>0</v>
      </c>
      <c r="L343" s="178">
        <f t="shared" si="44"/>
        <v>1</v>
      </c>
      <c r="M343" s="178">
        <f>IF(E343="",0,IF(AND(OR(OR(Dashboard!$E$5="All",Dashboard!$E$5=""),AG343=Dashboard!$E$5),OR(OR(Dashboard!$H$5="All",Dashboard!$H$5=""),F343=Dashboard!$H$5),OR(OR(Dashboard!$B$5="All",Dashboard!$B$5=""),C343=Dashboard!$B$5),OR(OR(Dashboard!$K$5="All",Dashboard!$K$5=""),A343=Dashboard!$K$5),OR(OR(Dashboard!$N$5="All",Dashboard!$N$5=""),B343=Dashboard!$N$5),OR(OR(Dashboard!$Q$5="All",Dashboard!$Q$5=""),D343=Dashboard!$Q$5),OR(OR(Dashboard!$U$5="All",Dashboard!$U$5=""),E343=Dashboard!$U$5)),1,0))</f>
        <v>1</v>
      </c>
      <c r="N343" s="178">
        <f>IF(E343="",0,IF(AND(OR(OR(Dashboard!$E$5="All",Dashboard!$E$5=""),AG343=Dashboard!$E$5),OR(OR(Dashboard!$B$5="All",Dashboard!$B$5=""),C343=Dashboard!$B$5),OR(OR(Dashboard!$K$5="All",Dashboard!$K$5=""),A343=Dashboard!$K$5),OR(OR(Dashboard!$N$5="All",Dashboard!$N$5=""),B343=Dashboard!$N$5),OR(OR(Dashboard!$Q$5="All",Dashboard!$Q$5=""),D343=Dashboard!$Q$5),OR(OR(Dashboard!$U$5="All",Dashboard!$U$5=""),E343=Dashboard!$U$5)),1,0))</f>
        <v>1</v>
      </c>
      <c r="O343" s="165">
        <f t="shared" si="45"/>
        <v>0</v>
      </c>
      <c r="AG343" s="178" t="str">
        <f>IF(E343="","",IFERROR(IF(INDEX('Item Purchases'!$AM$4:$AM$30,MATCH(E343,'Item Purchases'!$B$4:$B$30,0))="","Uncategorised",INDEX('Item Purchases'!$AM$4:$AM$30,MATCH(E343,'Item Purchases'!$B$4:$B$30,0))),"Uncategorised"))</f>
        <v>Beverages</v>
      </c>
      <c r="AH343" s="165">
        <f>IF(AND(E343&lt;&gt;"",L343=1),COUNTIFS($E$2:E343,E343,$L$2:L343,1),0)</f>
        <v>13</v>
      </c>
      <c r="AI343" s="165">
        <f t="shared" si="46"/>
        <v>0</v>
      </c>
      <c r="AJ343" s="165">
        <f t="shared" si="47"/>
        <v>0</v>
      </c>
    </row>
    <row r="344" spans="1:36" x14ac:dyDescent="0.25">
      <c r="A344" s="177">
        <f t="shared" si="48"/>
        <v>46282</v>
      </c>
      <c r="B344" s="178" t="str">
        <f t="shared" si="42"/>
        <v>Thu</v>
      </c>
      <c r="C344" s="178" t="str">
        <f>'Pantry Inventory'!$A$65</f>
        <v>Sep Week 3</v>
      </c>
      <c r="D344" s="178" t="str">
        <f>IF('Pantry Inventory'!A86="","",'Pantry Inventory'!A86)</f>
        <v>Coca Cola</v>
      </c>
      <c r="E344" s="178" t="str">
        <f>IF('Pantry Inventory'!B86="","",'Pantry Inventory'!B86)</f>
        <v>Oolong Tea 300ml</v>
      </c>
      <c r="F344" s="178" t="str">
        <f>IF(E344="","",IFERROR(IF(INDEX('Item Purchases'!$S$4:$S$30,MATCH(E344,'Item Purchases'!$B$4:$B$30,0))="","Uncategorised",INDEX('Item Purchases'!$S$4:$S$30,MATCH(E344,'Item Purchases'!$B$4:$B$30,0))),"Uncategorised"))</f>
        <v>Tea</v>
      </c>
      <c r="G344" s="178">
        <f>IF(E344="",0,'Pantry Inventory'!J86)</f>
        <v>0</v>
      </c>
      <c r="H344" s="178">
        <f>IF(E344="","",IF('Pantry Inventory'!K86="","",'Pantry Inventory'!K86))</f>
        <v>0</v>
      </c>
      <c r="I344" s="178">
        <f>IF(H344="","",'Pantry Inventory'!L86)</f>
        <v>0</v>
      </c>
      <c r="J344" s="179">
        <f>IF(E344="",0,IFERROR(INDEX('Item Purchases'!$Q$4:$Q$30,MATCH(E344,'Item Purchases'!$B$4:$B$30,0)),0))</f>
        <v>1.75</v>
      </c>
      <c r="K344" s="180">
        <f t="shared" si="43"/>
        <v>0</v>
      </c>
      <c r="L344" s="178">
        <f t="shared" si="44"/>
        <v>1</v>
      </c>
      <c r="M344" s="178">
        <f>IF(E344="",0,IF(AND(OR(OR(Dashboard!$E$5="All",Dashboard!$E$5=""),AG344=Dashboard!$E$5),OR(OR(Dashboard!$H$5="All",Dashboard!$H$5=""),F344=Dashboard!$H$5),OR(OR(Dashboard!$B$5="All",Dashboard!$B$5=""),C344=Dashboard!$B$5),OR(OR(Dashboard!$K$5="All",Dashboard!$K$5=""),A344=Dashboard!$K$5),OR(OR(Dashboard!$N$5="All",Dashboard!$N$5=""),B344=Dashboard!$N$5),OR(OR(Dashboard!$Q$5="All",Dashboard!$Q$5=""),D344=Dashboard!$Q$5),OR(OR(Dashboard!$U$5="All",Dashboard!$U$5=""),E344=Dashboard!$U$5)),1,0))</f>
        <v>1</v>
      </c>
      <c r="N344" s="178">
        <f>IF(E344="",0,IF(AND(OR(OR(Dashboard!$E$5="All",Dashboard!$E$5=""),AG344=Dashboard!$E$5),OR(OR(Dashboard!$B$5="All",Dashboard!$B$5=""),C344=Dashboard!$B$5),OR(OR(Dashboard!$K$5="All",Dashboard!$K$5=""),A344=Dashboard!$K$5),OR(OR(Dashboard!$N$5="All",Dashboard!$N$5=""),B344=Dashboard!$N$5),OR(OR(Dashboard!$Q$5="All",Dashboard!$Q$5=""),D344=Dashboard!$Q$5),OR(OR(Dashboard!$U$5="All",Dashboard!$U$5=""),E344=Dashboard!$U$5)),1,0))</f>
        <v>1</v>
      </c>
      <c r="O344" s="165">
        <f t="shared" si="45"/>
        <v>0</v>
      </c>
      <c r="AG344" s="178" t="str">
        <f>IF(E344="","",IFERROR(IF(INDEX('Item Purchases'!$AM$4:$AM$30,MATCH(E344,'Item Purchases'!$B$4:$B$30,0))="","Uncategorised",INDEX('Item Purchases'!$AM$4:$AM$30,MATCH(E344,'Item Purchases'!$B$4:$B$30,0))),"Uncategorised"))</f>
        <v>Beverages</v>
      </c>
      <c r="AH344" s="165">
        <f>IF(AND(E344&lt;&gt;"",L344=1),COUNTIFS($E$2:E344,E344,$L$2:L344,1),0)</f>
        <v>13</v>
      </c>
      <c r="AI344" s="165">
        <f t="shared" si="46"/>
        <v>0</v>
      </c>
      <c r="AJ344" s="165">
        <f t="shared" si="47"/>
        <v>0</v>
      </c>
    </row>
    <row r="345" spans="1:36" x14ac:dyDescent="0.25">
      <c r="A345" s="177">
        <f t="shared" si="48"/>
        <v>46282</v>
      </c>
      <c r="B345" s="178" t="str">
        <f t="shared" si="42"/>
        <v>Thu</v>
      </c>
      <c r="C345" s="178" t="str">
        <f>'Pantry Inventory'!$A$65</f>
        <v>Sep Week 3</v>
      </c>
      <c r="D345" s="178" t="str">
        <f>IF('Pantry Inventory'!A87="","",'Pantry Inventory'!A87)</f>
        <v>Vsoy</v>
      </c>
      <c r="E345" s="178" t="str">
        <f>IF('Pantry Inventory'!B87="","",'Pantry Inventory'!B87)</f>
        <v>Vsoy Soya Bean  250ml</v>
      </c>
      <c r="F345" s="178" t="str">
        <f>IF(E345="","",IFERROR(IF(INDEX('Item Purchases'!$S$4:$S$30,MATCH(E345,'Item Purchases'!$B$4:$B$30,0))="","Uncategorised",INDEX('Item Purchases'!$S$4:$S$30,MATCH(E345,'Item Purchases'!$B$4:$B$30,0))),"Uncategorised"))</f>
        <v>Other</v>
      </c>
      <c r="G345" s="178">
        <f>IF(E345="",0,'Pantry Inventory'!J87)</f>
        <v>0</v>
      </c>
      <c r="H345" s="178">
        <f>IF(E345="","",IF('Pantry Inventory'!K87="","",'Pantry Inventory'!K87))</f>
        <v>0</v>
      </c>
      <c r="I345" s="178">
        <f>IF(H345="","",'Pantry Inventory'!L87)</f>
        <v>0</v>
      </c>
      <c r="J345" s="179">
        <f>IF(E345="",0,IFERROR(INDEX('Item Purchases'!$Q$4:$Q$30,MATCH(E345,'Item Purchases'!$B$4:$B$30,0)),0))</f>
        <v>1.25</v>
      </c>
      <c r="K345" s="180">
        <f t="shared" si="43"/>
        <v>0</v>
      </c>
      <c r="L345" s="178">
        <f t="shared" si="44"/>
        <v>1</v>
      </c>
      <c r="M345" s="178">
        <f>IF(E345="",0,IF(AND(OR(OR(Dashboard!$E$5="All",Dashboard!$E$5=""),AG345=Dashboard!$E$5),OR(OR(Dashboard!$H$5="All",Dashboard!$H$5=""),F345=Dashboard!$H$5),OR(OR(Dashboard!$B$5="All",Dashboard!$B$5=""),C345=Dashboard!$B$5),OR(OR(Dashboard!$K$5="All",Dashboard!$K$5=""),A345=Dashboard!$K$5),OR(OR(Dashboard!$N$5="All",Dashboard!$N$5=""),B345=Dashboard!$N$5),OR(OR(Dashboard!$Q$5="All",Dashboard!$Q$5=""),D345=Dashboard!$Q$5),OR(OR(Dashboard!$U$5="All",Dashboard!$U$5=""),E345=Dashboard!$U$5)),1,0))</f>
        <v>1</v>
      </c>
      <c r="N345" s="178">
        <f>IF(E345="",0,IF(AND(OR(OR(Dashboard!$E$5="All",Dashboard!$E$5=""),AG345=Dashboard!$E$5),OR(OR(Dashboard!$B$5="All",Dashboard!$B$5=""),C345=Dashboard!$B$5),OR(OR(Dashboard!$K$5="All",Dashboard!$K$5=""),A345=Dashboard!$K$5),OR(OR(Dashboard!$N$5="All",Dashboard!$N$5=""),B345=Dashboard!$N$5),OR(OR(Dashboard!$Q$5="All",Dashboard!$Q$5=""),D345=Dashboard!$Q$5),OR(OR(Dashboard!$U$5="All",Dashboard!$U$5=""),E345=Dashboard!$U$5)),1,0))</f>
        <v>1</v>
      </c>
      <c r="O345" s="165">
        <f t="shared" si="45"/>
        <v>0</v>
      </c>
      <c r="AG345" s="178" t="str">
        <f>IF(E345="","",IFERROR(IF(INDEX('Item Purchases'!$AM$4:$AM$30,MATCH(E345,'Item Purchases'!$B$4:$B$30,0))="","Uncategorised",INDEX('Item Purchases'!$AM$4:$AM$30,MATCH(E345,'Item Purchases'!$B$4:$B$30,0))),"Uncategorised"))</f>
        <v>Beverages</v>
      </c>
      <c r="AH345" s="165">
        <f>IF(AND(E345&lt;&gt;"",L345=1),COUNTIFS($E$2:E345,E345,$L$2:L345,1),0)</f>
        <v>13</v>
      </c>
      <c r="AI345" s="165">
        <f t="shared" si="46"/>
        <v>0</v>
      </c>
      <c r="AJ345" s="165">
        <f t="shared" si="47"/>
        <v>0</v>
      </c>
    </row>
    <row r="346" spans="1:36" x14ac:dyDescent="0.25">
      <c r="A346" s="177">
        <f t="shared" si="48"/>
        <v>46282</v>
      </c>
      <c r="B346" s="178" t="str">
        <f t="shared" si="42"/>
        <v>Thu</v>
      </c>
      <c r="C346" s="178" t="str">
        <f>'Pantry Inventory'!$A$65</f>
        <v>Sep Week 3</v>
      </c>
      <c r="D346" s="178" t="str">
        <f>IF('Pantry Inventory'!A88="","",'Pantry Inventory'!A88)</f>
        <v>BingRae</v>
      </c>
      <c r="E346" s="178" t="str">
        <f>IF('Pantry Inventory'!B88="","",'Pantry Inventory'!B88)</f>
        <v>BingRae Banana Milk 200ml</v>
      </c>
      <c r="F346" s="178" t="str">
        <f>IF(E346="","",IFERROR(IF(INDEX('Item Purchases'!$S$4:$S$30,MATCH(E346,'Item Purchases'!$B$4:$B$30,0))="","Uncategorised",INDEX('Item Purchases'!$S$4:$S$30,MATCH(E346,'Item Purchases'!$B$4:$B$30,0))),"Uncategorised"))</f>
        <v>Other</v>
      </c>
      <c r="G346" s="178">
        <f>IF(E346="",0,'Pantry Inventory'!J88)</f>
        <v>0</v>
      </c>
      <c r="H346" s="178">
        <f>IF(E346="","",IF('Pantry Inventory'!K88="","",'Pantry Inventory'!K88))</f>
        <v>24</v>
      </c>
      <c r="I346" s="178">
        <f>IF(H346="","",'Pantry Inventory'!L88)</f>
        <v>12</v>
      </c>
      <c r="J346" s="179">
        <f>IF(E346="",0,IFERROR(INDEX('Item Purchases'!$Q$4:$Q$30,MATCH(E346,'Item Purchases'!$B$4:$B$30,0)),0))</f>
        <v>3.3159999999999998</v>
      </c>
      <c r="K346" s="180">
        <f t="shared" si="43"/>
        <v>39.792000000000002</v>
      </c>
      <c r="L346" s="178">
        <f t="shared" si="44"/>
        <v>1</v>
      </c>
      <c r="M346" s="178">
        <f>IF(E346="",0,IF(AND(OR(OR(Dashboard!$E$5="All",Dashboard!$E$5=""),AG346=Dashboard!$E$5),OR(OR(Dashboard!$H$5="All",Dashboard!$H$5=""),F346=Dashboard!$H$5),OR(OR(Dashboard!$B$5="All",Dashboard!$B$5=""),C346=Dashboard!$B$5),OR(OR(Dashboard!$K$5="All",Dashboard!$K$5=""),A346=Dashboard!$K$5),OR(OR(Dashboard!$N$5="All",Dashboard!$N$5=""),B346=Dashboard!$N$5),OR(OR(Dashboard!$Q$5="All",Dashboard!$Q$5=""),D346=Dashboard!$Q$5),OR(OR(Dashboard!$U$5="All",Dashboard!$U$5=""),E346=Dashboard!$U$5)),1,0))</f>
        <v>1</v>
      </c>
      <c r="N346" s="178">
        <f>IF(E346="",0,IF(AND(OR(OR(Dashboard!$E$5="All",Dashboard!$E$5=""),AG346=Dashboard!$E$5),OR(OR(Dashboard!$B$5="All",Dashboard!$B$5=""),C346=Dashboard!$B$5),OR(OR(Dashboard!$K$5="All",Dashboard!$K$5=""),A346=Dashboard!$K$5),OR(OR(Dashboard!$N$5="All",Dashboard!$N$5=""),B346=Dashboard!$N$5),OR(OR(Dashboard!$Q$5="All",Dashboard!$Q$5=""),D346=Dashboard!$Q$5),OR(OR(Dashboard!$U$5="All",Dashboard!$U$5=""),E346=Dashboard!$U$5)),1,0))</f>
        <v>1</v>
      </c>
      <c r="O346" s="165">
        <f t="shared" si="45"/>
        <v>144</v>
      </c>
      <c r="AG346" s="178" t="str">
        <f>IF(E346="","",IFERROR(IF(INDEX('Item Purchases'!$AM$4:$AM$30,MATCH(E346,'Item Purchases'!$B$4:$B$30,0))="","Uncategorised",INDEX('Item Purchases'!$AM$4:$AM$30,MATCH(E346,'Item Purchases'!$B$4:$B$30,0))),"Uncategorised"))</f>
        <v>Beverages</v>
      </c>
      <c r="AH346" s="165">
        <f>IF(AND(E346&lt;&gt;"",L346=1),COUNTIFS($E$2:E346,E346,$L$2:L346,1),0)</f>
        <v>13</v>
      </c>
      <c r="AI346" s="165">
        <f t="shared" si="46"/>
        <v>12</v>
      </c>
      <c r="AJ346" s="165">
        <f t="shared" si="47"/>
        <v>1</v>
      </c>
    </row>
    <row r="347" spans="1:36" x14ac:dyDescent="0.25">
      <c r="A347" s="177">
        <f t="shared" si="48"/>
        <v>46282</v>
      </c>
      <c r="B347" s="178" t="str">
        <f t="shared" si="42"/>
        <v>Thu</v>
      </c>
      <c r="C347" s="178" t="str">
        <f>'Pantry Inventory'!$A$65</f>
        <v>Sep Week 3</v>
      </c>
      <c r="D347" s="178" t="str">
        <f>IF('Pantry Inventory'!A89="","",'Pantry Inventory'!A89)</f>
        <v>Fuze Tea</v>
      </c>
      <c r="E347" s="178" t="str">
        <f>IF('Pantry Inventory'!B89="","",'Pantry Inventory'!B89)</f>
        <v>Fuze Tea by Heaven and Earth Jasmine Tea</v>
      </c>
      <c r="F347" s="178" t="str">
        <f>IF(E347="","",IFERROR(IF(INDEX('Item Purchases'!$S$4:$S$30,MATCH(E347,'Item Purchases'!$B$4:$B$30,0))="","Uncategorised",INDEX('Item Purchases'!$S$4:$S$30,MATCH(E347,'Item Purchases'!$B$4:$B$30,0))),"Uncategorised"))</f>
        <v>Tea</v>
      </c>
      <c r="G347" s="178">
        <f>IF(E347="",0,'Pantry Inventory'!J89)</f>
        <v>0</v>
      </c>
      <c r="H347" s="178">
        <f>IF(E347="","",IF('Pantry Inventory'!K89="","",'Pantry Inventory'!K89))</f>
        <v>0</v>
      </c>
      <c r="I347" s="178">
        <f>IF(H347="","",'Pantry Inventory'!L89)</f>
        <v>0</v>
      </c>
      <c r="J347" s="179">
        <f>IF(E347="",0,IFERROR(INDEX('Item Purchases'!$Q$4:$Q$30,MATCH(E347,'Item Purchases'!$B$4:$B$30,0)),0))</f>
        <v>1.167</v>
      </c>
      <c r="K347" s="180">
        <f t="shared" si="43"/>
        <v>0</v>
      </c>
      <c r="L347" s="178">
        <f t="shared" si="44"/>
        <v>1</v>
      </c>
      <c r="M347" s="178">
        <f>IF(E347="",0,IF(AND(OR(OR(Dashboard!$E$5="All",Dashboard!$E$5=""),AG347=Dashboard!$E$5),OR(OR(Dashboard!$H$5="All",Dashboard!$H$5=""),F347=Dashboard!$H$5),OR(OR(Dashboard!$B$5="All",Dashboard!$B$5=""),C347=Dashboard!$B$5),OR(OR(Dashboard!$K$5="All",Dashboard!$K$5=""),A347=Dashboard!$K$5),OR(OR(Dashboard!$N$5="All",Dashboard!$N$5=""),B347=Dashboard!$N$5),OR(OR(Dashboard!$Q$5="All",Dashboard!$Q$5=""),D347=Dashboard!$Q$5),OR(OR(Dashboard!$U$5="All",Dashboard!$U$5=""),E347=Dashboard!$U$5)),1,0))</f>
        <v>1</v>
      </c>
      <c r="N347" s="178">
        <f>IF(E347="",0,IF(AND(OR(OR(Dashboard!$E$5="All",Dashboard!$E$5=""),AG347=Dashboard!$E$5),OR(OR(Dashboard!$B$5="All",Dashboard!$B$5=""),C347=Dashboard!$B$5),OR(OR(Dashboard!$K$5="All",Dashboard!$K$5=""),A347=Dashboard!$K$5),OR(OR(Dashboard!$N$5="All",Dashboard!$N$5=""),B347=Dashboard!$N$5),OR(OR(Dashboard!$Q$5="All",Dashboard!$Q$5=""),D347=Dashboard!$Q$5),OR(OR(Dashboard!$U$5="All",Dashboard!$U$5=""),E347=Dashboard!$U$5)),1,0))</f>
        <v>1</v>
      </c>
      <c r="O347" s="165">
        <f t="shared" si="45"/>
        <v>0</v>
      </c>
      <c r="AG347" s="178" t="str">
        <f>IF(E347="","",IFERROR(IF(INDEX('Item Purchases'!$AM$4:$AM$30,MATCH(E347,'Item Purchases'!$B$4:$B$30,0))="","Uncategorised",INDEX('Item Purchases'!$AM$4:$AM$30,MATCH(E347,'Item Purchases'!$B$4:$B$30,0))),"Uncategorised"))</f>
        <v>Beverages</v>
      </c>
      <c r="AH347" s="165">
        <f>IF(AND(E347&lt;&gt;"",L347=1),COUNTIFS($E$2:E347,E347,$L$2:L347,1),0)</f>
        <v>13</v>
      </c>
      <c r="AI347" s="165">
        <f t="shared" si="46"/>
        <v>0</v>
      </c>
      <c r="AJ347" s="165">
        <f t="shared" si="47"/>
        <v>0</v>
      </c>
    </row>
    <row r="348" spans="1:36" x14ac:dyDescent="0.25">
      <c r="A348" s="177">
        <f t="shared" si="48"/>
        <v>46282</v>
      </c>
      <c r="B348" s="178" t="str">
        <f t="shared" si="42"/>
        <v>Thu</v>
      </c>
      <c r="C348" s="178" t="str">
        <f>'Pantry Inventory'!$A$65</f>
        <v>Sep Week 3</v>
      </c>
      <c r="D348" s="178" t="str">
        <f>IF('Pantry Inventory'!A90="","",'Pantry Inventory'!A90)</f>
        <v>F&amp;N</v>
      </c>
      <c r="E348" s="178" t="str">
        <f>IF('Pantry Inventory'!B90="","",'Pantry Inventory'!B90)</f>
        <v>FN 100 plus (original) 325ml</v>
      </c>
      <c r="F348" s="178" t="str">
        <f>IF(E348="","",IFERROR(IF(INDEX('Item Purchases'!$S$4:$S$30,MATCH(E348,'Item Purchases'!$B$4:$B$30,0))="","Uncategorised",INDEX('Item Purchases'!$S$4:$S$30,MATCH(E348,'Item Purchases'!$B$4:$B$30,0))),"Uncategorised"))</f>
        <v>Other</v>
      </c>
      <c r="G348" s="178">
        <f>IF(E348="",0,'Pantry Inventory'!J90)</f>
        <v>0</v>
      </c>
      <c r="H348" s="178">
        <f>IF(E348="","",IF('Pantry Inventory'!K90="","",'Pantry Inventory'!K90))</f>
        <v>29</v>
      </c>
      <c r="I348" s="178">
        <f>IF(H348="","",'Pantry Inventory'!L90)</f>
        <v>13</v>
      </c>
      <c r="J348" s="179">
        <f>IF(E348="",0,IFERROR(INDEX('Item Purchases'!$Q$4:$Q$30,MATCH(E348,'Item Purchases'!$B$4:$B$30,0)),0))</f>
        <v>1.58</v>
      </c>
      <c r="K348" s="180">
        <f t="shared" si="43"/>
        <v>20.54</v>
      </c>
      <c r="L348" s="178">
        <f t="shared" si="44"/>
        <v>1</v>
      </c>
      <c r="M348" s="178">
        <f>IF(E348="",0,IF(AND(OR(OR(Dashboard!$E$5="All",Dashboard!$E$5=""),AG348=Dashboard!$E$5),OR(OR(Dashboard!$H$5="All",Dashboard!$H$5=""),F348=Dashboard!$H$5),OR(OR(Dashboard!$B$5="All",Dashboard!$B$5=""),C348=Dashboard!$B$5),OR(OR(Dashboard!$K$5="All",Dashboard!$K$5=""),A348=Dashboard!$K$5),OR(OR(Dashboard!$N$5="All",Dashboard!$N$5=""),B348=Dashboard!$N$5),OR(OR(Dashboard!$Q$5="All",Dashboard!$Q$5=""),D348=Dashboard!$Q$5),OR(OR(Dashboard!$U$5="All",Dashboard!$U$5=""),E348=Dashboard!$U$5)),1,0))</f>
        <v>1</v>
      </c>
      <c r="N348" s="178">
        <f>IF(E348="",0,IF(AND(OR(OR(Dashboard!$E$5="All",Dashboard!$E$5=""),AG348=Dashboard!$E$5),OR(OR(Dashboard!$B$5="All",Dashboard!$B$5=""),C348=Dashboard!$B$5),OR(OR(Dashboard!$K$5="All",Dashboard!$K$5=""),A348=Dashboard!$K$5),OR(OR(Dashboard!$N$5="All",Dashboard!$N$5=""),B348=Dashboard!$N$5),OR(OR(Dashboard!$Q$5="All",Dashboard!$Q$5=""),D348=Dashboard!$Q$5),OR(OR(Dashboard!$U$5="All",Dashboard!$U$5=""),E348=Dashboard!$U$5)),1,0))</f>
        <v>1</v>
      </c>
      <c r="O348" s="165">
        <f t="shared" si="45"/>
        <v>169</v>
      </c>
      <c r="AG348" s="178" t="str">
        <f>IF(E348="","",IFERROR(IF(INDEX('Item Purchases'!$AM$4:$AM$30,MATCH(E348,'Item Purchases'!$B$4:$B$30,0))="","Uncategorised",INDEX('Item Purchases'!$AM$4:$AM$30,MATCH(E348,'Item Purchases'!$B$4:$B$30,0))),"Uncategorised"))</f>
        <v>Beverages</v>
      </c>
      <c r="AH348" s="165">
        <f>IF(AND(E348&lt;&gt;"",L348=1),COUNTIFS($E$2:E348,E348,$L$2:L348,1),0)</f>
        <v>13</v>
      </c>
      <c r="AI348" s="165">
        <f t="shared" si="46"/>
        <v>13</v>
      </c>
      <c r="AJ348" s="165">
        <f t="shared" si="47"/>
        <v>1</v>
      </c>
    </row>
    <row r="349" spans="1:36" x14ac:dyDescent="0.25">
      <c r="A349" s="177">
        <f t="shared" si="48"/>
        <v>46282</v>
      </c>
      <c r="B349" s="178" t="str">
        <f t="shared" si="42"/>
        <v>Thu</v>
      </c>
      <c r="C349" s="178" t="str">
        <f>'Pantry Inventory'!$A$65</f>
        <v>Sep Week 3</v>
      </c>
      <c r="D349" s="178" t="str">
        <f>IF('Pantry Inventory'!A91="","",'Pantry Inventory'!A91)</f>
        <v>Spritzer</v>
      </c>
      <c r="E349" s="178" t="str">
        <f>IF('Pantry Inventory'!B91="","",'Pantry Inventory'!B91)</f>
        <v>Spritzer sparkling water (original) 400ml</v>
      </c>
      <c r="F349" s="178" t="str">
        <f>IF(E349="","",IFERROR(IF(INDEX('Item Purchases'!$S$4:$S$30,MATCH(E349,'Item Purchases'!$B$4:$B$30,0))="","Uncategorised",INDEX('Item Purchases'!$S$4:$S$30,MATCH(E349,'Item Purchases'!$B$4:$B$30,0))),"Uncategorised"))</f>
        <v>Other</v>
      </c>
      <c r="G349" s="178">
        <f>IF(E349="",0,'Pantry Inventory'!J91)</f>
        <v>24</v>
      </c>
      <c r="H349" s="178">
        <f>IF(E349="","",IF('Pantry Inventory'!K91="","",'Pantry Inventory'!K91))</f>
        <v>36</v>
      </c>
      <c r="I349" s="178">
        <f>IF(H349="","",'Pantry Inventory'!L91)</f>
        <v>39</v>
      </c>
      <c r="J349" s="179">
        <f>IF(E349="",0,IFERROR(INDEX('Item Purchases'!$Q$4:$Q$30,MATCH(E349,'Item Purchases'!$B$4:$B$30,0)),0))</f>
        <v>1.616666666666666</v>
      </c>
      <c r="K349" s="180">
        <f t="shared" si="43"/>
        <v>63.049999999999976</v>
      </c>
      <c r="L349" s="178">
        <f t="shared" si="44"/>
        <v>1</v>
      </c>
      <c r="M349" s="178">
        <f>IF(E349="",0,IF(AND(OR(OR(Dashboard!$E$5="All",Dashboard!$E$5=""),AG349=Dashboard!$E$5),OR(OR(Dashboard!$H$5="All",Dashboard!$H$5=""),F349=Dashboard!$H$5),OR(OR(Dashboard!$B$5="All",Dashboard!$B$5=""),C349=Dashboard!$B$5),OR(OR(Dashboard!$K$5="All",Dashboard!$K$5=""),A349=Dashboard!$K$5),OR(OR(Dashboard!$N$5="All",Dashboard!$N$5=""),B349=Dashboard!$N$5),OR(OR(Dashboard!$Q$5="All",Dashboard!$Q$5=""),D349=Dashboard!$Q$5),OR(OR(Dashboard!$U$5="All",Dashboard!$U$5=""),E349=Dashboard!$U$5)),1,0))</f>
        <v>1</v>
      </c>
      <c r="N349" s="178">
        <f>IF(E349="",0,IF(AND(OR(OR(Dashboard!$E$5="All",Dashboard!$E$5=""),AG349=Dashboard!$E$5),OR(OR(Dashboard!$B$5="All",Dashboard!$B$5=""),C349=Dashboard!$B$5),OR(OR(Dashboard!$K$5="All",Dashboard!$K$5=""),A349=Dashboard!$K$5),OR(OR(Dashboard!$N$5="All",Dashboard!$N$5=""),B349=Dashboard!$N$5),OR(OR(Dashboard!$Q$5="All",Dashboard!$Q$5=""),D349=Dashboard!$Q$5),OR(OR(Dashboard!$U$5="All",Dashboard!$U$5=""),E349=Dashboard!$U$5)),1,0))</f>
        <v>1</v>
      </c>
      <c r="O349" s="165">
        <f t="shared" si="45"/>
        <v>1521</v>
      </c>
      <c r="AG349" s="178" t="str">
        <f>IF(E349="","",IFERROR(IF(INDEX('Item Purchases'!$AM$4:$AM$30,MATCH(E349,'Item Purchases'!$B$4:$B$30,0))="","Uncategorised",INDEX('Item Purchases'!$AM$4:$AM$30,MATCH(E349,'Item Purchases'!$B$4:$B$30,0))),"Uncategorised"))</f>
        <v>Beverages</v>
      </c>
      <c r="AH349" s="165">
        <f>IF(AND(E349&lt;&gt;"",L349=1),COUNTIFS($E$2:E349,E349,$L$2:L349,1),0)</f>
        <v>13</v>
      </c>
      <c r="AI349" s="165">
        <f t="shared" si="46"/>
        <v>39</v>
      </c>
      <c r="AJ349" s="165">
        <f t="shared" si="47"/>
        <v>1</v>
      </c>
    </row>
    <row r="350" spans="1:36" x14ac:dyDescent="0.25">
      <c r="A350" s="177">
        <f t="shared" si="48"/>
        <v>46282</v>
      </c>
      <c r="B350" s="178" t="str">
        <f t="shared" si="42"/>
        <v>Thu</v>
      </c>
      <c r="C350" s="178" t="str">
        <f>'Pantry Inventory'!$A$65</f>
        <v>Sep Week 3</v>
      </c>
      <c r="D350" s="178" t="str">
        <f>IF('Pantry Inventory'!A92="","",'Pantry Inventory'!A92)</f>
        <v>Oat Side</v>
      </c>
      <c r="E350" s="178" t="str">
        <f>IF('Pantry Inventory'!B92="","",'Pantry Inventory'!B92)</f>
        <v>Oat Side Original 200ml</v>
      </c>
      <c r="F350" s="178" t="str">
        <f>IF(E350="","",IFERROR(IF(INDEX('Item Purchases'!$S$4:$S$30,MATCH(E350,'Item Purchases'!$B$4:$B$30,0))="","Uncategorised",INDEX('Item Purchases'!$S$4:$S$30,MATCH(E350,'Item Purchases'!$B$4:$B$30,0))),"Uncategorised"))</f>
        <v>Other</v>
      </c>
      <c r="G350" s="178">
        <f>IF(E350="",0,'Pantry Inventory'!J92)</f>
        <v>24</v>
      </c>
      <c r="H350" s="178">
        <f>IF(E350="","",IF('Pantry Inventory'!K92="","",'Pantry Inventory'!K92))</f>
        <v>56</v>
      </c>
      <c r="I350" s="178">
        <f>IF(H350="","",'Pantry Inventory'!L92)</f>
        <v>12</v>
      </c>
      <c r="J350" s="179">
        <f>IF(E350="",0,IFERROR(INDEX('Item Purchases'!$Q$4:$Q$30,MATCH(E350,'Item Purchases'!$B$4:$B$30,0)),0))</f>
        <v>3</v>
      </c>
      <c r="K350" s="180">
        <f t="shared" si="43"/>
        <v>36</v>
      </c>
      <c r="L350" s="178">
        <f t="shared" si="44"/>
        <v>1</v>
      </c>
      <c r="M350" s="178">
        <f>IF(E350="",0,IF(AND(OR(OR(Dashboard!$E$5="All",Dashboard!$E$5=""),AG350=Dashboard!$E$5),OR(OR(Dashboard!$H$5="All",Dashboard!$H$5=""),F350=Dashboard!$H$5),OR(OR(Dashboard!$B$5="All",Dashboard!$B$5=""),C350=Dashboard!$B$5),OR(OR(Dashboard!$K$5="All",Dashboard!$K$5=""),A350=Dashboard!$K$5),OR(OR(Dashboard!$N$5="All",Dashboard!$N$5=""),B350=Dashboard!$N$5),OR(OR(Dashboard!$Q$5="All",Dashboard!$Q$5=""),D350=Dashboard!$Q$5),OR(OR(Dashboard!$U$5="All",Dashboard!$U$5=""),E350=Dashboard!$U$5)),1,0))</f>
        <v>1</v>
      </c>
      <c r="N350" s="178">
        <f>IF(E350="",0,IF(AND(OR(OR(Dashboard!$E$5="All",Dashboard!$E$5=""),AG350=Dashboard!$E$5),OR(OR(Dashboard!$B$5="All",Dashboard!$B$5=""),C350=Dashboard!$B$5),OR(OR(Dashboard!$K$5="All",Dashboard!$K$5=""),A350=Dashboard!$K$5),OR(OR(Dashboard!$N$5="All",Dashboard!$N$5=""),B350=Dashboard!$N$5),OR(OR(Dashboard!$Q$5="All",Dashboard!$Q$5=""),D350=Dashboard!$Q$5),OR(OR(Dashboard!$U$5="All",Dashboard!$U$5=""),E350=Dashboard!$U$5)),1,0))</f>
        <v>1</v>
      </c>
      <c r="O350" s="165">
        <f t="shared" si="45"/>
        <v>144</v>
      </c>
      <c r="AG350" s="178" t="str">
        <f>IF(E350="","",IFERROR(IF(INDEX('Item Purchases'!$AM$4:$AM$30,MATCH(E350,'Item Purchases'!$B$4:$B$30,0))="","Uncategorised",INDEX('Item Purchases'!$AM$4:$AM$30,MATCH(E350,'Item Purchases'!$B$4:$B$30,0))),"Uncategorised"))</f>
        <v>Beverages</v>
      </c>
      <c r="AH350" s="165">
        <f>IF(AND(E350&lt;&gt;"",L350=1),COUNTIFS($E$2:E350,E350,$L$2:L350,1),0)</f>
        <v>13</v>
      </c>
      <c r="AI350" s="165">
        <f t="shared" si="46"/>
        <v>12</v>
      </c>
      <c r="AJ350" s="165">
        <f t="shared" si="47"/>
        <v>1</v>
      </c>
    </row>
    <row r="351" spans="1:36" x14ac:dyDescent="0.25">
      <c r="A351" s="177">
        <f t="shared" si="48"/>
        <v>46282</v>
      </c>
      <c r="B351" s="178" t="str">
        <f t="shared" si="42"/>
        <v>Thu</v>
      </c>
      <c r="C351" s="178" t="str">
        <f>'Pantry Inventory'!$A$65</f>
        <v>Sep Week 3</v>
      </c>
      <c r="D351" s="178" t="str">
        <f>IF('Pantry Inventory'!A93="","",'Pantry Inventory'!A93)</f>
        <v>Oat Side</v>
      </c>
      <c r="E351" s="178" t="str">
        <f>IF('Pantry Inventory'!B93="","",'Pantry Inventory'!B93)</f>
        <v>Oat Side Chocolate 200ml</v>
      </c>
      <c r="F351" s="178" t="str">
        <f>IF(E351="","",IFERROR(IF(INDEX('Item Purchases'!$S$4:$S$30,MATCH(E351,'Item Purchases'!$B$4:$B$30,0))="","Uncategorised",INDEX('Item Purchases'!$S$4:$S$30,MATCH(E351,'Item Purchases'!$B$4:$B$30,0))),"Uncategorised"))</f>
        <v>Other</v>
      </c>
      <c r="G351" s="178">
        <f>IF(E351="",0,'Pantry Inventory'!J93)</f>
        <v>33</v>
      </c>
      <c r="H351" s="178">
        <f>IF(E351="","",IF('Pantry Inventory'!K93="","",'Pantry Inventory'!K93))</f>
        <v>43</v>
      </c>
      <c r="I351" s="178">
        <f>IF(H351="","",'Pantry Inventory'!L93)</f>
        <v>27</v>
      </c>
      <c r="J351" s="179">
        <f>IF(E351="",0,IFERROR(INDEX('Item Purchases'!$Q$4:$Q$30,MATCH(E351,'Item Purchases'!$B$4:$B$30,0)),0))</f>
        <v>3</v>
      </c>
      <c r="K351" s="180">
        <f t="shared" si="43"/>
        <v>81</v>
      </c>
      <c r="L351" s="178">
        <f t="shared" si="44"/>
        <v>1</v>
      </c>
      <c r="M351" s="178">
        <f>IF(E351="",0,IF(AND(OR(OR(Dashboard!$E$5="All",Dashboard!$E$5=""),AG351=Dashboard!$E$5),OR(OR(Dashboard!$H$5="All",Dashboard!$H$5=""),F351=Dashboard!$H$5),OR(OR(Dashboard!$B$5="All",Dashboard!$B$5=""),C351=Dashboard!$B$5),OR(OR(Dashboard!$K$5="All",Dashboard!$K$5=""),A351=Dashboard!$K$5),OR(OR(Dashboard!$N$5="All",Dashboard!$N$5=""),B351=Dashboard!$N$5),OR(OR(Dashboard!$Q$5="All",Dashboard!$Q$5=""),D351=Dashboard!$Q$5),OR(OR(Dashboard!$U$5="All",Dashboard!$U$5=""),E351=Dashboard!$U$5)),1,0))</f>
        <v>1</v>
      </c>
      <c r="N351" s="178">
        <f>IF(E351="",0,IF(AND(OR(OR(Dashboard!$E$5="All",Dashboard!$E$5=""),AG351=Dashboard!$E$5),OR(OR(Dashboard!$B$5="All",Dashboard!$B$5=""),C351=Dashboard!$B$5),OR(OR(Dashboard!$K$5="All",Dashboard!$K$5=""),A351=Dashboard!$K$5),OR(OR(Dashboard!$N$5="All",Dashboard!$N$5=""),B351=Dashboard!$N$5),OR(OR(Dashboard!$Q$5="All",Dashboard!$Q$5=""),D351=Dashboard!$Q$5),OR(OR(Dashboard!$U$5="All",Dashboard!$U$5=""),E351=Dashboard!$U$5)),1,0))</f>
        <v>1</v>
      </c>
      <c r="O351" s="165">
        <f t="shared" si="45"/>
        <v>729</v>
      </c>
      <c r="AG351" s="178" t="str">
        <f>IF(E351="","",IFERROR(IF(INDEX('Item Purchases'!$AM$4:$AM$30,MATCH(E351,'Item Purchases'!$B$4:$B$30,0))="","Uncategorised",INDEX('Item Purchases'!$AM$4:$AM$30,MATCH(E351,'Item Purchases'!$B$4:$B$30,0))),"Uncategorised"))</f>
        <v>Beverages</v>
      </c>
      <c r="AH351" s="165">
        <f>IF(AND(E351&lt;&gt;"",L351=1),COUNTIFS($E$2:E351,E351,$L$2:L351,1),0)</f>
        <v>13</v>
      </c>
      <c r="AI351" s="165">
        <f t="shared" si="46"/>
        <v>27</v>
      </c>
      <c r="AJ351" s="165">
        <f t="shared" si="47"/>
        <v>1</v>
      </c>
    </row>
    <row r="352" spans="1:36" x14ac:dyDescent="0.25">
      <c r="A352" s="177">
        <f t="shared" si="48"/>
        <v>46282</v>
      </c>
      <c r="B352" s="178" t="str">
        <f t="shared" si="42"/>
        <v>Thu</v>
      </c>
      <c r="C352" s="178" t="str">
        <f>'Pantry Inventory'!$A$65</f>
        <v>Sep Week 3</v>
      </c>
      <c r="D352" s="178" t="str">
        <f>IF('Pantry Inventory'!A94="","",'Pantry Inventory'!A94)</f>
        <v/>
      </c>
      <c r="E352" s="178" t="str">
        <f>IF('Pantry Inventory'!B94="","",'Pantry Inventory'!B94)</f>
        <v/>
      </c>
      <c r="F352" s="178" t="str">
        <f>IF(E352="","",IFERROR(IF(INDEX('Item Purchases'!$S$4:$S$30,MATCH(E352,'Item Purchases'!$B$4:$B$30,0))="","Uncategorised",INDEX('Item Purchases'!$S$4:$S$30,MATCH(E352,'Item Purchases'!$B$4:$B$30,0))),"Uncategorised"))</f>
        <v/>
      </c>
      <c r="G352" s="178">
        <f>IF(E352="",0,'Pantry Inventory'!J94)</f>
        <v>0</v>
      </c>
      <c r="H352" s="178" t="str">
        <f>IF(E352="","",IF('Pantry Inventory'!K94="","",'Pantry Inventory'!K94))</f>
        <v/>
      </c>
      <c r="I352" s="178" t="str">
        <f>IF(H352="","",'Pantry Inventory'!L94)</f>
        <v/>
      </c>
      <c r="J352" s="179">
        <f>IF(E352="",0,IFERROR(INDEX('Item Purchases'!$Q$4:$Q$30,MATCH(E352,'Item Purchases'!$B$4:$B$30,0)),0))</f>
        <v>0</v>
      </c>
      <c r="K352" s="180" t="str">
        <f t="shared" si="43"/>
        <v/>
      </c>
      <c r="L352" s="178">
        <f t="shared" si="44"/>
        <v>0</v>
      </c>
      <c r="M352" s="178">
        <f>IF(E352="",0,IF(AND(OR(OR(Dashboard!$E$5="All",Dashboard!$E$5=""),AG352=Dashboard!$E$5),OR(OR(Dashboard!$H$5="All",Dashboard!$H$5=""),F352=Dashboard!$H$5),OR(OR(Dashboard!$B$5="All",Dashboard!$B$5=""),C352=Dashboard!$B$5),OR(OR(Dashboard!$K$5="All",Dashboard!$K$5=""),A352=Dashboard!$K$5),OR(OR(Dashboard!$N$5="All",Dashboard!$N$5=""),B352=Dashboard!$N$5),OR(OR(Dashboard!$Q$5="All",Dashboard!$Q$5=""),D352=Dashboard!$Q$5),OR(OR(Dashboard!$U$5="All",Dashboard!$U$5=""),E352=Dashboard!$U$5)),1,0))</f>
        <v>0</v>
      </c>
      <c r="N352" s="178">
        <f>IF(E352="",0,IF(AND(OR(OR(Dashboard!$E$5="All",Dashboard!$E$5=""),AG352=Dashboard!$E$5),OR(OR(Dashboard!$B$5="All",Dashboard!$B$5=""),C352=Dashboard!$B$5),OR(OR(Dashboard!$K$5="All",Dashboard!$K$5=""),A352=Dashboard!$K$5),OR(OR(Dashboard!$N$5="All",Dashboard!$N$5=""),B352=Dashboard!$N$5),OR(OR(Dashboard!$Q$5="All",Dashboard!$Q$5=""),D352=Dashboard!$Q$5),OR(OR(Dashboard!$U$5="All",Dashboard!$U$5=""),E352=Dashboard!$U$5)),1,0))</f>
        <v>0</v>
      </c>
      <c r="O352" s="165">
        <f t="shared" si="45"/>
        <v>0</v>
      </c>
      <c r="AG352" s="178" t="str">
        <f>IF(E352="","",IFERROR(IF(INDEX('Item Purchases'!$AM$4:$AM$30,MATCH(E352,'Item Purchases'!$B$4:$B$30,0))="","Uncategorised",INDEX('Item Purchases'!$AM$4:$AM$30,MATCH(E352,'Item Purchases'!$B$4:$B$30,0))),"Uncategorised"))</f>
        <v/>
      </c>
      <c r="AH352" s="165">
        <f>IF(AND(E352&lt;&gt;"",L352=1),COUNTIFS($E$2:E352,E352,$L$2:L352,1),0)</f>
        <v>0</v>
      </c>
      <c r="AI352" s="165">
        <f t="shared" si="46"/>
        <v>0</v>
      </c>
      <c r="AJ352" s="165">
        <f t="shared" si="47"/>
        <v>0</v>
      </c>
    </row>
    <row r="353" spans="1:36" x14ac:dyDescent="0.25">
      <c r="A353" s="177">
        <f t="shared" ref="A353:A379" si="49">IF($Z$15="",0,$Z$15)</f>
        <v>46283</v>
      </c>
      <c r="B353" s="178" t="str">
        <f t="shared" si="42"/>
        <v>Fri</v>
      </c>
      <c r="C353" s="178" t="str">
        <f>'Pantry Inventory'!$A$65</f>
        <v>Sep Week 3</v>
      </c>
      <c r="D353" s="178" t="str">
        <f>IF('Pantry Inventory'!A68="","",'Pantry Inventory'!A68)</f>
        <v>Julie's</v>
      </c>
      <c r="E353" s="178" t="str">
        <f>IF('Pantry Inventory'!B68="","",'Pantry Inventory'!B68)</f>
        <v>Julie's Peanut Butter Sandwich 360g (12pkts x 30g)</v>
      </c>
      <c r="F353" s="178" t="str">
        <f>IF(E353="","",IFERROR(IF(INDEX('Item Purchases'!$S$4:$S$30,MATCH(E353,'Item Purchases'!$B$4:$B$30,0))="","Uncategorised",INDEX('Item Purchases'!$S$4:$S$30,MATCH(E353,'Item Purchases'!$B$4:$B$30,0))),"Uncategorised"))</f>
        <v>Sweet</v>
      </c>
      <c r="G353" s="178">
        <f>IF(E353="",0,'Pantry Inventory'!M68)</f>
        <v>0</v>
      </c>
      <c r="H353" s="178">
        <f>IF(E353="","",IF('Pantry Inventory'!N68="","",'Pantry Inventory'!N68))</f>
        <v>7</v>
      </c>
      <c r="I353" s="178">
        <f>IF(H353="","",'Pantry Inventory'!O68)</f>
        <v>11</v>
      </c>
      <c r="J353" s="179">
        <f>IF(E353="",0,IFERROR(INDEX('Item Purchases'!$Q$4:$Q$30,MATCH(E353,'Item Purchases'!$B$4:$B$30,0)),0))</f>
        <v>1.083</v>
      </c>
      <c r="K353" s="180">
        <f t="shared" si="43"/>
        <v>11.913</v>
      </c>
      <c r="L353" s="178">
        <f t="shared" si="44"/>
        <v>1</v>
      </c>
      <c r="M353" s="178">
        <f>IF(E353="",0,IF(AND(OR(OR(Dashboard!$E$5="All",Dashboard!$E$5=""),AG353=Dashboard!$E$5),OR(OR(Dashboard!$H$5="All",Dashboard!$H$5=""),F353=Dashboard!$H$5),OR(OR(Dashboard!$B$5="All",Dashboard!$B$5=""),C353=Dashboard!$B$5),OR(OR(Dashboard!$K$5="All",Dashboard!$K$5=""),A353=Dashboard!$K$5),OR(OR(Dashboard!$N$5="All",Dashboard!$N$5=""),B353=Dashboard!$N$5),OR(OR(Dashboard!$Q$5="All",Dashboard!$Q$5=""),D353=Dashboard!$Q$5),OR(OR(Dashboard!$U$5="All",Dashboard!$U$5=""),E353=Dashboard!$U$5)),1,0))</f>
        <v>1</v>
      </c>
      <c r="N353" s="178">
        <f>IF(E353="",0,IF(AND(OR(OR(Dashboard!$E$5="All",Dashboard!$E$5=""),AG353=Dashboard!$E$5),OR(OR(Dashboard!$B$5="All",Dashboard!$B$5=""),C353=Dashboard!$B$5),OR(OR(Dashboard!$K$5="All",Dashboard!$K$5=""),A353=Dashboard!$K$5),OR(OR(Dashboard!$N$5="All",Dashboard!$N$5=""),B353=Dashboard!$N$5),OR(OR(Dashboard!$Q$5="All",Dashboard!$Q$5=""),D353=Dashboard!$Q$5),OR(OR(Dashboard!$U$5="All",Dashboard!$U$5=""),E353=Dashboard!$U$5)),1,0))</f>
        <v>1</v>
      </c>
      <c r="O353" s="165">
        <f t="shared" si="45"/>
        <v>121</v>
      </c>
      <c r="AG353" s="178" t="str">
        <f>IF(E353="","",IFERROR(IF(INDEX('Item Purchases'!$AM$4:$AM$30,MATCH(E353,'Item Purchases'!$B$4:$B$30,0))="","Uncategorised",INDEX('Item Purchases'!$AM$4:$AM$30,MATCH(E353,'Item Purchases'!$B$4:$B$30,0))),"Uncategorised"))</f>
        <v>Snacks</v>
      </c>
      <c r="AH353" s="165">
        <f>IF(AND(E353&lt;&gt;"",L353=1),COUNTIFS($E$2:E353,E353,$L$2:L353,1),0)</f>
        <v>14</v>
      </c>
      <c r="AI353" s="165">
        <f t="shared" si="46"/>
        <v>11</v>
      </c>
      <c r="AJ353" s="165">
        <f t="shared" si="47"/>
        <v>1</v>
      </c>
    </row>
    <row r="354" spans="1:36" x14ac:dyDescent="0.25">
      <c r="A354" s="177">
        <f t="shared" si="49"/>
        <v>46283</v>
      </c>
      <c r="B354" s="178" t="str">
        <f t="shared" si="42"/>
        <v>Fri</v>
      </c>
      <c r="C354" s="178" t="str">
        <f>'Pantry Inventory'!$A$65</f>
        <v>Sep Week 3</v>
      </c>
      <c r="D354" s="178" t="str">
        <f>IF('Pantry Inventory'!A69="","",'Pantry Inventory'!A69)</f>
        <v>Julie's</v>
      </c>
      <c r="E354" s="178" t="str">
        <f>IF('Pantry Inventory'!B69="","",'Pantry Inventory'!B69)</f>
        <v>Julies Butter Waffles</v>
      </c>
      <c r="F354" s="178" t="str">
        <f>IF(E354="","",IFERROR(IF(INDEX('Item Purchases'!$S$4:$S$30,MATCH(E354,'Item Purchases'!$B$4:$B$30,0))="","Uncategorised",INDEX('Item Purchases'!$S$4:$S$30,MATCH(E354,'Item Purchases'!$B$4:$B$30,0))),"Uncategorised"))</f>
        <v>Sweet</v>
      </c>
      <c r="G354" s="178">
        <f>IF(E354="",0,'Pantry Inventory'!M69)</f>
        <v>0</v>
      </c>
      <c r="H354" s="178">
        <f>IF(E354="","",IF('Pantry Inventory'!N69="","",'Pantry Inventory'!N69))</f>
        <v>11</v>
      </c>
      <c r="I354" s="178">
        <f>IF(H354="","",'Pantry Inventory'!O69)</f>
        <v>1</v>
      </c>
      <c r="J354" s="179">
        <f>IF(E354="",0,IFERROR(INDEX('Item Purchases'!$Q$4:$Q$30,MATCH(E354,'Item Purchases'!$B$4:$B$30,0)),0))</f>
        <v>5.15</v>
      </c>
      <c r="K354" s="180">
        <f t="shared" si="43"/>
        <v>5.15</v>
      </c>
      <c r="L354" s="178">
        <f t="shared" si="44"/>
        <v>1</v>
      </c>
      <c r="M354" s="178">
        <f>IF(E354="",0,IF(AND(OR(OR(Dashboard!$E$5="All",Dashboard!$E$5=""),AG354=Dashboard!$E$5),OR(OR(Dashboard!$H$5="All",Dashboard!$H$5=""),F354=Dashboard!$H$5),OR(OR(Dashboard!$B$5="All",Dashboard!$B$5=""),C354=Dashboard!$B$5),OR(OR(Dashboard!$K$5="All",Dashboard!$K$5=""),A354=Dashboard!$K$5),OR(OR(Dashboard!$N$5="All",Dashboard!$N$5=""),B354=Dashboard!$N$5),OR(OR(Dashboard!$Q$5="All",Dashboard!$Q$5=""),D354=Dashboard!$Q$5),OR(OR(Dashboard!$U$5="All",Dashboard!$U$5=""),E354=Dashboard!$U$5)),1,0))</f>
        <v>1</v>
      </c>
      <c r="N354" s="178">
        <f>IF(E354="",0,IF(AND(OR(OR(Dashboard!$E$5="All",Dashboard!$E$5=""),AG354=Dashboard!$E$5),OR(OR(Dashboard!$B$5="All",Dashboard!$B$5=""),C354=Dashboard!$B$5),OR(OR(Dashboard!$K$5="All",Dashboard!$K$5=""),A354=Dashboard!$K$5),OR(OR(Dashboard!$N$5="All",Dashboard!$N$5=""),B354=Dashboard!$N$5),OR(OR(Dashboard!$Q$5="All",Dashboard!$Q$5=""),D354=Dashboard!$Q$5),OR(OR(Dashboard!$U$5="All",Dashboard!$U$5=""),E354=Dashboard!$U$5)),1,0))</f>
        <v>1</v>
      </c>
      <c r="O354" s="165">
        <f t="shared" si="45"/>
        <v>1</v>
      </c>
      <c r="AG354" s="178" t="str">
        <f>IF(E354="","",IFERROR(IF(INDEX('Item Purchases'!$AM$4:$AM$30,MATCH(E354,'Item Purchases'!$B$4:$B$30,0))="","Uncategorised",INDEX('Item Purchases'!$AM$4:$AM$30,MATCH(E354,'Item Purchases'!$B$4:$B$30,0))),"Uncategorised"))</f>
        <v>Snacks</v>
      </c>
      <c r="AH354" s="165">
        <f>IF(AND(E354&lt;&gt;"",L354=1),COUNTIFS($E$2:E354,E354,$L$2:L354,1),0)</f>
        <v>14</v>
      </c>
      <c r="AI354" s="165">
        <f t="shared" si="46"/>
        <v>1</v>
      </c>
      <c r="AJ354" s="165">
        <f t="shared" si="47"/>
        <v>1</v>
      </c>
    </row>
    <row r="355" spans="1:36" x14ac:dyDescent="0.25">
      <c r="A355" s="177">
        <f t="shared" si="49"/>
        <v>46283</v>
      </c>
      <c r="B355" s="178" t="str">
        <f t="shared" si="42"/>
        <v>Fri</v>
      </c>
      <c r="C355" s="178" t="str">
        <f>'Pantry Inventory'!$A$65</f>
        <v>Sep Week 3</v>
      </c>
      <c r="D355" s="178" t="str">
        <f>IF('Pantry Inventory'!A70="","",'Pantry Inventory'!A70)</f>
        <v>Julie's</v>
      </c>
      <c r="E355" s="178" t="str">
        <f>IF('Pantry Inventory'!B70="","",'Pantry Inventory'!B70)</f>
        <v>Julies Choco More Sandwich (44G)</v>
      </c>
      <c r="F355" s="178" t="str">
        <f>IF(E355="","",IFERROR(IF(INDEX('Item Purchases'!$S$4:$S$30,MATCH(E355,'Item Purchases'!$B$4:$B$30,0))="","Uncategorised",INDEX('Item Purchases'!$S$4:$S$30,MATCH(E355,'Item Purchases'!$B$4:$B$30,0))),"Uncategorised"))</f>
        <v>Sweet</v>
      </c>
      <c r="G355" s="178">
        <f>IF(E355="",0,'Pantry Inventory'!M70)</f>
        <v>0</v>
      </c>
      <c r="H355" s="178">
        <f>IF(E355="","",IF('Pantry Inventory'!N70="","",'Pantry Inventory'!N70))</f>
        <v>15</v>
      </c>
      <c r="I355" s="178">
        <f>IF(H355="","",'Pantry Inventory'!O70)</f>
        <v>25</v>
      </c>
      <c r="J355" s="179">
        <f>IF(E355="",0,IFERROR(INDEX('Item Purchases'!$Q$4:$Q$30,MATCH(E355,'Item Purchases'!$B$4:$B$30,0)),0))</f>
        <v>1.2</v>
      </c>
      <c r="K355" s="180">
        <f t="shared" si="43"/>
        <v>30</v>
      </c>
      <c r="L355" s="178">
        <f t="shared" si="44"/>
        <v>1</v>
      </c>
      <c r="M355" s="178">
        <f>IF(E355="",0,IF(AND(OR(OR(Dashboard!$E$5="All",Dashboard!$E$5=""),AG355=Dashboard!$E$5),OR(OR(Dashboard!$H$5="All",Dashboard!$H$5=""),F355=Dashboard!$H$5),OR(OR(Dashboard!$B$5="All",Dashboard!$B$5=""),C355=Dashboard!$B$5),OR(OR(Dashboard!$K$5="All",Dashboard!$K$5=""),A355=Dashboard!$K$5),OR(OR(Dashboard!$N$5="All",Dashboard!$N$5=""),B355=Dashboard!$N$5),OR(OR(Dashboard!$Q$5="All",Dashboard!$Q$5=""),D355=Dashboard!$Q$5),OR(OR(Dashboard!$U$5="All",Dashboard!$U$5=""),E355=Dashboard!$U$5)),1,0))</f>
        <v>1</v>
      </c>
      <c r="N355" s="178">
        <f>IF(E355="",0,IF(AND(OR(OR(Dashboard!$E$5="All",Dashboard!$E$5=""),AG355=Dashboard!$E$5),OR(OR(Dashboard!$B$5="All",Dashboard!$B$5=""),C355=Dashboard!$B$5),OR(OR(Dashboard!$K$5="All",Dashboard!$K$5=""),A355=Dashboard!$K$5),OR(OR(Dashboard!$N$5="All",Dashboard!$N$5=""),B355=Dashboard!$N$5),OR(OR(Dashboard!$Q$5="All",Dashboard!$Q$5=""),D355=Dashboard!$Q$5),OR(OR(Dashboard!$U$5="All",Dashboard!$U$5=""),E355=Dashboard!$U$5)),1,0))</f>
        <v>1</v>
      </c>
      <c r="O355" s="165">
        <f t="shared" si="45"/>
        <v>625</v>
      </c>
      <c r="AG355" s="178" t="str">
        <f>IF(E355="","",IFERROR(IF(INDEX('Item Purchases'!$AM$4:$AM$30,MATCH(E355,'Item Purchases'!$B$4:$B$30,0))="","Uncategorised",INDEX('Item Purchases'!$AM$4:$AM$30,MATCH(E355,'Item Purchases'!$B$4:$B$30,0))),"Uncategorised"))</f>
        <v>Snacks</v>
      </c>
      <c r="AH355" s="165">
        <f>IF(AND(E355&lt;&gt;"",L355=1),COUNTIFS($E$2:E355,E355,$L$2:L355,1),0)</f>
        <v>14</v>
      </c>
      <c r="AI355" s="165">
        <f t="shared" si="46"/>
        <v>25</v>
      </c>
      <c r="AJ355" s="165">
        <f t="shared" si="47"/>
        <v>1</v>
      </c>
    </row>
    <row r="356" spans="1:36" x14ac:dyDescent="0.25">
      <c r="A356" s="177">
        <f t="shared" si="49"/>
        <v>46283</v>
      </c>
      <c r="B356" s="178" t="str">
        <f t="shared" si="42"/>
        <v>Fri</v>
      </c>
      <c r="C356" s="178" t="str">
        <f>'Pantry Inventory'!$A$65</f>
        <v>Sep Week 3</v>
      </c>
      <c r="D356" s="178" t="str">
        <f>IF('Pantry Inventory'!A71="","",'Pantry Inventory'!A71)</f>
        <v>Julie's</v>
      </c>
      <c r="E356" s="178" t="str">
        <f>IF('Pantry Inventory'!B71="","",'Pantry Inventory'!B71)</f>
        <v>Julies Cheese Sandwich (28G)</v>
      </c>
      <c r="F356" s="178" t="str">
        <f>IF(E356="","",IFERROR(IF(INDEX('Item Purchases'!$S$4:$S$30,MATCH(E356,'Item Purchases'!$B$4:$B$30,0))="","Uncategorised",INDEX('Item Purchases'!$S$4:$S$30,MATCH(E356,'Item Purchases'!$B$4:$B$30,0))),"Uncategorised"))</f>
        <v>Savoury</v>
      </c>
      <c r="G356" s="178">
        <f>IF(E356="",0,'Pantry Inventory'!M71)</f>
        <v>0</v>
      </c>
      <c r="H356" s="178">
        <f>IF(E356="","",IF('Pantry Inventory'!N71="","",'Pantry Inventory'!N71))</f>
        <v>28</v>
      </c>
      <c r="I356" s="178">
        <f>IF(H356="","",'Pantry Inventory'!O71)</f>
        <v>4</v>
      </c>
      <c r="J356" s="179">
        <f>IF(E356="",0,IFERROR(INDEX('Item Purchases'!$Q$4:$Q$30,MATCH(E356,'Item Purchases'!$B$4:$B$30,0)),0))</f>
        <v>1.1000000000000001</v>
      </c>
      <c r="K356" s="180">
        <f t="shared" si="43"/>
        <v>4.4000000000000004</v>
      </c>
      <c r="L356" s="178">
        <f t="shared" si="44"/>
        <v>1</v>
      </c>
      <c r="M356" s="178">
        <f>IF(E356="",0,IF(AND(OR(OR(Dashboard!$E$5="All",Dashboard!$E$5=""),AG356=Dashboard!$E$5),OR(OR(Dashboard!$H$5="All",Dashboard!$H$5=""),F356=Dashboard!$H$5),OR(OR(Dashboard!$B$5="All",Dashboard!$B$5=""),C356=Dashboard!$B$5),OR(OR(Dashboard!$K$5="All",Dashboard!$K$5=""),A356=Dashboard!$K$5),OR(OR(Dashboard!$N$5="All",Dashboard!$N$5=""),B356=Dashboard!$N$5),OR(OR(Dashboard!$Q$5="All",Dashboard!$Q$5=""),D356=Dashboard!$Q$5),OR(OR(Dashboard!$U$5="All",Dashboard!$U$5=""),E356=Dashboard!$U$5)),1,0))</f>
        <v>1</v>
      </c>
      <c r="N356" s="178">
        <f>IF(E356="",0,IF(AND(OR(OR(Dashboard!$E$5="All",Dashboard!$E$5=""),AG356=Dashboard!$E$5),OR(OR(Dashboard!$B$5="All",Dashboard!$B$5=""),C356=Dashboard!$B$5),OR(OR(Dashboard!$K$5="All",Dashboard!$K$5=""),A356=Dashboard!$K$5),OR(OR(Dashboard!$N$5="All",Dashboard!$N$5=""),B356=Dashboard!$N$5),OR(OR(Dashboard!$Q$5="All",Dashboard!$Q$5=""),D356=Dashboard!$Q$5),OR(OR(Dashboard!$U$5="All",Dashboard!$U$5=""),E356=Dashboard!$U$5)),1,0))</f>
        <v>1</v>
      </c>
      <c r="O356" s="165">
        <f t="shared" si="45"/>
        <v>16</v>
      </c>
      <c r="AG356" s="178" t="str">
        <f>IF(E356="","",IFERROR(IF(INDEX('Item Purchases'!$AM$4:$AM$30,MATCH(E356,'Item Purchases'!$B$4:$B$30,0))="","Uncategorised",INDEX('Item Purchases'!$AM$4:$AM$30,MATCH(E356,'Item Purchases'!$B$4:$B$30,0))),"Uncategorised"))</f>
        <v>Snacks</v>
      </c>
      <c r="AH356" s="165">
        <f>IF(AND(E356&lt;&gt;"",L356=1),COUNTIFS($E$2:E356,E356,$L$2:L356,1),0)</f>
        <v>14</v>
      </c>
      <c r="AI356" s="165">
        <f t="shared" si="46"/>
        <v>4</v>
      </c>
      <c r="AJ356" s="165">
        <f t="shared" si="47"/>
        <v>1</v>
      </c>
    </row>
    <row r="357" spans="1:36" x14ac:dyDescent="0.25">
      <c r="A357" s="177">
        <f t="shared" si="49"/>
        <v>46283</v>
      </c>
      <c r="B357" s="178" t="str">
        <f t="shared" si="42"/>
        <v>Fri</v>
      </c>
      <c r="C357" s="178" t="str">
        <f>'Pantry Inventory'!$A$65</f>
        <v>Sep Week 3</v>
      </c>
      <c r="D357" s="178" t="str">
        <f>IF('Pantry Inventory'!A72="","",'Pantry Inventory'!A72)</f>
        <v>Nature Valley</v>
      </c>
      <c r="E357" s="178" t="str">
        <f>IF('Pantry Inventory'!B72="","",'Pantry Inventory'!B72)</f>
        <v>NV OATS &amp; DARK CHOC 42GX5</v>
      </c>
      <c r="F357" s="178" t="str">
        <f>IF(E357="","",IFERROR(IF(INDEX('Item Purchases'!$S$4:$S$30,MATCH(E357,'Item Purchases'!$B$4:$B$30,0))="","Uncategorised",INDEX('Item Purchases'!$S$4:$S$30,MATCH(E357,'Item Purchases'!$B$4:$B$30,0))),"Uncategorised"))</f>
        <v>Sweet</v>
      </c>
      <c r="G357" s="178">
        <f>IF(E357="",0,'Pantry Inventory'!M72)</f>
        <v>0</v>
      </c>
      <c r="H357" s="178">
        <f>IF(E357="","",IF('Pantry Inventory'!N72="","",'Pantry Inventory'!N72))</f>
        <v>0</v>
      </c>
      <c r="I357" s="178">
        <f>IF(H357="","",'Pantry Inventory'!O72)</f>
        <v>0</v>
      </c>
      <c r="J357" s="179">
        <f>IF(E357="",0,IFERROR(INDEX('Item Purchases'!$Q$4:$Q$30,MATCH(E357,'Item Purchases'!$B$4:$B$30,0)),0))</f>
        <v>2.78</v>
      </c>
      <c r="K357" s="180">
        <f t="shared" si="43"/>
        <v>0</v>
      </c>
      <c r="L357" s="178">
        <f t="shared" si="44"/>
        <v>1</v>
      </c>
      <c r="M357" s="178">
        <f>IF(E357="",0,IF(AND(OR(OR(Dashboard!$E$5="All",Dashboard!$E$5=""),AG357=Dashboard!$E$5),OR(OR(Dashboard!$H$5="All",Dashboard!$H$5=""),F357=Dashboard!$H$5),OR(OR(Dashboard!$B$5="All",Dashboard!$B$5=""),C357=Dashboard!$B$5),OR(OR(Dashboard!$K$5="All",Dashboard!$K$5=""),A357=Dashboard!$K$5),OR(OR(Dashboard!$N$5="All",Dashboard!$N$5=""),B357=Dashboard!$N$5),OR(OR(Dashboard!$Q$5="All",Dashboard!$Q$5=""),D357=Dashboard!$Q$5),OR(OR(Dashboard!$U$5="All",Dashboard!$U$5=""),E357=Dashboard!$U$5)),1,0))</f>
        <v>1</v>
      </c>
      <c r="N357" s="178">
        <f>IF(E357="",0,IF(AND(OR(OR(Dashboard!$E$5="All",Dashboard!$E$5=""),AG357=Dashboard!$E$5),OR(OR(Dashboard!$B$5="All",Dashboard!$B$5=""),C357=Dashboard!$B$5),OR(OR(Dashboard!$K$5="All",Dashboard!$K$5=""),A357=Dashboard!$K$5),OR(OR(Dashboard!$N$5="All",Dashboard!$N$5=""),B357=Dashboard!$N$5),OR(OR(Dashboard!$Q$5="All",Dashboard!$Q$5=""),D357=Dashboard!$Q$5),OR(OR(Dashboard!$U$5="All",Dashboard!$U$5=""),E357=Dashboard!$U$5)),1,0))</f>
        <v>1</v>
      </c>
      <c r="O357" s="165">
        <f t="shared" si="45"/>
        <v>0</v>
      </c>
      <c r="AG357" s="178" t="str">
        <f>IF(E357="","",IFERROR(IF(INDEX('Item Purchases'!$AM$4:$AM$30,MATCH(E357,'Item Purchases'!$B$4:$B$30,0))="","Uncategorised",INDEX('Item Purchases'!$AM$4:$AM$30,MATCH(E357,'Item Purchases'!$B$4:$B$30,0))),"Uncategorised"))</f>
        <v>Snacks</v>
      </c>
      <c r="AH357" s="165">
        <f>IF(AND(E357&lt;&gt;"",L357=1),COUNTIFS($E$2:E357,E357,$L$2:L357,1),0)</f>
        <v>14</v>
      </c>
      <c r="AI357" s="165">
        <f t="shared" si="46"/>
        <v>0</v>
      </c>
      <c r="AJ357" s="165">
        <f t="shared" si="47"/>
        <v>0</v>
      </c>
    </row>
    <row r="358" spans="1:36" x14ac:dyDescent="0.25">
      <c r="A358" s="177">
        <f t="shared" si="49"/>
        <v>46283</v>
      </c>
      <c r="B358" s="178" t="str">
        <f t="shared" si="42"/>
        <v>Fri</v>
      </c>
      <c r="C358" s="178" t="str">
        <f>'Pantry Inventory'!$A$65</f>
        <v>Sep Week 3</v>
      </c>
      <c r="D358" s="178" t="str">
        <f>IF('Pantry Inventory'!A73="","",'Pantry Inventory'!A73)</f>
        <v>Nature Valley</v>
      </c>
      <c r="E358" s="178" t="str">
        <f>IF('Pantry Inventory'!B73="","",'Pantry Inventory'!B73)</f>
        <v xml:space="preserve">NV PROTEIN - SALTED CARAMEL 40G </v>
      </c>
      <c r="F358" s="178" t="str">
        <f>IF(E358="","",IFERROR(IF(INDEX('Item Purchases'!$S$4:$S$30,MATCH(E358,'Item Purchases'!$B$4:$B$30,0))="","Uncategorised",INDEX('Item Purchases'!$S$4:$S$30,MATCH(E358,'Item Purchases'!$B$4:$B$30,0))),"Uncategorised"))</f>
        <v>Sweet</v>
      </c>
      <c r="G358" s="178">
        <f>IF(E358="",0,'Pantry Inventory'!M73)</f>
        <v>0</v>
      </c>
      <c r="H358" s="178">
        <f>IF(E358="","",IF('Pantry Inventory'!N73="","",'Pantry Inventory'!N73))</f>
        <v>0</v>
      </c>
      <c r="I358" s="178">
        <f>IF(H358="","",'Pantry Inventory'!O73)</f>
        <v>0</v>
      </c>
      <c r="J358" s="179">
        <f>IF(E358="",0,IFERROR(INDEX('Item Purchases'!$Q$4:$Q$30,MATCH(E358,'Item Purchases'!$B$4:$B$30,0)),0))</f>
        <v>4.9000000000000004</v>
      </c>
      <c r="K358" s="180">
        <f t="shared" si="43"/>
        <v>0</v>
      </c>
      <c r="L358" s="178">
        <f t="shared" si="44"/>
        <v>1</v>
      </c>
      <c r="M358" s="178">
        <f>IF(E358="",0,IF(AND(OR(OR(Dashboard!$E$5="All",Dashboard!$E$5=""),AG358=Dashboard!$E$5),OR(OR(Dashboard!$H$5="All",Dashboard!$H$5=""),F358=Dashboard!$H$5),OR(OR(Dashboard!$B$5="All",Dashboard!$B$5=""),C358=Dashboard!$B$5),OR(OR(Dashboard!$K$5="All",Dashboard!$K$5=""),A358=Dashboard!$K$5),OR(OR(Dashboard!$N$5="All",Dashboard!$N$5=""),B358=Dashboard!$N$5),OR(OR(Dashboard!$Q$5="All",Dashboard!$Q$5=""),D358=Dashboard!$Q$5),OR(OR(Dashboard!$U$5="All",Dashboard!$U$5=""),E358=Dashboard!$U$5)),1,0))</f>
        <v>1</v>
      </c>
      <c r="N358" s="178">
        <f>IF(E358="",0,IF(AND(OR(OR(Dashboard!$E$5="All",Dashboard!$E$5=""),AG358=Dashboard!$E$5),OR(OR(Dashboard!$B$5="All",Dashboard!$B$5=""),C358=Dashboard!$B$5),OR(OR(Dashboard!$K$5="All",Dashboard!$K$5=""),A358=Dashboard!$K$5),OR(OR(Dashboard!$N$5="All",Dashboard!$N$5=""),B358=Dashboard!$N$5),OR(OR(Dashboard!$Q$5="All",Dashboard!$Q$5=""),D358=Dashboard!$Q$5),OR(OR(Dashboard!$U$5="All",Dashboard!$U$5=""),E358=Dashboard!$U$5)),1,0))</f>
        <v>1</v>
      </c>
      <c r="O358" s="165">
        <f t="shared" si="45"/>
        <v>0</v>
      </c>
      <c r="AG358" s="178" t="str">
        <f>IF(E358="","",IFERROR(IF(INDEX('Item Purchases'!$AM$4:$AM$30,MATCH(E358,'Item Purchases'!$B$4:$B$30,0))="","Uncategorised",INDEX('Item Purchases'!$AM$4:$AM$30,MATCH(E358,'Item Purchases'!$B$4:$B$30,0))),"Uncategorised"))</f>
        <v>Snacks</v>
      </c>
      <c r="AH358" s="165">
        <f>IF(AND(E358&lt;&gt;"",L358=1),COUNTIFS($E$2:E358,E358,$L$2:L358,1),0)</f>
        <v>14</v>
      </c>
      <c r="AI358" s="165">
        <f t="shared" si="46"/>
        <v>0</v>
      </c>
      <c r="AJ358" s="165">
        <f t="shared" si="47"/>
        <v>0</v>
      </c>
    </row>
    <row r="359" spans="1:36" x14ac:dyDescent="0.25">
      <c r="A359" s="177">
        <f t="shared" si="49"/>
        <v>46283</v>
      </c>
      <c r="B359" s="178" t="str">
        <f t="shared" si="42"/>
        <v>Fri</v>
      </c>
      <c r="C359" s="178" t="str">
        <f>'Pantry Inventory'!$A$65</f>
        <v>Sep Week 3</v>
      </c>
      <c r="D359" s="178" t="str">
        <f>IF('Pantry Inventory'!A74="","",'Pantry Inventory'!A74)</f>
        <v>BBMG</v>
      </c>
      <c r="E359" s="178" t="str">
        <f>IF('Pantry Inventory'!B74="","",'Pantry Inventory'!B74)</f>
        <v>BBMG 90G</v>
      </c>
      <c r="F359" s="178" t="str">
        <f>IF(E359="","",IFERROR(IF(INDEX('Item Purchases'!$S$4:$S$30,MATCH(E359,'Item Purchases'!$B$4:$B$30,0))="","Uncategorised",INDEX('Item Purchases'!$S$4:$S$30,MATCH(E359,'Item Purchases'!$B$4:$B$30,0))),"Uncategorised"))</f>
        <v>Savoury</v>
      </c>
      <c r="G359" s="178">
        <f>IF(E359="",0,'Pantry Inventory'!M74)</f>
        <v>0</v>
      </c>
      <c r="H359" s="178">
        <f>IF(E359="","",IF('Pantry Inventory'!N74="","",'Pantry Inventory'!N74))</f>
        <v>0</v>
      </c>
      <c r="I359" s="178">
        <f>IF(H359="","",'Pantry Inventory'!O74)</f>
        <v>0</v>
      </c>
      <c r="J359" s="179">
        <f>IF(E359="",0,IFERROR(INDEX('Item Purchases'!$Q$4:$Q$30,MATCH(E359,'Item Purchases'!$B$4:$B$30,0)),0))</f>
        <v>0.34300000000000003</v>
      </c>
      <c r="K359" s="180">
        <f t="shared" si="43"/>
        <v>0</v>
      </c>
      <c r="L359" s="178">
        <f t="shared" si="44"/>
        <v>1</v>
      </c>
      <c r="M359" s="178">
        <f>IF(E359="",0,IF(AND(OR(OR(Dashboard!$E$5="All",Dashboard!$E$5=""),AG359=Dashboard!$E$5),OR(OR(Dashboard!$H$5="All",Dashboard!$H$5=""),F359=Dashboard!$H$5),OR(OR(Dashboard!$B$5="All",Dashboard!$B$5=""),C359=Dashboard!$B$5),OR(OR(Dashboard!$K$5="All",Dashboard!$K$5=""),A359=Dashboard!$K$5),OR(OR(Dashboard!$N$5="All",Dashboard!$N$5=""),B359=Dashboard!$N$5),OR(OR(Dashboard!$Q$5="All",Dashboard!$Q$5=""),D359=Dashboard!$Q$5),OR(OR(Dashboard!$U$5="All",Dashboard!$U$5=""),E359=Dashboard!$U$5)),1,0))</f>
        <v>1</v>
      </c>
      <c r="N359" s="178">
        <f>IF(E359="",0,IF(AND(OR(OR(Dashboard!$E$5="All",Dashboard!$E$5=""),AG359=Dashboard!$E$5),OR(OR(Dashboard!$B$5="All",Dashboard!$B$5=""),C359=Dashboard!$B$5),OR(OR(Dashboard!$K$5="All",Dashboard!$K$5=""),A359=Dashboard!$K$5),OR(OR(Dashboard!$N$5="All",Dashboard!$N$5=""),B359=Dashboard!$N$5),OR(OR(Dashboard!$Q$5="All",Dashboard!$Q$5=""),D359=Dashboard!$Q$5),OR(OR(Dashboard!$U$5="All",Dashboard!$U$5=""),E359=Dashboard!$U$5)),1,0))</f>
        <v>1</v>
      </c>
      <c r="O359" s="165">
        <f t="shared" si="45"/>
        <v>0</v>
      </c>
      <c r="AG359" s="178" t="str">
        <f>IF(E359="","",IFERROR(IF(INDEX('Item Purchases'!$AM$4:$AM$30,MATCH(E359,'Item Purchases'!$B$4:$B$30,0))="","Uncategorised",INDEX('Item Purchases'!$AM$4:$AM$30,MATCH(E359,'Item Purchases'!$B$4:$B$30,0))),"Uncategorised"))</f>
        <v>Snacks</v>
      </c>
      <c r="AH359" s="165">
        <f>IF(AND(E359&lt;&gt;"",L359=1),COUNTIFS($E$2:E359,E359,$L$2:L359,1),0)</f>
        <v>14</v>
      </c>
      <c r="AI359" s="165">
        <f t="shared" si="46"/>
        <v>0</v>
      </c>
      <c r="AJ359" s="165">
        <f t="shared" si="47"/>
        <v>0</v>
      </c>
    </row>
    <row r="360" spans="1:36" x14ac:dyDescent="0.25">
      <c r="A360" s="177">
        <f t="shared" si="49"/>
        <v>46283</v>
      </c>
      <c r="B360" s="178" t="str">
        <f t="shared" si="42"/>
        <v>Fri</v>
      </c>
      <c r="C360" s="178" t="str">
        <f>'Pantry Inventory'!$A$65</f>
        <v>Sep Week 3</v>
      </c>
      <c r="D360" s="178" t="str">
        <f>IF('Pantry Inventory'!A75="","",'Pantry Inventory'!A75)</f>
        <v>Lays</v>
      </c>
      <c r="E360" s="178" t="str">
        <f>IF('Pantry Inventory'!B75="","",'Pantry Inventory'!B75)</f>
        <v>Lays Potato Chips (Original) 50g</v>
      </c>
      <c r="F360" s="178" t="str">
        <f>IF(E360="","",IFERROR(IF(INDEX('Item Purchases'!$S$4:$S$30,MATCH(E360,'Item Purchases'!$B$4:$B$30,0))="","Uncategorised",INDEX('Item Purchases'!$S$4:$S$30,MATCH(E360,'Item Purchases'!$B$4:$B$30,0))),"Uncategorised"))</f>
        <v>Savoury</v>
      </c>
      <c r="G360" s="178">
        <f>IF(E360="",0,'Pantry Inventory'!M75)</f>
        <v>0</v>
      </c>
      <c r="H360" s="178">
        <f>IF(E360="","",IF('Pantry Inventory'!N75="","",'Pantry Inventory'!N75))</f>
        <v>35</v>
      </c>
      <c r="I360" s="178">
        <f>IF(H360="","",'Pantry Inventory'!O75)</f>
        <v>0</v>
      </c>
      <c r="J360" s="179">
        <f>IF(E360="",0,IFERROR(INDEX('Item Purchases'!$Q$4:$Q$30,MATCH(E360,'Item Purchases'!$B$4:$B$30,0)),0))</f>
        <v>3.4580000000000002</v>
      </c>
      <c r="K360" s="180">
        <f t="shared" si="43"/>
        <v>0</v>
      </c>
      <c r="L360" s="178">
        <f t="shared" si="44"/>
        <v>1</v>
      </c>
      <c r="M360" s="178">
        <f>IF(E360="",0,IF(AND(OR(OR(Dashboard!$E$5="All",Dashboard!$E$5=""),AG360=Dashboard!$E$5),OR(OR(Dashboard!$H$5="All",Dashboard!$H$5=""),F360=Dashboard!$H$5),OR(OR(Dashboard!$B$5="All",Dashboard!$B$5=""),C360=Dashboard!$B$5),OR(OR(Dashboard!$K$5="All",Dashboard!$K$5=""),A360=Dashboard!$K$5),OR(OR(Dashboard!$N$5="All",Dashboard!$N$5=""),B360=Dashboard!$N$5),OR(OR(Dashboard!$Q$5="All",Dashboard!$Q$5=""),D360=Dashboard!$Q$5),OR(OR(Dashboard!$U$5="All",Dashboard!$U$5=""),E360=Dashboard!$U$5)),1,0))</f>
        <v>1</v>
      </c>
      <c r="N360" s="178">
        <f>IF(E360="",0,IF(AND(OR(OR(Dashboard!$E$5="All",Dashboard!$E$5=""),AG360=Dashboard!$E$5),OR(OR(Dashboard!$B$5="All",Dashboard!$B$5=""),C360=Dashboard!$B$5),OR(OR(Dashboard!$K$5="All",Dashboard!$K$5=""),A360=Dashboard!$K$5),OR(OR(Dashboard!$N$5="All",Dashboard!$N$5=""),B360=Dashboard!$N$5),OR(OR(Dashboard!$Q$5="All",Dashboard!$Q$5=""),D360=Dashboard!$Q$5),OR(OR(Dashboard!$U$5="All",Dashboard!$U$5=""),E360=Dashboard!$U$5)),1,0))</f>
        <v>1</v>
      </c>
      <c r="O360" s="165">
        <f t="shared" si="45"/>
        <v>0</v>
      </c>
      <c r="AG360" s="178" t="str">
        <f>IF(E360="","",IFERROR(IF(INDEX('Item Purchases'!$AM$4:$AM$30,MATCH(E360,'Item Purchases'!$B$4:$B$30,0))="","Uncategorised",INDEX('Item Purchases'!$AM$4:$AM$30,MATCH(E360,'Item Purchases'!$B$4:$B$30,0))),"Uncategorised"))</f>
        <v>Snacks</v>
      </c>
      <c r="AH360" s="165">
        <f>IF(AND(E360&lt;&gt;"",L360=1),COUNTIFS($E$2:E360,E360,$L$2:L360,1),0)</f>
        <v>14</v>
      </c>
      <c r="AI360" s="165">
        <f t="shared" si="46"/>
        <v>0</v>
      </c>
      <c r="AJ360" s="165">
        <f t="shared" si="47"/>
        <v>1</v>
      </c>
    </row>
    <row r="361" spans="1:36" x14ac:dyDescent="0.25">
      <c r="A361" s="177">
        <f t="shared" si="49"/>
        <v>46283</v>
      </c>
      <c r="B361" s="178" t="str">
        <f t="shared" si="42"/>
        <v>Fri</v>
      </c>
      <c r="C361" s="178" t="str">
        <f>'Pantry Inventory'!$A$65</f>
        <v>Sep Week 3</v>
      </c>
      <c r="D361" s="178" t="str">
        <f>IF('Pantry Inventory'!A76="","",'Pantry Inventory'!A76)</f>
        <v>Lays</v>
      </c>
      <c r="E361" s="178" t="str">
        <f>IF('Pantry Inventory'!B76="","",'Pantry Inventory'!B76)</f>
        <v xml:space="preserve">Lays Double Crunch - Seaweed Flav (50g) </v>
      </c>
      <c r="F361" s="178" t="str">
        <f>IF(E361="","",IFERROR(IF(INDEX('Item Purchases'!$S$4:$S$30,MATCH(E361,'Item Purchases'!$B$4:$B$30,0))="","Uncategorised",INDEX('Item Purchases'!$S$4:$S$30,MATCH(E361,'Item Purchases'!$B$4:$B$30,0))),"Uncategorised"))</f>
        <v>Savoury</v>
      </c>
      <c r="G361" s="178">
        <f>IF(E361="",0,'Pantry Inventory'!M76)</f>
        <v>0</v>
      </c>
      <c r="H361" s="178">
        <f>IF(E361="","",IF('Pantry Inventory'!N76="","",'Pantry Inventory'!N76))</f>
        <v>9</v>
      </c>
      <c r="I361" s="178">
        <f>IF(H361="","",'Pantry Inventory'!O76)</f>
        <v>16</v>
      </c>
      <c r="J361" s="179">
        <f>IF(E361="",0,IFERROR(INDEX('Item Purchases'!$Q$4:$Q$30,MATCH(E361,'Item Purchases'!$B$4:$B$30,0)),0))</f>
        <v>4</v>
      </c>
      <c r="K361" s="180">
        <f t="shared" si="43"/>
        <v>64</v>
      </c>
      <c r="L361" s="178">
        <f t="shared" si="44"/>
        <v>1</v>
      </c>
      <c r="M361" s="178">
        <f>IF(E361="",0,IF(AND(OR(OR(Dashboard!$E$5="All",Dashboard!$E$5=""),AG361=Dashboard!$E$5),OR(OR(Dashboard!$H$5="All",Dashboard!$H$5=""),F361=Dashboard!$H$5),OR(OR(Dashboard!$B$5="All",Dashboard!$B$5=""),C361=Dashboard!$B$5),OR(OR(Dashboard!$K$5="All",Dashboard!$K$5=""),A361=Dashboard!$K$5),OR(OR(Dashboard!$N$5="All",Dashboard!$N$5=""),B361=Dashboard!$N$5),OR(OR(Dashboard!$Q$5="All",Dashboard!$Q$5=""),D361=Dashboard!$Q$5),OR(OR(Dashboard!$U$5="All",Dashboard!$U$5=""),E361=Dashboard!$U$5)),1,0))</f>
        <v>1</v>
      </c>
      <c r="N361" s="178">
        <f>IF(E361="",0,IF(AND(OR(OR(Dashboard!$E$5="All",Dashboard!$E$5=""),AG361=Dashboard!$E$5),OR(OR(Dashboard!$B$5="All",Dashboard!$B$5=""),C361=Dashboard!$B$5),OR(OR(Dashboard!$K$5="All",Dashboard!$K$5=""),A361=Dashboard!$K$5),OR(OR(Dashboard!$N$5="All",Dashboard!$N$5=""),B361=Dashboard!$N$5),OR(OR(Dashboard!$Q$5="All",Dashboard!$Q$5=""),D361=Dashboard!$Q$5),OR(OR(Dashboard!$U$5="All",Dashboard!$U$5=""),E361=Dashboard!$U$5)),1,0))</f>
        <v>1</v>
      </c>
      <c r="O361" s="165">
        <f t="shared" si="45"/>
        <v>256</v>
      </c>
      <c r="AG361" s="178" t="str">
        <f>IF(E361="","",IFERROR(IF(INDEX('Item Purchases'!$AM$4:$AM$30,MATCH(E361,'Item Purchases'!$B$4:$B$30,0))="","Uncategorised",INDEX('Item Purchases'!$AM$4:$AM$30,MATCH(E361,'Item Purchases'!$B$4:$B$30,0))),"Uncategorised"))</f>
        <v>Snacks</v>
      </c>
      <c r="AH361" s="165">
        <f>IF(AND(E361&lt;&gt;"",L361=1),COUNTIFS($E$2:E361,E361,$L$2:L361,1),0)</f>
        <v>14</v>
      </c>
      <c r="AI361" s="165">
        <f t="shared" si="46"/>
        <v>16</v>
      </c>
      <c r="AJ361" s="165">
        <f t="shared" si="47"/>
        <v>1</v>
      </c>
    </row>
    <row r="362" spans="1:36" x14ac:dyDescent="0.25">
      <c r="A362" s="177">
        <f t="shared" si="49"/>
        <v>46283</v>
      </c>
      <c r="B362" s="178" t="str">
        <f t="shared" si="42"/>
        <v>Fri</v>
      </c>
      <c r="C362" s="178" t="str">
        <f>'Pantry Inventory'!$A$65</f>
        <v>Sep Week 3</v>
      </c>
      <c r="D362" s="178" t="str">
        <f>IF('Pantry Inventory'!A77="","",'Pantry Inventory'!A77)</f>
        <v>Munchy</v>
      </c>
      <c r="E362" s="178" t="str">
        <f>IF('Pantry Inventory'!B77="","",'Pantry Inventory'!B77)</f>
        <v>Munchy Oat Krunch - Dark Choco</v>
      </c>
      <c r="F362" s="178" t="str">
        <f>IF(E362="","",IFERROR(IF(INDEX('Item Purchases'!$S$4:$S$30,MATCH(E362,'Item Purchases'!$B$4:$B$30,0))="","Uncategorised",INDEX('Item Purchases'!$S$4:$S$30,MATCH(E362,'Item Purchases'!$B$4:$B$30,0))),"Uncategorised"))</f>
        <v>Sweet</v>
      </c>
      <c r="G362" s="178">
        <f>IF(E362="",0,'Pantry Inventory'!M77)</f>
        <v>0</v>
      </c>
      <c r="H362" s="178">
        <f>IF(E362="","",IF('Pantry Inventory'!N77="","",'Pantry Inventory'!N77))</f>
        <v>31</v>
      </c>
      <c r="I362" s="178">
        <f>IF(H362="","",'Pantry Inventory'!O77)</f>
        <v>14</v>
      </c>
      <c r="J362" s="179">
        <f>IF(E362="",0,IFERROR(INDEX('Item Purchases'!$Q$4:$Q$30,MATCH(E362,'Item Purchases'!$B$4:$B$30,0)),0))</f>
        <v>0.73</v>
      </c>
      <c r="K362" s="180">
        <f t="shared" si="43"/>
        <v>10.219999999999999</v>
      </c>
      <c r="L362" s="178">
        <f t="shared" si="44"/>
        <v>1</v>
      </c>
      <c r="M362" s="178">
        <f>IF(E362="",0,IF(AND(OR(OR(Dashboard!$E$5="All",Dashboard!$E$5=""),AG362=Dashboard!$E$5),OR(OR(Dashboard!$H$5="All",Dashboard!$H$5=""),F362=Dashboard!$H$5),OR(OR(Dashboard!$B$5="All",Dashboard!$B$5=""),C362=Dashboard!$B$5),OR(OR(Dashboard!$K$5="All",Dashboard!$K$5=""),A362=Dashboard!$K$5),OR(OR(Dashboard!$N$5="All",Dashboard!$N$5=""),B362=Dashboard!$N$5),OR(OR(Dashboard!$Q$5="All",Dashboard!$Q$5=""),D362=Dashboard!$Q$5),OR(OR(Dashboard!$U$5="All",Dashboard!$U$5=""),E362=Dashboard!$U$5)),1,0))</f>
        <v>1</v>
      </c>
      <c r="N362" s="178">
        <f>IF(E362="",0,IF(AND(OR(OR(Dashboard!$E$5="All",Dashboard!$E$5=""),AG362=Dashboard!$E$5),OR(OR(Dashboard!$B$5="All",Dashboard!$B$5=""),C362=Dashboard!$B$5),OR(OR(Dashboard!$K$5="All",Dashboard!$K$5=""),A362=Dashboard!$K$5),OR(OR(Dashboard!$N$5="All",Dashboard!$N$5=""),B362=Dashboard!$N$5),OR(OR(Dashboard!$Q$5="All",Dashboard!$Q$5=""),D362=Dashboard!$Q$5),OR(OR(Dashboard!$U$5="All",Dashboard!$U$5=""),E362=Dashboard!$U$5)),1,0))</f>
        <v>1</v>
      </c>
      <c r="O362" s="165">
        <f t="shared" si="45"/>
        <v>196</v>
      </c>
      <c r="AG362" s="178" t="str">
        <f>IF(E362="","",IFERROR(IF(INDEX('Item Purchases'!$AM$4:$AM$30,MATCH(E362,'Item Purchases'!$B$4:$B$30,0))="","Uncategorised",INDEX('Item Purchases'!$AM$4:$AM$30,MATCH(E362,'Item Purchases'!$B$4:$B$30,0))),"Uncategorised"))</f>
        <v>Snacks</v>
      </c>
      <c r="AH362" s="165">
        <f>IF(AND(E362&lt;&gt;"",L362=1),COUNTIFS($E$2:E362,E362,$L$2:L362,1),0)</f>
        <v>14</v>
      </c>
      <c r="AI362" s="165">
        <f t="shared" si="46"/>
        <v>14</v>
      </c>
      <c r="AJ362" s="165">
        <f t="shared" si="47"/>
        <v>1</v>
      </c>
    </row>
    <row r="363" spans="1:36" x14ac:dyDescent="0.25">
      <c r="A363" s="177">
        <f t="shared" si="49"/>
        <v>46283</v>
      </c>
      <c r="B363" s="178" t="str">
        <f t="shared" si="42"/>
        <v>Fri</v>
      </c>
      <c r="C363" s="178" t="str">
        <f>'Pantry Inventory'!$A$65</f>
        <v>Sep Week 3</v>
      </c>
      <c r="D363" s="178" t="str">
        <f>IF('Pantry Inventory'!A78="","",'Pantry Inventory'!A78)</f>
        <v>Munchy</v>
      </c>
      <c r="E363" s="178" t="str">
        <f>IF('Pantry Inventory'!B78="","",'Pantry Inventory'!B78)</f>
        <v>Munchy Oat Krunch - Strawberry &amp; Blackcurrant</v>
      </c>
      <c r="F363" s="178" t="str">
        <f>IF(E363="","",IFERROR(IF(INDEX('Item Purchases'!$S$4:$S$30,MATCH(E363,'Item Purchases'!$B$4:$B$30,0))="","Uncategorised",INDEX('Item Purchases'!$S$4:$S$30,MATCH(E363,'Item Purchases'!$B$4:$B$30,0))),"Uncategorised"))</f>
        <v>Sweet</v>
      </c>
      <c r="G363" s="178">
        <f>IF(E363="",0,'Pantry Inventory'!M78)</f>
        <v>0</v>
      </c>
      <c r="H363" s="178">
        <f>IF(E363="","",IF('Pantry Inventory'!N78="","",'Pantry Inventory'!N78))</f>
        <v>23</v>
      </c>
      <c r="I363" s="178">
        <f>IF(H363="","",'Pantry Inventory'!O78)</f>
        <v>8</v>
      </c>
      <c r="J363" s="179">
        <f>IF(E363="",0,IFERROR(INDEX('Item Purchases'!$Q$4:$Q$30,MATCH(E363,'Item Purchases'!$B$4:$B$30,0)),0))</f>
        <v>0.73</v>
      </c>
      <c r="K363" s="180">
        <f t="shared" si="43"/>
        <v>5.84</v>
      </c>
      <c r="L363" s="178">
        <f t="shared" si="44"/>
        <v>1</v>
      </c>
      <c r="M363" s="178">
        <f>IF(E363="",0,IF(AND(OR(OR(Dashboard!$E$5="All",Dashboard!$E$5=""),AG363=Dashboard!$E$5),OR(OR(Dashboard!$H$5="All",Dashboard!$H$5=""),F363=Dashboard!$H$5),OR(OR(Dashboard!$B$5="All",Dashboard!$B$5=""),C363=Dashboard!$B$5),OR(OR(Dashboard!$K$5="All",Dashboard!$K$5=""),A363=Dashboard!$K$5),OR(OR(Dashboard!$N$5="All",Dashboard!$N$5=""),B363=Dashboard!$N$5),OR(OR(Dashboard!$Q$5="All",Dashboard!$Q$5=""),D363=Dashboard!$Q$5),OR(OR(Dashboard!$U$5="All",Dashboard!$U$5=""),E363=Dashboard!$U$5)),1,0))</f>
        <v>1</v>
      </c>
      <c r="N363" s="178">
        <f>IF(E363="",0,IF(AND(OR(OR(Dashboard!$E$5="All",Dashboard!$E$5=""),AG363=Dashboard!$E$5),OR(OR(Dashboard!$B$5="All",Dashboard!$B$5=""),C363=Dashboard!$B$5),OR(OR(Dashboard!$K$5="All",Dashboard!$K$5=""),A363=Dashboard!$K$5),OR(OR(Dashboard!$N$5="All",Dashboard!$N$5=""),B363=Dashboard!$N$5),OR(OR(Dashboard!$Q$5="All",Dashboard!$Q$5=""),D363=Dashboard!$Q$5),OR(OR(Dashboard!$U$5="All",Dashboard!$U$5=""),E363=Dashboard!$U$5)),1,0))</f>
        <v>1</v>
      </c>
      <c r="O363" s="165">
        <f t="shared" si="45"/>
        <v>64</v>
      </c>
      <c r="AG363" s="178" t="str">
        <f>IF(E363="","",IFERROR(IF(INDEX('Item Purchases'!$AM$4:$AM$30,MATCH(E363,'Item Purchases'!$B$4:$B$30,0))="","Uncategorised",INDEX('Item Purchases'!$AM$4:$AM$30,MATCH(E363,'Item Purchases'!$B$4:$B$30,0))),"Uncategorised"))</f>
        <v>Snacks</v>
      </c>
      <c r="AH363" s="165">
        <f>IF(AND(E363&lt;&gt;"",L363=1),COUNTIFS($E$2:E363,E363,$L$2:L363,1),0)</f>
        <v>14</v>
      </c>
      <c r="AI363" s="165">
        <f t="shared" si="46"/>
        <v>8</v>
      </c>
      <c r="AJ363" s="165">
        <f t="shared" si="47"/>
        <v>1</v>
      </c>
    </row>
    <row r="364" spans="1:36" x14ac:dyDescent="0.25">
      <c r="A364" s="177">
        <f t="shared" si="49"/>
        <v>46283</v>
      </c>
      <c r="B364" s="178" t="str">
        <f t="shared" si="42"/>
        <v>Fri</v>
      </c>
      <c r="C364" s="178" t="str">
        <f>'Pantry Inventory'!$A$65</f>
        <v>Sep Week 3</v>
      </c>
      <c r="D364" s="178" t="str">
        <f>IF('Pantry Inventory'!A79="","",'Pantry Inventory'!A79)</f>
        <v/>
      </c>
      <c r="E364" s="178" t="str">
        <f>IF('Pantry Inventory'!B79="","",'Pantry Inventory'!B79)</f>
        <v/>
      </c>
      <c r="F364" s="178" t="str">
        <f>IF(E364="","",IFERROR(IF(INDEX('Item Purchases'!$S$4:$S$30,MATCH(E364,'Item Purchases'!$B$4:$B$30,0))="","Uncategorised",INDEX('Item Purchases'!$S$4:$S$30,MATCH(E364,'Item Purchases'!$B$4:$B$30,0))),"Uncategorised"))</f>
        <v/>
      </c>
      <c r="G364" s="178">
        <f>IF(E364="",0,'Pantry Inventory'!M79)</f>
        <v>0</v>
      </c>
      <c r="H364" s="178" t="str">
        <f>IF(E364="","",IF('Pantry Inventory'!N79="","",'Pantry Inventory'!N79))</f>
        <v/>
      </c>
      <c r="I364" s="178" t="str">
        <f>IF(H364="","",'Pantry Inventory'!O79)</f>
        <v/>
      </c>
      <c r="J364" s="179">
        <f>IF(E364="",0,IFERROR(INDEX('Item Purchases'!$Q$4:$Q$30,MATCH(E364,'Item Purchases'!$B$4:$B$30,0)),0))</f>
        <v>0</v>
      </c>
      <c r="K364" s="180" t="str">
        <f t="shared" si="43"/>
        <v/>
      </c>
      <c r="L364" s="178">
        <f t="shared" si="44"/>
        <v>0</v>
      </c>
      <c r="M364" s="178">
        <f>IF(E364="",0,IF(AND(OR(OR(Dashboard!$E$5="All",Dashboard!$E$5=""),AG364=Dashboard!$E$5),OR(OR(Dashboard!$H$5="All",Dashboard!$H$5=""),F364=Dashboard!$H$5),OR(OR(Dashboard!$B$5="All",Dashboard!$B$5=""),C364=Dashboard!$B$5),OR(OR(Dashboard!$K$5="All",Dashboard!$K$5=""),A364=Dashboard!$K$5),OR(OR(Dashboard!$N$5="All",Dashboard!$N$5=""),B364=Dashboard!$N$5),OR(OR(Dashboard!$Q$5="All",Dashboard!$Q$5=""),D364=Dashboard!$Q$5),OR(OR(Dashboard!$U$5="All",Dashboard!$U$5=""),E364=Dashboard!$U$5)),1,0))</f>
        <v>0</v>
      </c>
      <c r="N364" s="178">
        <f>IF(E364="",0,IF(AND(OR(OR(Dashboard!$E$5="All",Dashboard!$E$5=""),AG364=Dashboard!$E$5),OR(OR(Dashboard!$B$5="All",Dashboard!$B$5=""),C364=Dashboard!$B$5),OR(OR(Dashboard!$K$5="All",Dashboard!$K$5=""),A364=Dashboard!$K$5),OR(OR(Dashboard!$N$5="All",Dashboard!$N$5=""),B364=Dashboard!$N$5),OR(OR(Dashboard!$Q$5="All",Dashboard!$Q$5=""),D364=Dashboard!$Q$5),OR(OR(Dashboard!$U$5="All",Dashboard!$U$5=""),E364=Dashboard!$U$5)),1,0))</f>
        <v>0</v>
      </c>
      <c r="O364" s="165">
        <f t="shared" si="45"/>
        <v>0</v>
      </c>
      <c r="AG364" s="178" t="str">
        <f>IF(E364="","",IFERROR(IF(INDEX('Item Purchases'!$AM$4:$AM$30,MATCH(E364,'Item Purchases'!$B$4:$B$30,0))="","Uncategorised",INDEX('Item Purchases'!$AM$4:$AM$30,MATCH(E364,'Item Purchases'!$B$4:$B$30,0))),"Uncategorised"))</f>
        <v/>
      </c>
      <c r="AH364" s="165">
        <f>IF(AND(E364&lt;&gt;"",L364=1),COUNTIFS($E$2:E364,E364,$L$2:L364,1),0)</f>
        <v>0</v>
      </c>
      <c r="AI364" s="165">
        <f t="shared" si="46"/>
        <v>0</v>
      </c>
      <c r="AJ364" s="165">
        <f t="shared" si="47"/>
        <v>0</v>
      </c>
    </row>
    <row r="365" spans="1:36" x14ac:dyDescent="0.25">
      <c r="A365" s="177">
        <f t="shared" si="49"/>
        <v>46283</v>
      </c>
      <c r="B365" s="178" t="str">
        <f t="shared" si="42"/>
        <v>Fri</v>
      </c>
      <c r="C365" s="178" t="str">
        <f>'Pantry Inventory'!$A$65</f>
        <v>Sep Week 3</v>
      </c>
      <c r="D365" s="178" t="str">
        <f>IF('Pantry Inventory'!A80="","",'Pantry Inventory'!A80)</f>
        <v>Nestle</v>
      </c>
      <c r="E365" s="178" t="str">
        <f>IF('Pantry Inventory'!B80="","",'Pantry Inventory'!B80)</f>
        <v>Milo 200ml</v>
      </c>
      <c r="F365" s="178" t="str">
        <f>IF(E365="","",IFERROR(IF(INDEX('Item Purchases'!$S$4:$S$30,MATCH(E365,'Item Purchases'!$B$4:$B$30,0))="","Uncategorised",INDEX('Item Purchases'!$S$4:$S$30,MATCH(E365,'Item Purchases'!$B$4:$B$30,0))),"Uncategorised"))</f>
        <v>Other</v>
      </c>
      <c r="G365" s="178">
        <f>IF(E365="",0,'Pantry Inventory'!M80)</f>
        <v>0</v>
      </c>
      <c r="H365" s="178">
        <f>IF(E365="","",IF('Pantry Inventory'!N80="","",'Pantry Inventory'!N80))</f>
        <v>0</v>
      </c>
      <c r="I365" s="178">
        <f>IF(H365="","",'Pantry Inventory'!O80)</f>
        <v>22</v>
      </c>
      <c r="J365" s="179">
        <f>IF(E365="",0,IFERROR(INDEX('Item Purchases'!$Q$4:$Q$30,MATCH(E365,'Item Purchases'!$B$4:$B$30,0)),0))</f>
        <v>2.37</v>
      </c>
      <c r="K365" s="180">
        <f t="shared" si="43"/>
        <v>52.14</v>
      </c>
      <c r="L365" s="178">
        <f t="shared" si="44"/>
        <v>1</v>
      </c>
      <c r="M365" s="178">
        <f>IF(E365="",0,IF(AND(OR(OR(Dashboard!$E$5="All",Dashboard!$E$5=""),AG365=Dashboard!$E$5),OR(OR(Dashboard!$H$5="All",Dashboard!$H$5=""),F365=Dashboard!$H$5),OR(OR(Dashboard!$B$5="All",Dashboard!$B$5=""),C365=Dashboard!$B$5),OR(OR(Dashboard!$K$5="All",Dashboard!$K$5=""),A365=Dashboard!$K$5),OR(OR(Dashboard!$N$5="All",Dashboard!$N$5=""),B365=Dashboard!$N$5),OR(OR(Dashboard!$Q$5="All",Dashboard!$Q$5=""),D365=Dashboard!$Q$5),OR(OR(Dashboard!$U$5="All",Dashboard!$U$5=""),E365=Dashboard!$U$5)),1,0))</f>
        <v>1</v>
      </c>
      <c r="N365" s="178">
        <f>IF(E365="",0,IF(AND(OR(OR(Dashboard!$E$5="All",Dashboard!$E$5=""),AG365=Dashboard!$E$5),OR(OR(Dashboard!$B$5="All",Dashboard!$B$5=""),C365=Dashboard!$B$5),OR(OR(Dashboard!$K$5="All",Dashboard!$K$5=""),A365=Dashboard!$K$5),OR(OR(Dashboard!$N$5="All",Dashboard!$N$5=""),B365=Dashboard!$N$5),OR(OR(Dashboard!$Q$5="All",Dashboard!$Q$5=""),D365=Dashboard!$Q$5),OR(OR(Dashboard!$U$5="All",Dashboard!$U$5=""),E365=Dashboard!$U$5)),1,0))</f>
        <v>1</v>
      </c>
      <c r="O365" s="165">
        <f t="shared" si="45"/>
        <v>0</v>
      </c>
      <c r="AG365" s="178" t="str">
        <f>IF(E365="","",IFERROR(IF(INDEX('Item Purchases'!$AM$4:$AM$30,MATCH(E365,'Item Purchases'!$B$4:$B$30,0))="","Uncategorised",INDEX('Item Purchases'!$AM$4:$AM$30,MATCH(E365,'Item Purchases'!$B$4:$B$30,0))),"Uncategorised"))</f>
        <v>Beverages</v>
      </c>
      <c r="AH365" s="165">
        <f>IF(AND(E365&lt;&gt;"",L365=1),COUNTIFS($E$2:E365,E365,$L$2:L365,1),0)</f>
        <v>14</v>
      </c>
      <c r="AI365" s="165">
        <f t="shared" si="46"/>
        <v>22</v>
      </c>
      <c r="AJ365" s="165">
        <f t="shared" si="47"/>
        <v>0</v>
      </c>
    </row>
    <row r="366" spans="1:36" x14ac:dyDescent="0.25">
      <c r="A366" s="177">
        <f t="shared" si="49"/>
        <v>46283</v>
      </c>
      <c r="B366" s="178" t="str">
        <f t="shared" si="42"/>
        <v>Fri</v>
      </c>
      <c r="C366" s="178" t="str">
        <f>'Pantry Inventory'!$A$65</f>
        <v>Sep Week 3</v>
      </c>
      <c r="D366" s="178" t="str">
        <f>IF('Pantry Inventory'!A81="","",'Pantry Inventory'!A81)</f>
        <v>Nestle</v>
      </c>
      <c r="E366" s="178" t="str">
        <f>IF('Pantry Inventory'!B81="","",'Pantry Inventory'!B81)</f>
        <v>Nescafe Latte 240ml</v>
      </c>
      <c r="F366" s="178" t="str">
        <f>IF(E366="","",IFERROR(IF(INDEX('Item Purchases'!$S$4:$S$30,MATCH(E366,'Item Purchases'!$B$4:$B$30,0))="","Uncategorised",INDEX('Item Purchases'!$S$4:$S$30,MATCH(E366,'Item Purchases'!$B$4:$B$30,0))),"Uncategorised"))</f>
        <v>Coffee</v>
      </c>
      <c r="G366" s="178">
        <f>IF(E366="",0,'Pantry Inventory'!M81)</f>
        <v>24</v>
      </c>
      <c r="H366" s="178">
        <f>IF(E366="","",IF('Pantry Inventory'!N81="","",'Pantry Inventory'!N81))</f>
        <v>53</v>
      </c>
      <c r="I366" s="178">
        <f>IF(H366="","",'Pantry Inventory'!O81)</f>
        <v>2</v>
      </c>
      <c r="J366" s="179">
        <f>IF(E366="",0,IFERROR(INDEX('Item Purchases'!$Q$4:$Q$30,MATCH(E366,'Item Purchases'!$B$4:$B$30,0)),0))</f>
        <v>2.1875</v>
      </c>
      <c r="K366" s="180">
        <f t="shared" si="43"/>
        <v>4.375</v>
      </c>
      <c r="L366" s="178">
        <f t="shared" si="44"/>
        <v>1</v>
      </c>
      <c r="M366" s="178">
        <f>IF(E366="",0,IF(AND(OR(OR(Dashboard!$E$5="All",Dashboard!$E$5=""),AG366=Dashboard!$E$5),OR(OR(Dashboard!$H$5="All",Dashboard!$H$5=""),F366=Dashboard!$H$5),OR(OR(Dashboard!$B$5="All",Dashboard!$B$5=""),C366=Dashboard!$B$5),OR(OR(Dashboard!$K$5="All",Dashboard!$K$5=""),A366=Dashboard!$K$5),OR(OR(Dashboard!$N$5="All",Dashboard!$N$5=""),B366=Dashboard!$N$5),OR(OR(Dashboard!$Q$5="All",Dashboard!$Q$5=""),D366=Dashboard!$Q$5),OR(OR(Dashboard!$U$5="All",Dashboard!$U$5=""),E366=Dashboard!$U$5)),1,0))</f>
        <v>1</v>
      </c>
      <c r="N366" s="178">
        <f>IF(E366="",0,IF(AND(OR(OR(Dashboard!$E$5="All",Dashboard!$E$5=""),AG366=Dashboard!$E$5),OR(OR(Dashboard!$B$5="All",Dashboard!$B$5=""),C366=Dashboard!$B$5),OR(OR(Dashboard!$K$5="All",Dashboard!$K$5=""),A366=Dashboard!$K$5),OR(OR(Dashboard!$N$5="All",Dashboard!$N$5=""),B366=Dashboard!$N$5),OR(OR(Dashboard!$Q$5="All",Dashboard!$Q$5=""),D366=Dashboard!$Q$5),OR(OR(Dashboard!$U$5="All",Dashboard!$U$5=""),E366=Dashboard!$U$5)),1,0))</f>
        <v>1</v>
      </c>
      <c r="O366" s="165">
        <f t="shared" si="45"/>
        <v>4</v>
      </c>
      <c r="AG366" s="178" t="str">
        <f>IF(E366="","",IFERROR(IF(INDEX('Item Purchases'!$AM$4:$AM$30,MATCH(E366,'Item Purchases'!$B$4:$B$30,0))="","Uncategorised",INDEX('Item Purchases'!$AM$4:$AM$30,MATCH(E366,'Item Purchases'!$B$4:$B$30,0))),"Uncategorised"))</f>
        <v>Beverages</v>
      </c>
      <c r="AH366" s="165">
        <f>IF(AND(E366&lt;&gt;"",L366=1),COUNTIFS($E$2:E366,E366,$L$2:L366,1),0)</f>
        <v>14</v>
      </c>
      <c r="AI366" s="165">
        <f t="shared" si="46"/>
        <v>2</v>
      </c>
      <c r="AJ366" s="165">
        <f t="shared" si="47"/>
        <v>1</v>
      </c>
    </row>
    <row r="367" spans="1:36" x14ac:dyDescent="0.25">
      <c r="A367" s="177">
        <f t="shared" si="49"/>
        <v>46283</v>
      </c>
      <c r="B367" s="178" t="str">
        <f t="shared" si="42"/>
        <v>Fri</v>
      </c>
      <c r="C367" s="178" t="str">
        <f>'Pantry Inventory'!$A$65</f>
        <v>Sep Week 3</v>
      </c>
      <c r="D367" s="178" t="str">
        <f>IF('Pantry Inventory'!A82="","",'Pantry Inventory'!A82)</f>
        <v>Nestle</v>
      </c>
      <c r="E367" s="178" t="str">
        <f>IF('Pantry Inventory'!B82="","",'Pantry Inventory'!B82)</f>
        <v>Nescafe original 240ml</v>
      </c>
      <c r="F367" s="178" t="str">
        <f>IF(E367="","",IFERROR(IF(INDEX('Item Purchases'!$S$4:$S$30,MATCH(E367,'Item Purchases'!$B$4:$B$30,0))="","Uncategorised",INDEX('Item Purchases'!$S$4:$S$30,MATCH(E367,'Item Purchases'!$B$4:$B$30,0))),"Uncategorised"))</f>
        <v>Coffee</v>
      </c>
      <c r="G367" s="178">
        <f>IF(E367="",0,'Pantry Inventory'!M82)</f>
        <v>24</v>
      </c>
      <c r="H367" s="178">
        <f>IF(E367="","",IF('Pantry Inventory'!N82="","",'Pantry Inventory'!N82))</f>
        <v>40</v>
      </c>
      <c r="I367" s="178">
        <f>IF(H367="","",'Pantry Inventory'!O82)</f>
        <v>3</v>
      </c>
      <c r="J367" s="179">
        <f>IF(E367="",0,IFERROR(INDEX('Item Purchases'!$Q$4:$Q$30,MATCH(E367,'Item Purchases'!$B$4:$B$30,0)),0))</f>
        <v>2.1875</v>
      </c>
      <c r="K367" s="180">
        <f t="shared" si="43"/>
        <v>6.5625</v>
      </c>
      <c r="L367" s="178">
        <f t="shared" si="44"/>
        <v>1</v>
      </c>
      <c r="M367" s="178">
        <f>IF(E367="",0,IF(AND(OR(OR(Dashboard!$E$5="All",Dashboard!$E$5=""),AG367=Dashboard!$E$5),OR(OR(Dashboard!$H$5="All",Dashboard!$H$5=""),F367=Dashboard!$H$5),OR(OR(Dashboard!$B$5="All",Dashboard!$B$5=""),C367=Dashboard!$B$5),OR(OR(Dashboard!$K$5="All",Dashboard!$K$5=""),A367=Dashboard!$K$5),OR(OR(Dashboard!$N$5="All",Dashboard!$N$5=""),B367=Dashboard!$N$5),OR(OR(Dashboard!$Q$5="All",Dashboard!$Q$5=""),D367=Dashboard!$Q$5),OR(OR(Dashboard!$U$5="All",Dashboard!$U$5=""),E367=Dashboard!$U$5)),1,0))</f>
        <v>1</v>
      </c>
      <c r="N367" s="178">
        <f>IF(E367="",0,IF(AND(OR(OR(Dashboard!$E$5="All",Dashboard!$E$5=""),AG367=Dashboard!$E$5),OR(OR(Dashboard!$B$5="All",Dashboard!$B$5=""),C367=Dashboard!$B$5),OR(OR(Dashboard!$K$5="All",Dashboard!$K$5=""),A367=Dashboard!$K$5),OR(OR(Dashboard!$N$5="All",Dashboard!$N$5=""),B367=Dashboard!$N$5),OR(OR(Dashboard!$Q$5="All",Dashboard!$Q$5=""),D367=Dashboard!$Q$5),OR(OR(Dashboard!$U$5="All",Dashboard!$U$5=""),E367=Dashboard!$U$5)),1,0))</f>
        <v>1</v>
      </c>
      <c r="O367" s="165">
        <f t="shared" si="45"/>
        <v>9</v>
      </c>
      <c r="AG367" s="178" t="str">
        <f>IF(E367="","",IFERROR(IF(INDEX('Item Purchases'!$AM$4:$AM$30,MATCH(E367,'Item Purchases'!$B$4:$B$30,0))="","Uncategorised",INDEX('Item Purchases'!$AM$4:$AM$30,MATCH(E367,'Item Purchases'!$B$4:$B$30,0))),"Uncategorised"))</f>
        <v>Beverages</v>
      </c>
      <c r="AH367" s="165">
        <f>IF(AND(E367&lt;&gt;"",L367=1),COUNTIFS($E$2:E367,E367,$L$2:L367,1),0)</f>
        <v>14</v>
      </c>
      <c r="AI367" s="165">
        <f t="shared" si="46"/>
        <v>3</v>
      </c>
      <c r="AJ367" s="165">
        <f t="shared" si="47"/>
        <v>1</v>
      </c>
    </row>
    <row r="368" spans="1:36" x14ac:dyDescent="0.25">
      <c r="A368" s="177">
        <f t="shared" si="49"/>
        <v>46283</v>
      </c>
      <c r="B368" s="178" t="str">
        <f t="shared" si="42"/>
        <v>Fri</v>
      </c>
      <c r="C368" s="178" t="str">
        <f>'Pantry Inventory'!$A$65</f>
        <v>Sep Week 3</v>
      </c>
      <c r="D368" s="178" t="str">
        <f>IF('Pantry Inventory'!A83="","",'Pantry Inventory'!A83)</f>
        <v>COWA</v>
      </c>
      <c r="E368" s="178" t="str">
        <f>IF('Pantry Inventory'!B83="","",'Pantry Inventory'!B83)</f>
        <v>COWA Coconut Water 330 ml</v>
      </c>
      <c r="F368" s="178" t="str">
        <f>IF(E368="","",IFERROR(IF(INDEX('Item Purchases'!$S$4:$S$30,MATCH(E368,'Item Purchases'!$B$4:$B$30,0))="","Uncategorised",INDEX('Item Purchases'!$S$4:$S$30,MATCH(E368,'Item Purchases'!$B$4:$B$30,0))),"Uncategorised"))</f>
        <v>Other</v>
      </c>
      <c r="G368" s="178">
        <f>IF(E368="",0,'Pantry Inventory'!M83)</f>
        <v>0</v>
      </c>
      <c r="H368" s="178">
        <f>IF(E368="","",IF('Pantry Inventory'!N83="","",'Pantry Inventory'!N83))</f>
        <v>68</v>
      </c>
      <c r="I368" s="178">
        <f>IF(H368="","",'Pantry Inventory'!O83)</f>
        <v>21</v>
      </c>
      <c r="J368" s="179">
        <f>IF(E368="",0,IFERROR(INDEX('Item Purchases'!$Q$4:$Q$30,MATCH(E368,'Item Purchases'!$B$4:$B$30,0)),0))</f>
        <v>3</v>
      </c>
      <c r="K368" s="180">
        <f t="shared" si="43"/>
        <v>63</v>
      </c>
      <c r="L368" s="178">
        <f t="shared" si="44"/>
        <v>1</v>
      </c>
      <c r="M368" s="178">
        <f>IF(E368="",0,IF(AND(OR(OR(Dashboard!$E$5="All",Dashboard!$E$5=""),AG368=Dashboard!$E$5),OR(OR(Dashboard!$H$5="All",Dashboard!$H$5=""),F368=Dashboard!$H$5),OR(OR(Dashboard!$B$5="All",Dashboard!$B$5=""),C368=Dashboard!$B$5),OR(OR(Dashboard!$K$5="All",Dashboard!$K$5=""),A368=Dashboard!$K$5),OR(OR(Dashboard!$N$5="All",Dashboard!$N$5=""),B368=Dashboard!$N$5),OR(OR(Dashboard!$Q$5="All",Dashboard!$Q$5=""),D368=Dashboard!$Q$5),OR(OR(Dashboard!$U$5="All",Dashboard!$U$5=""),E368=Dashboard!$U$5)),1,0))</f>
        <v>1</v>
      </c>
      <c r="N368" s="178">
        <f>IF(E368="",0,IF(AND(OR(OR(Dashboard!$E$5="All",Dashboard!$E$5=""),AG368=Dashboard!$E$5),OR(OR(Dashboard!$B$5="All",Dashboard!$B$5=""),C368=Dashboard!$B$5),OR(OR(Dashboard!$K$5="All",Dashboard!$K$5=""),A368=Dashboard!$K$5),OR(OR(Dashboard!$N$5="All",Dashboard!$N$5=""),B368=Dashboard!$N$5),OR(OR(Dashboard!$Q$5="All",Dashboard!$Q$5=""),D368=Dashboard!$Q$5),OR(OR(Dashboard!$U$5="All",Dashboard!$U$5=""),E368=Dashboard!$U$5)),1,0))</f>
        <v>1</v>
      </c>
      <c r="O368" s="165">
        <f t="shared" si="45"/>
        <v>441</v>
      </c>
      <c r="AG368" s="178" t="str">
        <f>IF(E368="","",IFERROR(IF(INDEX('Item Purchases'!$AM$4:$AM$30,MATCH(E368,'Item Purchases'!$B$4:$B$30,0))="","Uncategorised",INDEX('Item Purchases'!$AM$4:$AM$30,MATCH(E368,'Item Purchases'!$B$4:$B$30,0))),"Uncategorised"))</f>
        <v>Beverages</v>
      </c>
      <c r="AH368" s="165">
        <f>IF(AND(E368&lt;&gt;"",L368=1),COUNTIFS($E$2:E368,E368,$L$2:L368,1),0)</f>
        <v>14</v>
      </c>
      <c r="AI368" s="165">
        <f t="shared" si="46"/>
        <v>21</v>
      </c>
      <c r="AJ368" s="165">
        <f t="shared" si="47"/>
        <v>1</v>
      </c>
    </row>
    <row r="369" spans="1:36" x14ac:dyDescent="0.25">
      <c r="A369" s="177">
        <f t="shared" si="49"/>
        <v>46283</v>
      </c>
      <c r="B369" s="178" t="str">
        <f t="shared" si="42"/>
        <v>Fri</v>
      </c>
      <c r="C369" s="178" t="str">
        <f>'Pantry Inventory'!$A$65</f>
        <v>Sep Week 3</v>
      </c>
      <c r="D369" s="178" t="str">
        <f>IF('Pantry Inventory'!A84="","",'Pantry Inventory'!A84)</f>
        <v>Coca Cola</v>
      </c>
      <c r="E369" s="178" t="str">
        <f>IF('Pantry Inventory'!B84="","",'Pantry Inventory'!B84)</f>
        <v>COKE ZERO  325ML</v>
      </c>
      <c r="F369" s="178" t="str">
        <f>IF(E369="","",IFERROR(IF(INDEX('Item Purchases'!$S$4:$S$30,MATCH(E369,'Item Purchases'!$B$4:$B$30,0))="","Uncategorised",INDEX('Item Purchases'!$S$4:$S$30,MATCH(E369,'Item Purchases'!$B$4:$B$30,0))),"Uncategorised"))</f>
        <v>Other</v>
      </c>
      <c r="G369" s="178">
        <f>IF(E369="",0,'Pantry Inventory'!M84)</f>
        <v>0</v>
      </c>
      <c r="H369" s="178">
        <f>IF(E369="","",IF('Pantry Inventory'!N84="","",'Pantry Inventory'!N84))</f>
        <v>33</v>
      </c>
      <c r="I369" s="178">
        <f>IF(H369="","",'Pantry Inventory'!O84)</f>
        <v>8</v>
      </c>
      <c r="J369" s="179">
        <f>IF(E369="",0,IFERROR(INDEX('Item Purchases'!$Q$4:$Q$30,MATCH(E369,'Item Purchases'!$B$4:$B$30,0)),0))</f>
        <v>1.83</v>
      </c>
      <c r="K369" s="180">
        <f t="shared" si="43"/>
        <v>14.64</v>
      </c>
      <c r="L369" s="178">
        <f t="shared" si="44"/>
        <v>1</v>
      </c>
      <c r="M369" s="178">
        <f>IF(E369="",0,IF(AND(OR(OR(Dashboard!$E$5="All",Dashboard!$E$5=""),AG369=Dashboard!$E$5),OR(OR(Dashboard!$H$5="All",Dashboard!$H$5=""),F369=Dashboard!$H$5),OR(OR(Dashboard!$B$5="All",Dashboard!$B$5=""),C369=Dashboard!$B$5),OR(OR(Dashboard!$K$5="All",Dashboard!$K$5=""),A369=Dashboard!$K$5),OR(OR(Dashboard!$N$5="All",Dashboard!$N$5=""),B369=Dashboard!$N$5),OR(OR(Dashboard!$Q$5="All",Dashboard!$Q$5=""),D369=Dashboard!$Q$5),OR(OR(Dashboard!$U$5="All",Dashboard!$U$5=""),E369=Dashboard!$U$5)),1,0))</f>
        <v>1</v>
      </c>
      <c r="N369" s="178">
        <f>IF(E369="",0,IF(AND(OR(OR(Dashboard!$E$5="All",Dashboard!$E$5=""),AG369=Dashboard!$E$5),OR(OR(Dashboard!$B$5="All",Dashboard!$B$5=""),C369=Dashboard!$B$5),OR(OR(Dashboard!$K$5="All",Dashboard!$K$5=""),A369=Dashboard!$K$5),OR(OR(Dashboard!$N$5="All",Dashboard!$N$5=""),B369=Dashboard!$N$5),OR(OR(Dashboard!$Q$5="All",Dashboard!$Q$5=""),D369=Dashboard!$Q$5),OR(OR(Dashboard!$U$5="All",Dashboard!$U$5=""),E369=Dashboard!$U$5)),1,0))</f>
        <v>1</v>
      </c>
      <c r="O369" s="165">
        <f t="shared" si="45"/>
        <v>64</v>
      </c>
      <c r="AG369" s="178" t="str">
        <f>IF(E369="","",IFERROR(IF(INDEX('Item Purchases'!$AM$4:$AM$30,MATCH(E369,'Item Purchases'!$B$4:$B$30,0))="","Uncategorised",INDEX('Item Purchases'!$AM$4:$AM$30,MATCH(E369,'Item Purchases'!$B$4:$B$30,0))),"Uncategorised"))</f>
        <v>Beverages</v>
      </c>
      <c r="AH369" s="165">
        <f>IF(AND(E369&lt;&gt;"",L369=1),COUNTIFS($E$2:E369,E369,$L$2:L369,1),0)</f>
        <v>14</v>
      </c>
      <c r="AI369" s="165">
        <f t="shared" si="46"/>
        <v>8</v>
      </c>
      <c r="AJ369" s="165">
        <f t="shared" si="47"/>
        <v>1</v>
      </c>
    </row>
    <row r="370" spans="1:36" x14ac:dyDescent="0.25">
      <c r="A370" s="177">
        <f t="shared" si="49"/>
        <v>46283</v>
      </c>
      <c r="B370" s="178" t="str">
        <f t="shared" si="42"/>
        <v>Fri</v>
      </c>
      <c r="C370" s="178" t="str">
        <f>'Pantry Inventory'!$A$65</f>
        <v>Sep Week 3</v>
      </c>
      <c r="D370" s="178" t="str">
        <f>IF('Pantry Inventory'!A85="","",'Pantry Inventory'!A85)</f>
        <v>Coca Cola</v>
      </c>
      <c r="E370" s="178" t="str">
        <f>IF('Pantry Inventory'!B85="","",'Pantry Inventory'!B85)</f>
        <v>Ayataka Tea 300ml</v>
      </c>
      <c r="F370" s="178" t="str">
        <f>IF(E370="","",IFERROR(IF(INDEX('Item Purchases'!$S$4:$S$30,MATCH(E370,'Item Purchases'!$B$4:$B$30,0))="","Uncategorised",INDEX('Item Purchases'!$S$4:$S$30,MATCH(E370,'Item Purchases'!$B$4:$B$30,0))),"Uncategorised"))</f>
        <v>Tea</v>
      </c>
      <c r="G370" s="178">
        <f>IF(E370="",0,'Pantry Inventory'!M85)</f>
        <v>0</v>
      </c>
      <c r="H370" s="178">
        <f>IF(E370="","",IF('Pantry Inventory'!N85="","",'Pantry Inventory'!N85))</f>
        <v>0</v>
      </c>
      <c r="I370" s="178">
        <f>IF(H370="","",'Pantry Inventory'!O85)</f>
        <v>0</v>
      </c>
      <c r="J370" s="179">
        <f>IF(E370="",0,IFERROR(INDEX('Item Purchases'!$Q$4:$Q$30,MATCH(E370,'Item Purchases'!$B$4:$B$30,0)),0))</f>
        <v>1.75</v>
      </c>
      <c r="K370" s="180">
        <f t="shared" si="43"/>
        <v>0</v>
      </c>
      <c r="L370" s="178">
        <f t="shared" si="44"/>
        <v>1</v>
      </c>
      <c r="M370" s="178">
        <f>IF(E370="",0,IF(AND(OR(OR(Dashboard!$E$5="All",Dashboard!$E$5=""),AG370=Dashboard!$E$5),OR(OR(Dashboard!$H$5="All",Dashboard!$H$5=""),F370=Dashboard!$H$5),OR(OR(Dashboard!$B$5="All",Dashboard!$B$5=""),C370=Dashboard!$B$5),OR(OR(Dashboard!$K$5="All",Dashboard!$K$5=""),A370=Dashboard!$K$5),OR(OR(Dashboard!$N$5="All",Dashboard!$N$5=""),B370=Dashboard!$N$5),OR(OR(Dashboard!$Q$5="All",Dashboard!$Q$5=""),D370=Dashboard!$Q$5),OR(OR(Dashboard!$U$5="All",Dashboard!$U$5=""),E370=Dashboard!$U$5)),1,0))</f>
        <v>1</v>
      </c>
      <c r="N370" s="178">
        <f>IF(E370="",0,IF(AND(OR(OR(Dashboard!$E$5="All",Dashboard!$E$5=""),AG370=Dashboard!$E$5),OR(OR(Dashboard!$B$5="All",Dashboard!$B$5=""),C370=Dashboard!$B$5),OR(OR(Dashboard!$K$5="All",Dashboard!$K$5=""),A370=Dashboard!$K$5),OR(OR(Dashboard!$N$5="All",Dashboard!$N$5=""),B370=Dashboard!$N$5),OR(OR(Dashboard!$Q$5="All",Dashboard!$Q$5=""),D370=Dashboard!$Q$5),OR(OR(Dashboard!$U$5="All",Dashboard!$U$5=""),E370=Dashboard!$U$5)),1,0))</f>
        <v>1</v>
      </c>
      <c r="O370" s="165">
        <f t="shared" si="45"/>
        <v>0</v>
      </c>
      <c r="AG370" s="178" t="str">
        <f>IF(E370="","",IFERROR(IF(INDEX('Item Purchases'!$AM$4:$AM$30,MATCH(E370,'Item Purchases'!$B$4:$B$30,0))="","Uncategorised",INDEX('Item Purchases'!$AM$4:$AM$30,MATCH(E370,'Item Purchases'!$B$4:$B$30,0))),"Uncategorised"))</f>
        <v>Beverages</v>
      </c>
      <c r="AH370" s="165">
        <f>IF(AND(E370&lt;&gt;"",L370=1),COUNTIFS($E$2:E370,E370,$L$2:L370,1),0)</f>
        <v>14</v>
      </c>
      <c r="AI370" s="165">
        <f t="shared" si="46"/>
        <v>0</v>
      </c>
      <c r="AJ370" s="165">
        <f t="shared" si="47"/>
        <v>0</v>
      </c>
    </row>
    <row r="371" spans="1:36" x14ac:dyDescent="0.25">
      <c r="A371" s="177">
        <f t="shared" si="49"/>
        <v>46283</v>
      </c>
      <c r="B371" s="178" t="str">
        <f t="shared" si="42"/>
        <v>Fri</v>
      </c>
      <c r="C371" s="178" t="str">
        <f>'Pantry Inventory'!$A$65</f>
        <v>Sep Week 3</v>
      </c>
      <c r="D371" s="178" t="str">
        <f>IF('Pantry Inventory'!A86="","",'Pantry Inventory'!A86)</f>
        <v>Coca Cola</v>
      </c>
      <c r="E371" s="178" t="str">
        <f>IF('Pantry Inventory'!B86="","",'Pantry Inventory'!B86)</f>
        <v>Oolong Tea 300ml</v>
      </c>
      <c r="F371" s="178" t="str">
        <f>IF(E371="","",IFERROR(IF(INDEX('Item Purchases'!$S$4:$S$30,MATCH(E371,'Item Purchases'!$B$4:$B$30,0))="","Uncategorised",INDEX('Item Purchases'!$S$4:$S$30,MATCH(E371,'Item Purchases'!$B$4:$B$30,0))),"Uncategorised"))</f>
        <v>Tea</v>
      </c>
      <c r="G371" s="178">
        <f>IF(E371="",0,'Pantry Inventory'!M86)</f>
        <v>0</v>
      </c>
      <c r="H371" s="178">
        <f>IF(E371="","",IF('Pantry Inventory'!N86="","",'Pantry Inventory'!N86))</f>
        <v>0</v>
      </c>
      <c r="I371" s="178">
        <f>IF(H371="","",'Pantry Inventory'!O86)</f>
        <v>0</v>
      </c>
      <c r="J371" s="179">
        <f>IF(E371="",0,IFERROR(INDEX('Item Purchases'!$Q$4:$Q$30,MATCH(E371,'Item Purchases'!$B$4:$B$30,0)),0))</f>
        <v>1.75</v>
      </c>
      <c r="K371" s="180">
        <f t="shared" si="43"/>
        <v>0</v>
      </c>
      <c r="L371" s="178">
        <f t="shared" si="44"/>
        <v>1</v>
      </c>
      <c r="M371" s="178">
        <f>IF(E371="",0,IF(AND(OR(OR(Dashboard!$E$5="All",Dashboard!$E$5=""),AG371=Dashboard!$E$5),OR(OR(Dashboard!$H$5="All",Dashboard!$H$5=""),F371=Dashboard!$H$5),OR(OR(Dashboard!$B$5="All",Dashboard!$B$5=""),C371=Dashboard!$B$5),OR(OR(Dashboard!$K$5="All",Dashboard!$K$5=""),A371=Dashboard!$K$5),OR(OR(Dashboard!$N$5="All",Dashboard!$N$5=""),B371=Dashboard!$N$5),OR(OR(Dashboard!$Q$5="All",Dashboard!$Q$5=""),D371=Dashboard!$Q$5),OR(OR(Dashboard!$U$5="All",Dashboard!$U$5=""),E371=Dashboard!$U$5)),1,0))</f>
        <v>1</v>
      </c>
      <c r="N371" s="178">
        <f>IF(E371="",0,IF(AND(OR(OR(Dashboard!$E$5="All",Dashboard!$E$5=""),AG371=Dashboard!$E$5),OR(OR(Dashboard!$B$5="All",Dashboard!$B$5=""),C371=Dashboard!$B$5),OR(OR(Dashboard!$K$5="All",Dashboard!$K$5=""),A371=Dashboard!$K$5),OR(OR(Dashboard!$N$5="All",Dashboard!$N$5=""),B371=Dashboard!$N$5),OR(OR(Dashboard!$Q$5="All",Dashboard!$Q$5=""),D371=Dashboard!$Q$5),OR(OR(Dashboard!$U$5="All",Dashboard!$U$5=""),E371=Dashboard!$U$5)),1,0))</f>
        <v>1</v>
      </c>
      <c r="O371" s="165">
        <f t="shared" si="45"/>
        <v>0</v>
      </c>
      <c r="AG371" s="178" t="str">
        <f>IF(E371="","",IFERROR(IF(INDEX('Item Purchases'!$AM$4:$AM$30,MATCH(E371,'Item Purchases'!$B$4:$B$30,0))="","Uncategorised",INDEX('Item Purchases'!$AM$4:$AM$30,MATCH(E371,'Item Purchases'!$B$4:$B$30,0))),"Uncategorised"))</f>
        <v>Beverages</v>
      </c>
      <c r="AH371" s="165">
        <f>IF(AND(E371&lt;&gt;"",L371=1),COUNTIFS($E$2:E371,E371,$L$2:L371,1),0)</f>
        <v>14</v>
      </c>
      <c r="AI371" s="165">
        <f t="shared" si="46"/>
        <v>0</v>
      </c>
      <c r="AJ371" s="165">
        <f t="shared" si="47"/>
        <v>0</v>
      </c>
    </row>
    <row r="372" spans="1:36" x14ac:dyDescent="0.25">
      <c r="A372" s="177">
        <f t="shared" si="49"/>
        <v>46283</v>
      </c>
      <c r="B372" s="178" t="str">
        <f t="shared" si="42"/>
        <v>Fri</v>
      </c>
      <c r="C372" s="178" t="str">
        <f>'Pantry Inventory'!$A$65</f>
        <v>Sep Week 3</v>
      </c>
      <c r="D372" s="178" t="str">
        <f>IF('Pantry Inventory'!A87="","",'Pantry Inventory'!A87)</f>
        <v>Vsoy</v>
      </c>
      <c r="E372" s="178" t="str">
        <f>IF('Pantry Inventory'!B87="","",'Pantry Inventory'!B87)</f>
        <v>Vsoy Soya Bean  250ml</v>
      </c>
      <c r="F372" s="178" t="str">
        <f>IF(E372="","",IFERROR(IF(INDEX('Item Purchases'!$S$4:$S$30,MATCH(E372,'Item Purchases'!$B$4:$B$30,0))="","Uncategorised",INDEX('Item Purchases'!$S$4:$S$30,MATCH(E372,'Item Purchases'!$B$4:$B$30,0))),"Uncategorised"))</f>
        <v>Other</v>
      </c>
      <c r="G372" s="178">
        <f>IF(E372="",0,'Pantry Inventory'!M87)</f>
        <v>0</v>
      </c>
      <c r="H372" s="178">
        <f>IF(E372="","",IF('Pantry Inventory'!N87="","",'Pantry Inventory'!N87))</f>
        <v>0</v>
      </c>
      <c r="I372" s="178">
        <f>IF(H372="","",'Pantry Inventory'!O87)</f>
        <v>0</v>
      </c>
      <c r="J372" s="179">
        <f>IF(E372="",0,IFERROR(INDEX('Item Purchases'!$Q$4:$Q$30,MATCH(E372,'Item Purchases'!$B$4:$B$30,0)),0))</f>
        <v>1.25</v>
      </c>
      <c r="K372" s="180">
        <f t="shared" si="43"/>
        <v>0</v>
      </c>
      <c r="L372" s="178">
        <f t="shared" si="44"/>
        <v>1</v>
      </c>
      <c r="M372" s="178">
        <f>IF(E372="",0,IF(AND(OR(OR(Dashboard!$E$5="All",Dashboard!$E$5=""),AG372=Dashboard!$E$5),OR(OR(Dashboard!$H$5="All",Dashboard!$H$5=""),F372=Dashboard!$H$5),OR(OR(Dashboard!$B$5="All",Dashboard!$B$5=""),C372=Dashboard!$B$5),OR(OR(Dashboard!$K$5="All",Dashboard!$K$5=""),A372=Dashboard!$K$5),OR(OR(Dashboard!$N$5="All",Dashboard!$N$5=""),B372=Dashboard!$N$5),OR(OR(Dashboard!$Q$5="All",Dashboard!$Q$5=""),D372=Dashboard!$Q$5),OR(OR(Dashboard!$U$5="All",Dashboard!$U$5=""),E372=Dashboard!$U$5)),1,0))</f>
        <v>1</v>
      </c>
      <c r="N372" s="178">
        <f>IF(E372="",0,IF(AND(OR(OR(Dashboard!$E$5="All",Dashboard!$E$5=""),AG372=Dashboard!$E$5),OR(OR(Dashboard!$B$5="All",Dashboard!$B$5=""),C372=Dashboard!$B$5),OR(OR(Dashboard!$K$5="All",Dashboard!$K$5=""),A372=Dashboard!$K$5),OR(OR(Dashboard!$N$5="All",Dashboard!$N$5=""),B372=Dashboard!$N$5),OR(OR(Dashboard!$Q$5="All",Dashboard!$Q$5=""),D372=Dashboard!$Q$5),OR(OR(Dashboard!$U$5="All",Dashboard!$U$5=""),E372=Dashboard!$U$5)),1,0))</f>
        <v>1</v>
      </c>
      <c r="O372" s="165">
        <f t="shared" si="45"/>
        <v>0</v>
      </c>
      <c r="AG372" s="178" t="str">
        <f>IF(E372="","",IFERROR(IF(INDEX('Item Purchases'!$AM$4:$AM$30,MATCH(E372,'Item Purchases'!$B$4:$B$30,0))="","Uncategorised",INDEX('Item Purchases'!$AM$4:$AM$30,MATCH(E372,'Item Purchases'!$B$4:$B$30,0))),"Uncategorised"))</f>
        <v>Beverages</v>
      </c>
      <c r="AH372" s="165">
        <f>IF(AND(E372&lt;&gt;"",L372=1),COUNTIFS($E$2:E372,E372,$L$2:L372,1),0)</f>
        <v>14</v>
      </c>
      <c r="AI372" s="165">
        <f t="shared" si="46"/>
        <v>0</v>
      </c>
      <c r="AJ372" s="165">
        <f t="shared" si="47"/>
        <v>0</v>
      </c>
    </row>
    <row r="373" spans="1:36" x14ac:dyDescent="0.25">
      <c r="A373" s="177">
        <f t="shared" si="49"/>
        <v>46283</v>
      </c>
      <c r="B373" s="178" t="str">
        <f t="shared" si="42"/>
        <v>Fri</v>
      </c>
      <c r="C373" s="178" t="str">
        <f>'Pantry Inventory'!$A$65</f>
        <v>Sep Week 3</v>
      </c>
      <c r="D373" s="178" t="str">
        <f>IF('Pantry Inventory'!A88="","",'Pantry Inventory'!A88)</f>
        <v>BingRae</v>
      </c>
      <c r="E373" s="178" t="str">
        <f>IF('Pantry Inventory'!B88="","",'Pantry Inventory'!B88)</f>
        <v>BingRae Banana Milk 200ml</v>
      </c>
      <c r="F373" s="178" t="str">
        <f>IF(E373="","",IFERROR(IF(INDEX('Item Purchases'!$S$4:$S$30,MATCH(E373,'Item Purchases'!$B$4:$B$30,0))="","Uncategorised",INDEX('Item Purchases'!$S$4:$S$30,MATCH(E373,'Item Purchases'!$B$4:$B$30,0))),"Uncategorised"))</f>
        <v>Other</v>
      </c>
      <c r="G373" s="178">
        <f>IF(E373="",0,'Pantry Inventory'!M88)</f>
        <v>0</v>
      </c>
      <c r="H373" s="178">
        <f>IF(E373="","",IF('Pantry Inventory'!N88="","",'Pantry Inventory'!N88))</f>
        <v>20</v>
      </c>
      <c r="I373" s="178">
        <f>IF(H373="","",'Pantry Inventory'!O88)</f>
        <v>4</v>
      </c>
      <c r="J373" s="179">
        <f>IF(E373="",0,IFERROR(INDEX('Item Purchases'!$Q$4:$Q$30,MATCH(E373,'Item Purchases'!$B$4:$B$30,0)),0))</f>
        <v>3.3159999999999998</v>
      </c>
      <c r="K373" s="180">
        <f t="shared" si="43"/>
        <v>13.263999999999999</v>
      </c>
      <c r="L373" s="178">
        <f t="shared" si="44"/>
        <v>1</v>
      </c>
      <c r="M373" s="178">
        <f>IF(E373="",0,IF(AND(OR(OR(Dashboard!$E$5="All",Dashboard!$E$5=""),AG373=Dashboard!$E$5),OR(OR(Dashboard!$H$5="All",Dashboard!$H$5=""),F373=Dashboard!$H$5),OR(OR(Dashboard!$B$5="All",Dashboard!$B$5=""),C373=Dashboard!$B$5),OR(OR(Dashboard!$K$5="All",Dashboard!$K$5=""),A373=Dashboard!$K$5),OR(OR(Dashboard!$N$5="All",Dashboard!$N$5=""),B373=Dashboard!$N$5),OR(OR(Dashboard!$Q$5="All",Dashboard!$Q$5=""),D373=Dashboard!$Q$5),OR(OR(Dashboard!$U$5="All",Dashboard!$U$5=""),E373=Dashboard!$U$5)),1,0))</f>
        <v>1</v>
      </c>
      <c r="N373" s="178">
        <f>IF(E373="",0,IF(AND(OR(OR(Dashboard!$E$5="All",Dashboard!$E$5=""),AG373=Dashboard!$E$5),OR(OR(Dashboard!$B$5="All",Dashboard!$B$5=""),C373=Dashboard!$B$5),OR(OR(Dashboard!$K$5="All",Dashboard!$K$5=""),A373=Dashboard!$K$5),OR(OR(Dashboard!$N$5="All",Dashboard!$N$5=""),B373=Dashboard!$N$5),OR(OR(Dashboard!$Q$5="All",Dashboard!$Q$5=""),D373=Dashboard!$Q$5),OR(OR(Dashboard!$U$5="All",Dashboard!$U$5=""),E373=Dashboard!$U$5)),1,0))</f>
        <v>1</v>
      </c>
      <c r="O373" s="165">
        <f t="shared" si="45"/>
        <v>16</v>
      </c>
      <c r="AG373" s="178" t="str">
        <f>IF(E373="","",IFERROR(IF(INDEX('Item Purchases'!$AM$4:$AM$30,MATCH(E373,'Item Purchases'!$B$4:$B$30,0))="","Uncategorised",INDEX('Item Purchases'!$AM$4:$AM$30,MATCH(E373,'Item Purchases'!$B$4:$B$30,0))),"Uncategorised"))</f>
        <v>Beverages</v>
      </c>
      <c r="AH373" s="165">
        <f>IF(AND(E373&lt;&gt;"",L373=1),COUNTIFS($E$2:E373,E373,$L$2:L373,1),0)</f>
        <v>14</v>
      </c>
      <c r="AI373" s="165">
        <f t="shared" si="46"/>
        <v>4</v>
      </c>
      <c r="AJ373" s="165">
        <f t="shared" si="47"/>
        <v>1</v>
      </c>
    </row>
    <row r="374" spans="1:36" x14ac:dyDescent="0.25">
      <c r="A374" s="177">
        <f t="shared" si="49"/>
        <v>46283</v>
      </c>
      <c r="B374" s="178" t="str">
        <f t="shared" si="42"/>
        <v>Fri</v>
      </c>
      <c r="C374" s="178" t="str">
        <f>'Pantry Inventory'!$A$65</f>
        <v>Sep Week 3</v>
      </c>
      <c r="D374" s="178" t="str">
        <f>IF('Pantry Inventory'!A89="","",'Pantry Inventory'!A89)</f>
        <v>Fuze Tea</v>
      </c>
      <c r="E374" s="178" t="str">
        <f>IF('Pantry Inventory'!B89="","",'Pantry Inventory'!B89)</f>
        <v>Fuze Tea by Heaven and Earth Jasmine Tea</v>
      </c>
      <c r="F374" s="178" t="str">
        <f>IF(E374="","",IFERROR(IF(INDEX('Item Purchases'!$S$4:$S$30,MATCH(E374,'Item Purchases'!$B$4:$B$30,0))="","Uncategorised",INDEX('Item Purchases'!$S$4:$S$30,MATCH(E374,'Item Purchases'!$B$4:$B$30,0))),"Uncategorised"))</f>
        <v>Tea</v>
      </c>
      <c r="G374" s="178">
        <f>IF(E374="",0,'Pantry Inventory'!M89)</f>
        <v>0</v>
      </c>
      <c r="H374" s="178">
        <f>IF(E374="","",IF('Pantry Inventory'!N89="","",'Pantry Inventory'!N89))</f>
        <v>0</v>
      </c>
      <c r="I374" s="178">
        <f>IF(H374="","",'Pantry Inventory'!O89)</f>
        <v>0</v>
      </c>
      <c r="J374" s="179">
        <f>IF(E374="",0,IFERROR(INDEX('Item Purchases'!$Q$4:$Q$30,MATCH(E374,'Item Purchases'!$B$4:$B$30,0)),0))</f>
        <v>1.167</v>
      </c>
      <c r="K374" s="180">
        <f t="shared" si="43"/>
        <v>0</v>
      </c>
      <c r="L374" s="178">
        <f t="shared" si="44"/>
        <v>1</v>
      </c>
      <c r="M374" s="178">
        <f>IF(E374="",0,IF(AND(OR(OR(Dashboard!$E$5="All",Dashboard!$E$5=""),AG374=Dashboard!$E$5),OR(OR(Dashboard!$H$5="All",Dashboard!$H$5=""),F374=Dashboard!$H$5),OR(OR(Dashboard!$B$5="All",Dashboard!$B$5=""),C374=Dashboard!$B$5),OR(OR(Dashboard!$K$5="All",Dashboard!$K$5=""),A374=Dashboard!$K$5),OR(OR(Dashboard!$N$5="All",Dashboard!$N$5=""),B374=Dashboard!$N$5),OR(OR(Dashboard!$Q$5="All",Dashboard!$Q$5=""),D374=Dashboard!$Q$5),OR(OR(Dashboard!$U$5="All",Dashboard!$U$5=""),E374=Dashboard!$U$5)),1,0))</f>
        <v>1</v>
      </c>
      <c r="N374" s="178">
        <f>IF(E374="",0,IF(AND(OR(OR(Dashboard!$E$5="All",Dashboard!$E$5=""),AG374=Dashboard!$E$5),OR(OR(Dashboard!$B$5="All",Dashboard!$B$5=""),C374=Dashboard!$B$5),OR(OR(Dashboard!$K$5="All",Dashboard!$K$5=""),A374=Dashboard!$K$5),OR(OR(Dashboard!$N$5="All",Dashboard!$N$5=""),B374=Dashboard!$N$5),OR(OR(Dashboard!$Q$5="All",Dashboard!$Q$5=""),D374=Dashboard!$Q$5),OR(OR(Dashboard!$U$5="All",Dashboard!$U$5=""),E374=Dashboard!$U$5)),1,0))</f>
        <v>1</v>
      </c>
      <c r="O374" s="165">
        <f t="shared" si="45"/>
        <v>0</v>
      </c>
      <c r="AG374" s="178" t="str">
        <f>IF(E374="","",IFERROR(IF(INDEX('Item Purchases'!$AM$4:$AM$30,MATCH(E374,'Item Purchases'!$B$4:$B$30,0))="","Uncategorised",INDEX('Item Purchases'!$AM$4:$AM$30,MATCH(E374,'Item Purchases'!$B$4:$B$30,0))),"Uncategorised"))</f>
        <v>Beverages</v>
      </c>
      <c r="AH374" s="165">
        <f>IF(AND(E374&lt;&gt;"",L374=1),COUNTIFS($E$2:E374,E374,$L$2:L374,1),0)</f>
        <v>14</v>
      </c>
      <c r="AI374" s="165">
        <f t="shared" si="46"/>
        <v>0</v>
      </c>
      <c r="AJ374" s="165">
        <f t="shared" si="47"/>
        <v>0</v>
      </c>
    </row>
    <row r="375" spans="1:36" x14ac:dyDescent="0.25">
      <c r="A375" s="177">
        <f t="shared" si="49"/>
        <v>46283</v>
      </c>
      <c r="B375" s="178" t="str">
        <f t="shared" si="42"/>
        <v>Fri</v>
      </c>
      <c r="C375" s="178" t="str">
        <f>'Pantry Inventory'!$A$65</f>
        <v>Sep Week 3</v>
      </c>
      <c r="D375" s="178" t="str">
        <f>IF('Pantry Inventory'!A90="","",'Pantry Inventory'!A90)</f>
        <v>F&amp;N</v>
      </c>
      <c r="E375" s="178" t="str">
        <f>IF('Pantry Inventory'!B90="","",'Pantry Inventory'!B90)</f>
        <v>FN 100 plus (original) 325ml</v>
      </c>
      <c r="F375" s="178" t="str">
        <f>IF(E375="","",IFERROR(IF(INDEX('Item Purchases'!$S$4:$S$30,MATCH(E375,'Item Purchases'!$B$4:$B$30,0))="","Uncategorised",INDEX('Item Purchases'!$S$4:$S$30,MATCH(E375,'Item Purchases'!$B$4:$B$30,0))),"Uncategorised"))</f>
        <v>Other</v>
      </c>
      <c r="G375" s="178">
        <f>IF(E375="",0,'Pantry Inventory'!M90)</f>
        <v>24</v>
      </c>
      <c r="H375" s="178">
        <f>IF(E375="","",IF('Pantry Inventory'!N90="","",'Pantry Inventory'!N90))</f>
        <v>35</v>
      </c>
      <c r="I375" s="178">
        <f>IF(H375="","",'Pantry Inventory'!O90)</f>
        <v>18</v>
      </c>
      <c r="J375" s="179">
        <f>IF(E375="",0,IFERROR(INDEX('Item Purchases'!$Q$4:$Q$30,MATCH(E375,'Item Purchases'!$B$4:$B$30,0)),0))</f>
        <v>1.58</v>
      </c>
      <c r="K375" s="180">
        <f t="shared" si="43"/>
        <v>28.44</v>
      </c>
      <c r="L375" s="178">
        <f t="shared" si="44"/>
        <v>1</v>
      </c>
      <c r="M375" s="178">
        <f>IF(E375="",0,IF(AND(OR(OR(Dashboard!$E$5="All",Dashboard!$E$5=""),AG375=Dashboard!$E$5),OR(OR(Dashboard!$H$5="All",Dashboard!$H$5=""),F375=Dashboard!$H$5),OR(OR(Dashboard!$B$5="All",Dashboard!$B$5=""),C375=Dashboard!$B$5),OR(OR(Dashboard!$K$5="All",Dashboard!$K$5=""),A375=Dashboard!$K$5),OR(OR(Dashboard!$N$5="All",Dashboard!$N$5=""),B375=Dashboard!$N$5),OR(OR(Dashboard!$Q$5="All",Dashboard!$Q$5=""),D375=Dashboard!$Q$5),OR(OR(Dashboard!$U$5="All",Dashboard!$U$5=""),E375=Dashboard!$U$5)),1,0))</f>
        <v>1</v>
      </c>
      <c r="N375" s="178">
        <f>IF(E375="",0,IF(AND(OR(OR(Dashboard!$E$5="All",Dashboard!$E$5=""),AG375=Dashboard!$E$5),OR(OR(Dashboard!$B$5="All",Dashboard!$B$5=""),C375=Dashboard!$B$5),OR(OR(Dashboard!$K$5="All",Dashboard!$K$5=""),A375=Dashboard!$K$5),OR(OR(Dashboard!$N$5="All",Dashboard!$N$5=""),B375=Dashboard!$N$5),OR(OR(Dashboard!$Q$5="All",Dashboard!$Q$5=""),D375=Dashboard!$Q$5),OR(OR(Dashboard!$U$5="All",Dashboard!$U$5=""),E375=Dashboard!$U$5)),1,0))</f>
        <v>1</v>
      </c>
      <c r="O375" s="165">
        <f t="shared" si="45"/>
        <v>324</v>
      </c>
      <c r="AG375" s="178" t="str">
        <f>IF(E375="","",IFERROR(IF(INDEX('Item Purchases'!$AM$4:$AM$30,MATCH(E375,'Item Purchases'!$B$4:$B$30,0))="","Uncategorised",INDEX('Item Purchases'!$AM$4:$AM$30,MATCH(E375,'Item Purchases'!$B$4:$B$30,0))),"Uncategorised"))</f>
        <v>Beverages</v>
      </c>
      <c r="AH375" s="165">
        <f>IF(AND(E375&lt;&gt;"",L375=1),COUNTIFS($E$2:E375,E375,$L$2:L375,1),0)</f>
        <v>14</v>
      </c>
      <c r="AI375" s="165">
        <f t="shared" si="46"/>
        <v>18</v>
      </c>
      <c r="AJ375" s="165">
        <f t="shared" si="47"/>
        <v>1</v>
      </c>
    </row>
    <row r="376" spans="1:36" x14ac:dyDescent="0.25">
      <c r="A376" s="177">
        <f t="shared" si="49"/>
        <v>46283</v>
      </c>
      <c r="B376" s="178" t="str">
        <f t="shared" si="42"/>
        <v>Fri</v>
      </c>
      <c r="C376" s="178" t="str">
        <f>'Pantry Inventory'!$A$65</f>
        <v>Sep Week 3</v>
      </c>
      <c r="D376" s="178" t="str">
        <f>IF('Pantry Inventory'!A91="","",'Pantry Inventory'!A91)</f>
        <v>Spritzer</v>
      </c>
      <c r="E376" s="178" t="str">
        <f>IF('Pantry Inventory'!B91="","",'Pantry Inventory'!B91)</f>
        <v>Spritzer sparkling water (original) 400ml</v>
      </c>
      <c r="F376" s="178" t="str">
        <f>IF(E376="","",IFERROR(IF(INDEX('Item Purchases'!$S$4:$S$30,MATCH(E376,'Item Purchases'!$B$4:$B$30,0))="","Uncategorised",INDEX('Item Purchases'!$S$4:$S$30,MATCH(E376,'Item Purchases'!$B$4:$B$30,0))),"Uncategorised"))</f>
        <v>Other</v>
      </c>
      <c r="G376" s="178">
        <f>IF(E376="",0,'Pantry Inventory'!M91)</f>
        <v>24</v>
      </c>
      <c r="H376" s="178">
        <f>IF(E376="","",IF('Pantry Inventory'!N91="","",'Pantry Inventory'!N91))</f>
        <v>26</v>
      </c>
      <c r="I376" s="178">
        <f>IF(H376="","",'Pantry Inventory'!O91)</f>
        <v>34</v>
      </c>
      <c r="J376" s="179">
        <f>IF(E376="",0,IFERROR(INDEX('Item Purchases'!$Q$4:$Q$30,MATCH(E376,'Item Purchases'!$B$4:$B$30,0)),0))</f>
        <v>1.616666666666666</v>
      </c>
      <c r="K376" s="180">
        <f t="shared" si="43"/>
        <v>54.966666666666647</v>
      </c>
      <c r="L376" s="178">
        <f t="shared" si="44"/>
        <v>1</v>
      </c>
      <c r="M376" s="178">
        <f>IF(E376="",0,IF(AND(OR(OR(Dashboard!$E$5="All",Dashboard!$E$5=""),AG376=Dashboard!$E$5),OR(OR(Dashboard!$H$5="All",Dashboard!$H$5=""),F376=Dashboard!$H$5),OR(OR(Dashboard!$B$5="All",Dashboard!$B$5=""),C376=Dashboard!$B$5),OR(OR(Dashboard!$K$5="All",Dashboard!$K$5=""),A376=Dashboard!$K$5),OR(OR(Dashboard!$N$5="All",Dashboard!$N$5=""),B376=Dashboard!$N$5),OR(OR(Dashboard!$Q$5="All",Dashboard!$Q$5=""),D376=Dashboard!$Q$5),OR(OR(Dashboard!$U$5="All",Dashboard!$U$5=""),E376=Dashboard!$U$5)),1,0))</f>
        <v>1</v>
      </c>
      <c r="N376" s="178">
        <f>IF(E376="",0,IF(AND(OR(OR(Dashboard!$E$5="All",Dashboard!$E$5=""),AG376=Dashboard!$E$5),OR(OR(Dashboard!$B$5="All",Dashboard!$B$5=""),C376=Dashboard!$B$5),OR(OR(Dashboard!$K$5="All",Dashboard!$K$5=""),A376=Dashboard!$K$5),OR(OR(Dashboard!$N$5="All",Dashboard!$N$5=""),B376=Dashboard!$N$5),OR(OR(Dashboard!$Q$5="All",Dashboard!$Q$5=""),D376=Dashboard!$Q$5),OR(OR(Dashboard!$U$5="All",Dashboard!$U$5=""),E376=Dashboard!$U$5)),1,0))</f>
        <v>1</v>
      </c>
      <c r="O376" s="165">
        <f t="shared" si="45"/>
        <v>1156</v>
      </c>
      <c r="AG376" s="178" t="str">
        <f>IF(E376="","",IFERROR(IF(INDEX('Item Purchases'!$AM$4:$AM$30,MATCH(E376,'Item Purchases'!$B$4:$B$30,0))="","Uncategorised",INDEX('Item Purchases'!$AM$4:$AM$30,MATCH(E376,'Item Purchases'!$B$4:$B$30,0))),"Uncategorised"))</f>
        <v>Beverages</v>
      </c>
      <c r="AH376" s="165">
        <f>IF(AND(E376&lt;&gt;"",L376=1),COUNTIFS($E$2:E376,E376,$L$2:L376,1),0)</f>
        <v>14</v>
      </c>
      <c r="AI376" s="165">
        <f t="shared" si="46"/>
        <v>34</v>
      </c>
      <c r="AJ376" s="165">
        <f t="shared" si="47"/>
        <v>1</v>
      </c>
    </row>
    <row r="377" spans="1:36" x14ac:dyDescent="0.25">
      <c r="A377" s="177">
        <f t="shared" si="49"/>
        <v>46283</v>
      </c>
      <c r="B377" s="178" t="str">
        <f t="shared" si="42"/>
        <v>Fri</v>
      </c>
      <c r="C377" s="178" t="str">
        <f>'Pantry Inventory'!$A$65</f>
        <v>Sep Week 3</v>
      </c>
      <c r="D377" s="178" t="str">
        <f>IF('Pantry Inventory'!A92="","",'Pantry Inventory'!A92)</f>
        <v>Oat Side</v>
      </c>
      <c r="E377" s="178" t="str">
        <f>IF('Pantry Inventory'!B92="","",'Pantry Inventory'!B92)</f>
        <v>Oat Side Original 200ml</v>
      </c>
      <c r="F377" s="178" t="str">
        <f>IF(E377="","",IFERROR(IF(INDEX('Item Purchases'!$S$4:$S$30,MATCH(E377,'Item Purchases'!$B$4:$B$30,0))="","Uncategorised",INDEX('Item Purchases'!$S$4:$S$30,MATCH(E377,'Item Purchases'!$B$4:$B$30,0))),"Uncategorised"))</f>
        <v>Other</v>
      </c>
      <c r="G377" s="178">
        <f>IF(E377="",0,'Pantry Inventory'!M92)</f>
        <v>0</v>
      </c>
      <c r="H377" s="178">
        <f>IF(E377="","",IF('Pantry Inventory'!N92="","",'Pantry Inventory'!N92))</f>
        <v>46</v>
      </c>
      <c r="I377" s="178">
        <f>IF(H377="","",'Pantry Inventory'!O92)</f>
        <v>10</v>
      </c>
      <c r="J377" s="179">
        <f>IF(E377="",0,IFERROR(INDEX('Item Purchases'!$Q$4:$Q$30,MATCH(E377,'Item Purchases'!$B$4:$B$30,0)),0))</f>
        <v>3</v>
      </c>
      <c r="K377" s="180">
        <f t="shared" si="43"/>
        <v>30</v>
      </c>
      <c r="L377" s="178">
        <f t="shared" si="44"/>
        <v>1</v>
      </c>
      <c r="M377" s="178">
        <f>IF(E377="",0,IF(AND(OR(OR(Dashboard!$E$5="All",Dashboard!$E$5=""),AG377=Dashboard!$E$5),OR(OR(Dashboard!$H$5="All",Dashboard!$H$5=""),F377=Dashboard!$H$5),OR(OR(Dashboard!$B$5="All",Dashboard!$B$5=""),C377=Dashboard!$B$5),OR(OR(Dashboard!$K$5="All",Dashboard!$K$5=""),A377=Dashboard!$K$5),OR(OR(Dashboard!$N$5="All",Dashboard!$N$5=""),B377=Dashboard!$N$5),OR(OR(Dashboard!$Q$5="All",Dashboard!$Q$5=""),D377=Dashboard!$Q$5),OR(OR(Dashboard!$U$5="All",Dashboard!$U$5=""),E377=Dashboard!$U$5)),1,0))</f>
        <v>1</v>
      </c>
      <c r="N377" s="178">
        <f>IF(E377="",0,IF(AND(OR(OR(Dashboard!$E$5="All",Dashboard!$E$5=""),AG377=Dashboard!$E$5),OR(OR(Dashboard!$B$5="All",Dashboard!$B$5=""),C377=Dashboard!$B$5),OR(OR(Dashboard!$K$5="All",Dashboard!$K$5=""),A377=Dashboard!$K$5),OR(OR(Dashboard!$N$5="All",Dashboard!$N$5=""),B377=Dashboard!$N$5),OR(OR(Dashboard!$Q$5="All",Dashboard!$Q$5=""),D377=Dashboard!$Q$5),OR(OR(Dashboard!$U$5="All",Dashboard!$U$5=""),E377=Dashboard!$U$5)),1,0))</f>
        <v>1</v>
      </c>
      <c r="O377" s="165">
        <f t="shared" si="45"/>
        <v>100</v>
      </c>
      <c r="AG377" s="178" t="str">
        <f>IF(E377="","",IFERROR(IF(INDEX('Item Purchases'!$AM$4:$AM$30,MATCH(E377,'Item Purchases'!$B$4:$B$30,0))="","Uncategorised",INDEX('Item Purchases'!$AM$4:$AM$30,MATCH(E377,'Item Purchases'!$B$4:$B$30,0))),"Uncategorised"))</f>
        <v>Beverages</v>
      </c>
      <c r="AH377" s="165">
        <f>IF(AND(E377&lt;&gt;"",L377=1),COUNTIFS($E$2:E377,E377,$L$2:L377,1),0)</f>
        <v>14</v>
      </c>
      <c r="AI377" s="165">
        <f t="shared" si="46"/>
        <v>10</v>
      </c>
      <c r="AJ377" s="165">
        <f t="shared" si="47"/>
        <v>1</v>
      </c>
    </row>
    <row r="378" spans="1:36" x14ac:dyDescent="0.25">
      <c r="A378" s="177">
        <f t="shared" si="49"/>
        <v>46283</v>
      </c>
      <c r="B378" s="178" t="str">
        <f t="shared" si="42"/>
        <v>Fri</v>
      </c>
      <c r="C378" s="178" t="str">
        <f>'Pantry Inventory'!$A$65</f>
        <v>Sep Week 3</v>
      </c>
      <c r="D378" s="178" t="str">
        <f>IF('Pantry Inventory'!A93="","",'Pantry Inventory'!A93)</f>
        <v>Oat Side</v>
      </c>
      <c r="E378" s="178" t="str">
        <f>IF('Pantry Inventory'!B93="","",'Pantry Inventory'!B93)</f>
        <v>Oat Side Chocolate 200ml</v>
      </c>
      <c r="F378" s="178" t="str">
        <f>IF(E378="","",IFERROR(IF(INDEX('Item Purchases'!$S$4:$S$30,MATCH(E378,'Item Purchases'!$B$4:$B$30,0))="","Uncategorised",INDEX('Item Purchases'!$S$4:$S$30,MATCH(E378,'Item Purchases'!$B$4:$B$30,0))),"Uncategorised"))</f>
        <v>Other</v>
      </c>
      <c r="G378" s="178">
        <f>IF(E378="",0,'Pantry Inventory'!M93)</f>
        <v>36</v>
      </c>
      <c r="H378" s="178">
        <f>IF(E378="","",IF('Pantry Inventory'!N93="","",'Pantry Inventory'!N93))</f>
        <v>63</v>
      </c>
      <c r="I378" s="178">
        <f>IF(H378="","",'Pantry Inventory'!O93)</f>
        <v>16</v>
      </c>
      <c r="J378" s="179">
        <f>IF(E378="",0,IFERROR(INDEX('Item Purchases'!$Q$4:$Q$30,MATCH(E378,'Item Purchases'!$B$4:$B$30,0)),0))</f>
        <v>3</v>
      </c>
      <c r="K378" s="180">
        <f t="shared" si="43"/>
        <v>48</v>
      </c>
      <c r="L378" s="178">
        <f t="shared" si="44"/>
        <v>1</v>
      </c>
      <c r="M378" s="178">
        <f>IF(E378="",0,IF(AND(OR(OR(Dashboard!$E$5="All",Dashboard!$E$5=""),AG378=Dashboard!$E$5),OR(OR(Dashboard!$H$5="All",Dashboard!$H$5=""),F378=Dashboard!$H$5),OR(OR(Dashboard!$B$5="All",Dashboard!$B$5=""),C378=Dashboard!$B$5),OR(OR(Dashboard!$K$5="All",Dashboard!$K$5=""),A378=Dashboard!$K$5),OR(OR(Dashboard!$N$5="All",Dashboard!$N$5=""),B378=Dashboard!$N$5),OR(OR(Dashboard!$Q$5="All",Dashboard!$Q$5=""),D378=Dashboard!$Q$5),OR(OR(Dashboard!$U$5="All",Dashboard!$U$5=""),E378=Dashboard!$U$5)),1,0))</f>
        <v>1</v>
      </c>
      <c r="N378" s="178">
        <f>IF(E378="",0,IF(AND(OR(OR(Dashboard!$E$5="All",Dashboard!$E$5=""),AG378=Dashboard!$E$5),OR(OR(Dashboard!$B$5="All",Dashboard!$B$5=""),C378=Dashboard!$B$5),OR(OR(Dashboard!$K$5="All",Dashboard!$K$5=""),A378=Dashboard!$K$5),OR(OR(Dashboard!$N$5="All",Dashboard!$N$5=""),B378=Dashboard!$N$5),OR(OR(Dashboard!$Q$5="All",Dashboard!$Q$5=""),D378=Dashboard!$Q$5),OR(OR(Dashboard!$U$5="All",Dashboard!$U$5=""),E378=Dashboard!$U$5)),1,0))</f>
        <v>1</v>
      </c>
      <c r="O378" s="165">
        <f t="shared" si="45"/>
        <v>256</v>
      </c>
      <c r="AG378" s="178" t="str">
        <f>IF(E378="","",IFERROR(IF(INDEX('Item Purchases'!$AM$4:$AM$30,MATCH(E378,'Item Purchases'!$B$4:$B$30,0))="","Uncategorised",INDEX('Item Purchases'!$AM$4:$AM$30,MATCH(E378,'Item Purchases'!$B$4:$B$30,0))),"Uncategorised"))</f>
        <v>Beverages</v>
      </c>
      <c r="AH378" s="165">
        <f>IF(AND(E378&lt;&gt;"",L378=1),COUNTIFS($E$2:E378,E378,$L$2:L378,1),0)</f>
        <v>14</v>
      </c>
      <c r="AI378" s="165">
        <f t="shared" si="46"/>
        <v>16</v>
      </c>
      <c r="AJ378" s="165">
        <f t="shared" si="47"/>
        <v>1</v>
      </c>
    </row>
    <row r="379" spans="1:36" x14ac:dyDescent="0.25">
      <c r="A379" s="177">
        <f t="shared" si="49"/>
        <v>46283</v>
      </c>
      <c r="B379" s="178" t="str">
        <f t="shared" si="42"/>
        <v>Fri</v>
      </c>
      <c r="C379" s="178" t="str">
        <f>'Pantry Inventory'!$A$65</f>
        <v>Sep Week 3</v>
      </c>
      <c r="D379" s="178" t="str">
        <f>IF('Pantry Inventory'!A94="","",'Pantry Inventory'!A94)</f>
        <v/>
      </c>
      <c r="E379" s="178" t="str">
        <f>IF('Pantry Inventory'!B94="","",'Pantry Inventory'!B94)</f>
        <v/>
      </c>
      <c r="F379" s="178" t="str">
        <f>IF(E379="","",IFERROR(IF(INDEX('Item Purchases'!$S$4:$S$30,MATCH(E379,'Item Purchases'!$B$4:$B$30,0))="","Uncategorised",INDEX('Item Purchases'!$S$4:$S$30,MATCH(E379,'Item Purchases'!$B$4:$B$30,0))),"Uncategorised"))</f>
        <v/>
      </c>
      <c r="G379" s="178">
        <f>IF(E379="",0,'Pantry Inventory'!M94)</f>
        <v>0</v>
      </c>
      <c r="H379" s="178" t="str">
        <f>IF(E379="","",IF('Pantry Inventory'!N94="","",'Pantry Inventory'!N94))</f>
        <v/>
      </c>
      <c r="I379" s="178" t="str">
        <f>IF(H379="","",'Pantry Inventory'!O94)</f>
        <v/>
      </c>
      <c r="J379" s="179">
        <f>IF(E379="",0,IFERROR(INDEX('Item Purchases'!$Q$4:$Q$30,MATCH(E379,'Item Purchases'!$B$4:$B$30,0)),0))</f>
        <v>0</v>
      </c>
      <c r="K379" s="180" t="str">
        <f t="shared" si="43"/>
        <v/>
      </c>
      <c r="L379" s="178">
        <f t="shared" si="44"/>
        <v>0</v>
      </c>
      <c r="M379" s="178">
        <f>IF(E379="",0,IF(AND(OR(OR(Dashboard!$E$5="All",Dashboard!$E$5=""),AG379=Dashboard!$E$5),OR(OR(Dashboard!$H$5="All",Dashboard!$H$5=""),F379=Dashboard!$H$5),OR(OR(Dashboard!$B$5="All",Dashboard!$B$5=""),C379=Dashboard!$B$5),OR(OR(Dashboard!$K$5="All",Dashboard!$K$5=""),A379=Dashboard!$K$5),OR(OR(Dashboard!$N$5="All",Dashboard!$N$5=""),B379=Dashboard!$N$5),OR(OR(Dashboard!$Q$5="All",Dashboard!$Q$5=""),D379=Dashboard!$Q$5),OR(OR(Dashboard!$U$5="All",Dashboard!$U$5=""),E379=Dashboard!$U$5)),1,0))</f>
        <v>0</v>
      </c>
      <c r="N379" s="178">
        <f>IF(E379="",0,IF(AND(OR(OR(Dashboard!$E$5="All",Dashboard!$E$5=""),AG379=Dashboard!$E$5),OR(OR(Dashboard!$B$5="All",Dashboard!$B$5=""),C379=Dashboard!$B$5),OR(OR(Dashboard!$K$5="All",Dashboard!$K$5=""),A379=Dashboard!$K$5),OR(OR(Dashboard!$N$5="All",Dashboard!$N$5=""),B379=Dashboard!$N$5),OR(OR(Dashboard!$Q$5="All",Dashboard!$Q$5=""),D379=Dashboard!$Q$5),OR(OR(Dashboard!$U$5="All",Dashboard!$U$5=""),E379=Dashboard!$U$5)),1,0))</f>
        <v>0</v>
      </c>
      <c r="O379" s="165">
        <f t="shared" si="45"/>
        <v>0</v>
      </c>
      <c r="AG379" s="178" t="str">
        <f>IF(E379="","",IFERROR(IF(INDEX('Item Purchases'!$AM$4:$AM$30,MATCH(E379,'Item Purchases'!$B$4:$B$30,0))="","Uncategorised",INDEX('Item Purchases'!$AM$4:$AM$30,MATCH(E379,'Item Purchases'!$B$4:$B$30,0))),"Uncategorised"))</f>
        <v/>
      </c>
      <c r="AH379" s="165">
        <f>IF(AND(E379&lt;&gt;"",L379=1),COUNTIFS($E$2:E379,E379,$L$2:L379,1),0)</f>
        <v>0</v>
      </c>
      <c r="AI379" s="165">
        <f t="shared" si="46"/>
        <v>0</v>
      </c>
      <c r="AJ379" s="165">
        <f t="shared" si="47"/>
        <v>0</v>
      </c>
    </row>
    <row r="380" spans="1:36" x14ac:dyDescent="0.25">
      <c r="A380" s="177">
        <f t="shared" ref="A380:A406" si="50">IF($Z$16="",0,$Z$16)</f>
        <v>46286</v>
      </c>
      <c r="B380" s="178" t="str">
        <f t="shared" si="42"/>
        <v>Mon</v>
      </c>
      <c r="C380" s="178" t="str">
        <f>'Pantry Inventory'!$A$65</f>
        <v>Sep Week 3</v>
      </c>
      <c r="D380" s="178" t="str">
        <f>IF('Pantry Inventory'!A68="","",'Pantry Inventory'!A68)</f>
        <v>Julie's</v>
      </c>
      <c r="E380" s="178" t="str">
        <f>IF('Pantry Inventory'!B68="","",'Pantry Inventory'!B68)</f>
        <v>Julie's Peanut Butter Sandwich 360g (12pkts x 30g)</v>
      </c>
      <c r="F380" s="178" t="str">
        <f>IF(E380="","",IFERROR(IF(INDEX('Item Purchases'!$S$4:$S$30,MATCH(E380,'Item Purchases'!$B$4:$B$30,0))="","Uncategorised",INDEX('Item Purchases'!$S$4:$S$30,MATCH(E380,'Item Purchases'!$B$4:$B$30,0))),"Uncategorised"))</f>
        <v>Sweet</v>
      </c>
      <c r="G380" s="178">
        <f>IF(E380="",0,'Pantry Inventory'!P68)</f>
        <v>36</v>
      </c>
      <c r="H380" s="178">
        <f>IF(E380="","",IF('Pantry Inventory'!Q68="","",'Pantry Inventory'!Q68))</f>
        <v>41</v>
      </c>
      <c r="I380" s="178">
        <f>IF(H380="","",'Pantry Inventory'!R68)</f>
        <v>2</v>
      </c>
      <c r="J380" s="179">
        <f>IF(E380="",0,IFERROR(INDEX('Item Purchases'!$Q$4:$Q$30,MATCH(E380,'Item Purchases'!$B$4:$B$30,0)),0))</f>
        <v>1.083</v>
      </c>
      <c r="K380" s="180">
        <f t="shared" si="43"/>
        <v>2.1659999999999999</v>
      </c>
      <c r="L380" s="178">
        <f t="shared" si="44"/>
        <v>1</v>
      </c>
      <c r="M380" s="178">
        <f>IF(E380="",0,IF(AND(OR(OR(Dashboard!$E$5="All",Dashboard!$E$5=""),AG380=Dashboard!$E$5),OR(OR(Dashboard!$H$5="All",Dashboard!$H$5=""),F380=Dashboard!$H$5),OR(OR(Dashboard!$B$5="All",Dashboard!$B$5=""),C380=Dashboard!$B$5),OR(OR(Dashboard!$K$5="All",Dashboard!$K$5=""),A380=Dashboard!$K$5),OR(OR(Dashboard!$N$5="All",Dashboard!$N$5=""),B380=Dashboard!$N$5),OR(OR(Dashboard!$Q$5="All",Dashboard!$Q$5=""),D380=Dashboard!$Q$5),OR(OR(Dashboard!$U$5="All",Dashboard!$U$5=""),E380=Dashboard!$U$5)),1,0))</f>
        <v>1</v>
      </c>
      <c r="N380" s="178">
        <f>IF(E380="",0,IF(AND(OR(OR(Dashboard!$E$5="All",Dashboard!$E$5=""),AG380=Dashboard!$E$5),OR(OR(Dashboard!$B$5="All",Dashboard!$B$5=""),C380=Dashboard!$B$5),OR(OR(Dashboard!$K$5="All",Dashboard!$K$5=""),A380=Dashboard!$K$5),OR(OR(Dashboard!$N$5="All",Dashboard!$N$5=""),B380=Dashboard!$N$5),OR(OR(Dashboard!$Q$5="All",Dashboard!$Q$5=""),D380=Dashboard!$Q$5),OR(OR(Dashboard!$U$5="All",Dashboard!$U$5=""),E380=Dashboard!$U$5)),1,0))</f>
        <v>1</v>
      </c>
      <c r="O380" s="165">
        <f t="shared" si="45"/>
        <v>4</v>
      </c>
      <c r="AG380" s="178" t="str">
        <f>IF(E380="","",IFERROR(IF(INDEX('Item Purchases'!$AM$4:$AM$30,MATCH(E380,'Item Purchases'!$B$4:$B$30,0))="","Uncategorised",INDEX('Item Purchases'!$AM$4:$AM$30,MATCH(E380,'Item Purchases'!$B$4:$B$30,0))),"Uncategorised"))</f>
        <v>Snacks</v>
      </c>
      <c r="AH380" s="165">
        <f>IF(AND(E380&lt;&gt;"",L380=1),COUNTIFS($E$2:E380,E380,$L$2:L380,1),0)</f>
        <v>15</v>
      </c>
      <c r="AI380" s="165">
        <f t="shared" si="46"/>
        <v>2</v>
      </c>
      <c r="AJ380" s="165">
        <f t="shared" si="47"/>
        <v>1</v>
      </c>
    </row>
    <row r="381" spans="1:36" x14ac:dyDescent="0.25">
      <c r="A381" s="177">
        <f t="shared" si="50"/>
        <v>46286</v>
      </c>
      <c r="B381" s="178" t="str">
        <f t="shared" si="42"/>
        <v>Mon</v>
      </c>
      <c r="C381" s="178" t="str">
        <f>'Pantry Inventory'!$A$65</f>
        <v>Sep Week 3</v>
      </c>
      <c r="D381" s="178" t="str">
        <f>IF('Pantry Inventory'!A69="","",'Pantry Inventory'!A69)</f>
        <v>Julie's</v>
      </c>
      <c r="E381" s="178" t="str">
        <f>IF('Pantry Inventory'!B69="","",'Pantry Inventory'!B69)</f>
        <v>Julies Butter Waffles</v>
      </c>
      <c r="F381" s="178" t="str">
        <f>IF(E381="","",IFERROR(IF(INDEX('Item Purchases'!$S$4:$S$30,MATCH(E381,'Item Purchases'!$B$4:$B$30,0))="","Uncategorised",INDEX('Item Purchases'!$S$4:$S$30,MATCH(E381,'Item Purchases'!$B$4:$B$30,0))),"Uncategorised"))</f>
        <v>Sweet</v>
      </c>
      <c r="G381" s="178">
        <f>IF(E381="",0,'Pantry Inventory'!P69)</f>
        <v>0</v>
      </c>
      <c r="H381" s="178">
        <f>IF(E381="","",IF('Pantry Inventory'!Q69="","",'Pantry Inventory'!Q69))</f>
        <v>10</v>
      </c>
      <c r="I381" s="178">
        <f>IF(H381="","",'Pantry Inventory'!R69)</f>
        <v>1</v>
      </c>
      <c r="J381" s="179">
        <f>IF(E381="",0,IFERROR(INDEX('Item Purchases'!$Q$4:$Q$30,MATCH(E381,'Item Purchases'!$B$4:$B$30,0)),0))</f>
        <v>5.15</v>
      </c>
      <c r="K381" s="180">
        <f t="shared" si="43"/>
        <v>5.15</v>
      </c>
      <c r="L381" s="178">
        <f t="shared" si="44"/>
        <v>1</v>
      </c>
      <c r="M381" s="178">
        <f>IF(E381="",0,IF(AND(OR(OR(Dashboard!$E$5="All",Dashboard!$E$5=""),AG381=Dashboard!$E$5),OR(OR(Dashboard!$H$5="All",Dashboard!$H$5=""),F381=Dashboard!$H$5),OR(OR(Dashboard!$B$5="All",Dashboard!$B$5=""),C381=Dashboard!$B$5),OR(OR(Dashboard!$K$5="All",Dashboard!$K$5=""),A381=Dashboard!$K$5),OR(OR(Dashboard!$N$5="All",Dashboard!$N$5=""),B381=Dashboard!$N$5),OR(OR(Dashboard!$Q$5="All",Dashboard!$Q$5=""),D381=Dashboard!$Q$5),OR(OR(Dashboard!$U$5="All",Dashboard!$U$5=""),E381=Dashboard!$U$5)),1,0))</f>
        <v>1</v>
      </c>
      <c r="N381" s="178">
        <f>IF(E381="",0,IF(AND(OR(OR(Dashboard!$E$5="All",Dashboard!$E$5=""),AG381=Dashboard!$E$5),OR(OR(Dashboard!$B$5="All",Dashboard!$B$5=""),C381=Dashboard!$B$5),OR(OR(Dashboard!$K$5="All",Dashboard!$K$5=""),A381=Dashboard!$K$5),OR(OR(Dashboard!$N$5="All",Dashboard!$N$5=""),B381=Dashboard!$N$5),OR(OR(Dashboard!$Q$5="All",Dashboard!$Q$5=""),D381=Dashboard!$Q$5),OR(OR(Dashboard!$U$5="All",Dashboard!$U$5=""),E381=Dashboard!$U$5)),1,0))</f>
        <v>1</v>
      </c>
      <c r="O381" s="165">
        <f t="shared" si="45"/>
        <v>1</v>
      </c>
      <c r="AG381" s="178" t="str">
        <f>IF(E381="","",IFERROR(IF(INDEX('Item Purchases'!$AM$4:$AM$30,MATCH(E381,'Item Purchases'!$B$4:$B$30,0))="","Uncategorised",INDEX('Item Purchases'!$AM$4:$AM$30,MATCH(E381,'Item Purchases'!$B$4:$B$30,0))),"Uncategorised"))</f>
        <v>Snacks</v>
      </c>
      <c r="AH381" s="165">
        <f>IF(AND(E381&lt;&gt;"",L381=1),COUNTIFS($E$2:E381,E381,$L$2:L381,1),0)</f>
        <v>15</v>
      </c>
      <c r="AI381" s="165">
        <f t="shared" si="46"/>
        <v>1</v>
      </c>
      <c r="AJ381" s="165">
        <f t="shared" si="47"/>
        <v>1</v>
      </c>
    </row>
    <row r="382" spans="1:36" x14ac:dyDescent="0.25">
      <c r="A382" s="177">
        <f t="shared" si="50"/>
        <v>46286</v>
      </c>
      <c r="B382" s="178" t="str">
        <f t="shared" si="42"/>
        <v>Mon</v>
      </c>
      <c r="C382" s="178" t="str">
        <f>'Pantry Inventory'!$A$65</f>
        <v>Sep Week 3</v>
      </c>
      <c r="D382" s="178" t="str">
        <f>IF('Pantry Inventory'!A70="","",'Pantry Inventory'!A70)</f>
        <v>Julie's</v>
      </c>
      <c r="E382" s="178" t="str">
        <f>IF('Pantry Inventory'!B70="","",'Pantry Inventory'!B70)</f>
        <v>Julies Choco More Sandwich (44G)</v>
      </c>
      <c r="F382" s="178" t="str">
        <f>IF(E382="","",IFERROR(IF(INDEX('Item Purchases'!$S$4:$S$30,MATCH(E382,'Item Purchases'!$B$4:$B$30,0))="","Uncategorised",INDEX('Item Purchases'!$S$4:$S$30,MATCH(E382,'Item Purchases'!$B$4:$B$30,0))),"Uncategorised"))</f>
        <v>Sweet</v>
      </c>
      <c r="G382" s="178">
        <f>IF(E382="",0,'Pantry Inventory'!P70)</f>
        <v>24</v>
      </c>
      <c r="H382" s="178">
        <f>IF(E382="","",IF('Pantry Inventory'!Q70="","",'Pantry Inventory'!Q70))</f>
        <v>32</v>
      </c>
      <c r="I382" s="178">
        <f>IF(H382="","",'Pantry Inventory'!R70)</f>
        <v>7</v>
      </c>
      <c r="J382" s="179">
        <f>IF(E382="",0,IFERROR(INDEX('Item Purchases'!$Q$4:$Q$30,MATCH(E382,'Item Purchases'!$B$4:$B$30,0)),0))</f>
        <v>1.2</v>
      </c>
      <c r="K382" s="180">
        <f t="shared" si="43"/>
        <v>8.4</v>
      </c>
      <c r="L382" s="178">
        <f t="shared" si="44"/>
        <v>1</v>
      </c>
      <c r="M382" s="178">
        <f>IF(E382="",0,IF(AND(OR(OR(Dashboard!$E$5="All",Dashboard!$E$5=""),AG382=Dashboard!$E$5),OR(OR(Dashboard!$H$5="All",Dashboard!$H$5=""),F382=Dashboard!$H$5),OR(OR(Dashboard!$B$5="All",Dashboard!$B$5=""),C382=Dashboard!$B$5),OR(OR(Dashboard!$K$5="All",Dashboard!$K$5=""),A382=Dashboard!$K$5),OR(OR(Dashboard!$N$5="All",Dashboard!$N$5=""),B382=Dashboard!$N$5),OR(OR(Dashboard!$Q$5="All",Dashboard!$Q$5=""),D382=Dashboard!$Q$5),OR(OR(Dashboard!$U$5="All",Dashboard!$U$5=""),E382=Dashboard!$U$5)),1,0))</f>
        <v>1</v>
      </c>
      <c r="N382" s="178">
        <f>IF(E382="",0,IF(AND(OR(OR(Dashboard!$E$5="All",Dashboard!$E$5=""),AG382=Dashboard!$E$5),OR(OR(Dashboard!$B$5="All",Dashboard!$B$5=""),C382=Dashboard!$B$5),OR(OR(Dashboard!$K$5="All",Dashboard!$K$5=""),A382=Dashboard!$K$5),OR(OR(Dashboard!$N$5="All",Dashboard!$N$5=""),B382=Dashboard!$N$5),OR(OR(Dashboard!$Q$5="All",Dashboard!$Q$5=""),D382=Dashboard!$Q$5),OR(OR(Dashboard!$U$5="All",Dashboard!$U$5=""),E382=Dashboard!$U$5)),1,0))</f>
        <v>1</v>
      </c>
      <c r="O382" s="165">
        <f t="shared" si="45"/>
        <v>49</v>
      </c>
      <c r="AG382" s="178" t="str">
        <f>IF(E382="","",IFERROR(IF(INDEX('Item Purchases'!$AM$4:$AM$30,MATCH(E382,'Item Purchases'!$B$4:$B$30,0))="","Uncategorised",INDEX('Item Purchases'!$AM$4:$AM$30,MATCH(E382,'Item Purchases'!$B$4:$B$30,0))),"Uncategorised"))</f>
        <v>Snacks</v>
      </c>
      <c r="AH382" s="165">
        <f>IF(AND(E382&lt;&gt;"",L382=1),COUNTIFS($E$2:E382,E382,$L$2:L382,1),0)</f>
        <v>15</v>
      </c>
      <c r="AI382" s="165">
        <f t="shared" si="46"/>
        <v>7</v>
      </c>
      <c r="AJ382" s="165">
        <f t="shared" si="47"/>
        <v>1</v>
      </c>
    </row>
    <row r="383" spans="1:36" x14ac:dyDescent="0.25">
      <c r="A383" s="177">
        <f t="shared" si="50"/>
        <v>46286</v>
      </c>
      <c r="B383" s="178" t="str">
        <f t="shared" si="42"/>
        <v>Mon</v>
      </c>
      <c r="C383" s="178" t="str">
        <f>'Pantry Inventory'!$A$65</f>
        <v>Sep Week 3</v>
      </c>
      <c r="D383" s="178" t="str">
        <f>IF('Pantry Inventory'!A71="","",'Pantry Inventory'!A71)</f>
        <v>Julie's</v>
      </c>
      <c r="E383" s="178" t="str">
        <f>IF('Pantry Inventory'!B71="","",'Pantry Inventory'!B71)</f>
        <v>Julies Cheese Sandwich (28G)</v>
      </c>
      <c r="F383" s="178" t="str">
        <f>IF(E383="","",IFERROR(IF(INDEX('Item Purchases'!$S$4:$S$30,MATCH(E383,'Item Purchases'!$B$4:$B$30,0))="","Uncategorised",INDEX('Item Purchases'!$S$4:$S$30,MATCH(E383,'Item Purchases'!$B$4:$B$30,0))),"Uncategorised"))</f>
        <v>Savoury</v>
      </c>
      <c r="G383" s="178">
        <f>IF(E383="",0,'Pantry Inventory'!P71)</f>
        <v>0</v>
      </c>
      <c r="H383" s="178">
        <f>IF(E383="","",IF('Pantry Inventory'!Q71="","",'Pantry Inventory'!Q71))</f>
        <v>22</v>
      </c>
      <c r="I383" s="178">
        <f>IF(H383="","",'Pantry Inventory'!R71)</f>
        <v>6</v>
      </c>
      <c r="J383" s="179">
        <f>IF(E383="",0,IFERROR(INDEX('Item Purchases'!$Q$4:$Q$30,MATCH(E383,'Item Purchases'!$B$4:$B$30,0)),0))</f>
        <v>1.1000000000000001</v>
      </c>
      <c r="K383" s="180">
        <f t="shared" si="43"/>
        <v>6.6000000000000005</v>
      </c>
      <c r="L383" s="178">
        <f t="shared" si="44"/>
        <v>1</v>
      </c>
      <c r="M383" s="178">
        <f>IF(E383="",0,IF(AND(OR(OR(Dashboard!$E$5="All",Dashboard!$E$5=""),AG383=Dashboard!$E$5),OR(OR(Dashboard!$H$5="All",Dashboard!$H$5=""),F383=Dashboard!$H$5),OR(OR(Dashboard!$B$5="All",Dashboard!$B$5=""),C383=Dashboard!$B$5),OR(OR(Dashboard!$K$5="All",Dashboard!$K$5=""),A383=Dashboard!$K$5),OR(OR(Dashboard!$N$5="All",Dashboard!$N$5=""),B383=Dashboard!$N$5),OR(OR(Dashboard!$Q$5="All",Dashboard!$Q$5=""),D383=Dashboard!$Q$5),OR(OR(Dashboard!$U$5="All",Dashboard!$U$5=""),E383=Dashboard!$U$5)),1,0))</f>
        <v>1</v>
      </c>
      <c r="N383" s="178">
        <f>IF(E383="",0,IF(AND(OR(OR(Dashboard!$E$5="All",Dashboard!$E$5=""),AG383=Dashboard!$E$5),OR(OR(Dashboard!$B$5="All",Dashboard!$B$5=""),C383=Dashboard!$B$5),OR(OR(Dashboard!$K$5="All",Dashboard!$K$5=""),A383=Dashboard!$K$5),OR(OR(Dashboard!$N$5="All",Dashboard!$N$5=""),B383=Dashboard!$N$5),OR(OR(Dashboard!$Q$5="All",Dashboard!$Q$5=""),D383=Dashboard!$Q$5),OR(OR(Dashboard!$U$5="All",Dashboard!$U$5=""),E383=Dashboard!$U$5)),1,0))</f>
        <v>1</v>
      </c>
      <c r="O383" s="165">
        <f t="shared" si="45"/>
        <v>36</v>
      </c>
      <c r="AG383" s="178" t="str">
        <f>IF(E383="","",IFERROR(IF(INDEX('Item Purchases'!$AM$4:$AM$30,MATCH(E383,'Item Purchases'!$B$4:$B$30,0))="","Uncategorised",INDEX('Item Purchases'!$AM$4:$AM$30,MATCH(E383,'Item Purchases'!$B$4:$B$30,0))),"Uncategorised"))</f>
        <v>Snacks</v>
      </c>
      <c r="AH383" s="165">
        <f>IF(AND(E383&lt;&gt;"",L383=1),COUNTIFS($E$2:E383,E383,$L$2:L383,1),0)</f>
        <v>15</v>
      </c>
      <c r="AI383" s="165">
        <f t="shared" si="46"/>
        <v>6</v>
      </c>
      <c r="AJ383" s="165">
        <f t="shared" si="47"/>
        <v>1</v>
      </c>
    </row>
    <row r="384" spans="1:36" x14ac:dyDescent="0.25">
      <c r="A384" s="177">
        <f t="shared" si="50"/>
        <v>46286</v>
      </c>
      <c r="B384" s="178" t="str">
        <f t="shared" si="42"/>
        <v>Mon</v>
      </c>
      <c r="C384" s="178" t="str">
        <f>'Pantry Inventory'!$A$65</f>
        <v>Sep Week 3</v>
      </c>
      <c r="D384" s="178" t="str">
        <f>IF('Pantry Inventory'!A72="","",'Pantry Inventory'!A72)</f>
        <v>Nature Valley</v>
      </c>
      <c r="E384" s="178" t="str">
        <f>IF('Pantry Inventory'!B72="","",'Pantry Inventory'!B72)</f>
        <v>NV OATS &amp; DARK CHOC 42GX5</v>
      </c>
      <c r="F384" s="178" t="str">
        <f>IF(E384="","",IFERROR(IF(INDEX('Item Purchases'!$S$4:$S$30,MATCH(E384,'Item Purchases'!$B$4:$B$30,0))="","Uncategorised",INDEX('Item Purchases'!$S$4:$S$30,MATCH(E384,'Item Purchases'!$B$4:$B$30,0))),"Uncategorised"))</f>
        <v>Sweet</v>
      </c>
      <c r="G384" s="178">
        <f>IF(E384="",0,'Pantry Inventory'!P72)</f>
        <v>0</v>
      </c>
      <c r="H384" s="178">
        <f>IF(E384="","",IF('Pantry Inventory'!Q72="","",'Pantry Inventory'!Q72))</f>
        <v>0</v>
      </c>
      <c r="I384" s="178">
        <f>IF(H384="","",'Pantry Inventory'!R72)</f>
        <v>0</v>
      </c>
      <c r="J384" s="179">
        <f>IF(E384="",0,IFERROR(INDEX('Item Purchases'!$Q$4:$Q$30,MATCH(E384,'Item Purchases'!$B$4:$B$30,0)),0))</f>
        <v>2.78</v>
      </c>
      <c r="K384" s="180">
        <f t="shared" si="43"/>
        <v>0</v>
      </c>
      <c r="L384" s="178">
        <f t="shared" si="44"/>
        <v>1</v>
      </c>
      <c r="M384" s="178">
        <f>IF(E384="",0,IF(AND(OR(OR(Dashboard!$E$5="All",Dashboard!$E$5=""),AG384=Dashboard!$E$5),OR(OR(Dashboard!$H$5="All",Dashboard!$H$5=""),F384=Dashboard!$H$5),OR(OR(Dashboard!$B$5="All",Dashboard!$B$5=""),C384=Dashboard!$B$5),OR(OR(Dashboard!$K$5="All",Dashboard!$K$5=""),A384=Dashboard!$K$5),OR(OR(Dashboard!$N$5="All",Dashboard!$N$5=""),B384=Dashboard!$N$5),OR(OR(Dashboard!$Q$5="All",Dashboard!$Q$5=""),D384=Dashboard!$Q$5),OR(OR(Dashboard!$U$5="All",Dashboard!$U$5=""),E384=Dashboard!$U$5)),1,0))</f>
        <v>1</v>
      </c>
      <c r="N384" s="178">
        <f>IF(E384="",0,IF(AND(OR(OR(Dashboard!$E$5="All",Dashboard!$E$5=""),AG384=Dashboard!$E$5),OR(OR(Dashboard!$B$5="All",Dashboard!$B$5=""),C384=Dashboard!$B$5),OR(OR(Dashboard!$K$5="All",Dashboard!$K$5=""),A384=Dashboard!$K$5),OR(OR(Dashboard!$N$5="All",Dashboard!$N$5=""),B384=Dashboard!$N$5),OR(OR(Dashboard!$Q$5="All",Dashboard!$Q$5=""),D384=Dashboard!$Q$5),OR(OR(Dashboard!$U$5="All",Dashboard!$U$5=""),E384=Dashboard!$U$5)),1,0))</f>
        <v>1</v>
      </c>
      <c r="O384" s="165">
        <f t="shared" si="45"/>
        <v>0</v>
      </c>
      <c r="AG384" s="178" t="str">
        <f>IF(E384="","",IFERROR(IF(INDEX('Item Purchases'!$AM$4:$AM$30,MATCH(E384,'Item Purchases'!$B$4:$B$30,0))="","Uncategorised",INDEX('Item Purchases'!$AM$4:$AM$30,MATCH(E384,'Item Purchases'!$B$4:$B$30,0))),"Uncategorised"))</f>
        <v>Snacks</v>
      </c>
      <c r="AH384" s="165">
        <f>IF(AND(E384&lt;&gt;"",L384=1),COUNTIFS($E$2:E384,E384,$L$2:L384,1),0)</f>
        <v>15</v>
      </c>
      <c r="AI384" s="165">
        <f t="shared" si="46"/>
        <v>0</v>
      </c>
      <c r="AJ384" s="165">
        <f t="shared" si="47"/>
        <v>0</v>
      </c>
    </row>
    <row r="385" spans="1:36" x14ac:dyDescent="0.25">
      <c r="A385" s="177">
        <f t="shared" si="50"/>
        <v>46286</v>
      </c>
      <c r="B385" s="178" t="str">
        <f t="shared" si="42"/>
        <v>Mon</v>
      </c>
      <c r="C385" s="178" t="str">
        <f>'Pantry Inventory'!$A$65</f>
        <v>Sep Week 3</v>
      </c>
      <c r="D385" s="178" t="str">
        <f>IF('Pantry Inventory'!A73="","",'Pantry Inventory'!A73)</f>
        <v>Nature Valley</v>
      </c>
      <c r="E385" s="178" t="str">
        <f>IF('Pantry Inventory'!B73="","",'Pantry Inventory'!B73)</f>
        <v xml:space="preserve">NV PROTEIN - SALTED CARAMEL 40G </v>
      </c>
      <c r="F385" s="178" t="str">
        <f>IF(E385="","",IFERROR(IF(INDEX('Item Purchases'!$S$4:$S$30,MATCH(E385,'Item Purchases'!$B$4:$B$30,0))="","Uncategorised",INDEX('Item Purchases'!$S$4:$S$30,MATCH(E385,'Item Purchases'!$B$4:$B$30,0))),"Uncategorised"))</f>
        <v>Sweet</v>
      </c>
      <c r="G385" s="178">
        <f>IF(E385="",0,'Pantry Inventory'!P73)</f>
        <v>0</v>
      </c>
      <c r="H385" s="178">
        <f>IF(E385="","",IF('Pantry Inventory'!Q73="","",'Pantry Inventory'!Q73))</f>
        <v>0</v>
      </c>
      <c r="I385" s="178">
        <f>IF(H385="","",'Pantry Inventory'!R73)</f>
        <v>0</v>
      </c>
      <c r="J385" s="179">
        <f>IF(E385="",0,IFERROR(INDEX('Item Purchases'!$Q$4:$Q$30,MATCH(E385,'Item Purchases'!$B$4:$B$30,0)),0))</f>
        <v>4.9000000000000004</v>
      </c>
      <c r="K385" s="180">
        <f t="shared" si="43"/>
        <v>0</v>
      </c>
      <c r="L385" s="178">
        <f t="shared" si="44"/>
        <v>1</v>
      </c>
      <c r="M385" s="178">
        <f>IF(E385="",0,IF(AND(OR(OR(Dashboard!$E$5="All",Dashboard!$E$5=""),AG385=Dashboard!$E$5),OR(OR(Dashboard!$H$5="All",Dashboard!$H$5=""),F385=Dashboard!$H$5),OR(OR(Dashboard!$B$5="All",Dashboard!$B$5=""),C385=Dashboard!$B$5),OR(OR(Dashboard!$K$5="All",Dashboard!$K$5=""),A385=Dashboard!$K$5),OR(OR(Dashboard!$N$5="All",Dashboard!$N$5=""),B385=Dashboard!$N$5),OR(OR(Dashboard!$Q$5="All",Dashboard!$Q$5=""),D385=Dashboard!$Q$5),OR(OR(Dashboard!$U$5="All",Dashboard!$U$5=""),E385=Dashboard!$U$5)),1,0))</f>
        <v>1</v>
      </c>
      <c r="N385" s="178">
        <f>IF(E385="",0,IF(AND(OR(OR(Dashboard!$E$5="All",Dashboard!$E$5=""),AG385=Dashboard!$E$5),OR(OR(Dashboard!$B$5="All",Dashboard!$B$5=""),C385=Dashboard!$B$5),OR(OR(Dashboard!$K$5="All",Dashboard!$K$5=""),A385=Dashboard!$K$5),OR(OR(Dashboard!$N$5="All",Dashboard!$N$5=""),B385=Dashboard!$N$5),OR(OR(Dashboard!$Q$5="All",Dashboard!$Q$5=""),D385=Dashboard!$Q$5),OR(OR(Dashboard!$U$5="All",Dashboard!$U$5=""),E385=Dashboard!$U$5)),1,0))</f>
        <v>1</v>
      </c>
      <c r="O385" s="165">
        <f t="shared" si="45"/>
        <v>0</v>
      </c>
      <c r="AG385" s="178" t="str">
        <f>IF(E385="","",IFERROR(IF(INDEX('Item Purchases'!$AM$4:$AM$30,MATCH(E385,'Item Purchases'!$B$4:$B$30,0))="","Uncategorised",INDEX('Item Purchases'!$AM$4:$AM$30,MATCH(E385,'Item Purchases'!$B$4:$B$30,0))),"Uncategorised"))</f>
        <v>Snacks</v>
      </c>
      <c r="AH385" s="165">
        <f>IF(AND(E385&lt;&gt;"",L385=1),COUNTIFS($E$2:E385,E385,$L$2:L385,1),0)</f>
        <v>15</v>
      </c>
      <c r="AI385" s="165">
        <f t="shared" si="46"/>
        <v>0</v>
      </c>
      <c r="AJ385" s="165">
        <f t="shared" si="47"/>
        <v>0</v>
      </c>
    </row>
    <row r="386" spans="1:36" x14ac:dyDescent="0.25">
      <c r="A386" s="177">
        <f t="shared" si="50"/>
        <v>46286</v>
      </c>
      <c r="B386" s="178" t="str">
        <f t="shared" ref="B386:B449" si="51">IF(A386=0,"",CHOOSE(WEEKDAY(A386,2),"Mon","Tue","Wed","Thu","Fri","Sat","Sun"))</f>
        <v>Mon</v>
      </c>
      <c r="C386" s="178" t="str">
        <f>'Pantry Inventory'!$A$65</f>
        <v>Sep Week 3</v>
      </c>
      <c r="D386" s="178" t="str">
        <f>IF('Pantry Inventory'!A74="","",'Pantry Inventory'!A74)</f>
        <v>BBMG</v>
      </c>
      <c r="E386" s="178" t="str">
        <f>IF('Pantry Inventory'!B74="","",'Pantry Inventory'!B74)</f>
        <v>BBMG 90G</v>
      </c>
      <c r="F386" s="178" t="str">
        <f>IF(E386="","",IFERROR(IF(INDEX('Item Purchases'!$S$4:$S$30,MATCH(E386,'Item Purchases'!$B$4:$B$30,0))="","Uncategorised",INDEX('Item Purchases'!$S$4:$S$30,MATCH(E386,'Item Purchases'!$B$4:$B$30,0))),"Uncategorised"))</f>
        <v>Savoury</v>
      </c>
      <c r="G386" s="178">
        <f>IF(E386="",0,'Pantry Inventory'!P74)</f>
        <v>0</v>
      </c>
      <c r="H386" s="178">
        <f>IF(E386="","",IF('Pantry Inventory'!Q74="","",'Pantry Inventory'!Q74))</f>
        <v>0</v>
      </c>
      <c r="I386" s="178">
        <f>IF(H386="","",'Pantry Inventory'!R74)</f>
        <v>0</v>
      </c>
      <c r="J386" s="179">
        <f>IF(E386="",0,IFERROR(INDEX('Item Purchases'!$Q$4:$Q$30,MATCH(E386,'Item Purchases'!$B$4:$B$30,0)),0))</f>
        <v>0.34300000000000003</v>
      </c>
      <c r="K386" s="180">
        <f t="shared" ref="K386:K449" si="52">IF(I386="","",I386*J386)</f>
        <v>0</v>
      </c>
      <c r="L386" s="178">
        <f t="shared" ref="L386:L449" si="53">IF(H386="",0,1)</f>
        <v>1</v>
      </c>
      <c r="M386" s="178">
        <f>IF(E386="",0,IF(AND(OR(OR(Dashboard!$E$5="All",Dashboard!$E$5=""),AG386=Dashboard!$E$5),OR(OR(Dashboard!$H$5="All",Dashboard!$H$5=""),F386=Dashboard!$H$5),OR(OR(Dashboard!$B$5="All",Dashboard!$B$5=""),C386=Dashboard!$B$5),OR(OR(Dashboard!$K$5="All",Dashboard!$K$5=""),A386=Dashboard!$K$5),OR(OR(Dashboard!$N$5="All",Dashboard!$N$5=""),B386=Dashboard!$N$5),OR(OR(Dashboard!$Q$5="All",Dashboard!$Q$5=""),D386=Dashboard!$Q$5),OR(OR(Dashboard!$U$5="All",Dashboard!$U$5=""),E386=Dashboard!$U$5)),1,0))</f>
        <v>1</v>
      </c>
      <c r="N386" s="178">
        <f>IF(E386="",0,IF(AND(OR(OR(Dashboard!$E$5="All",Dashboard!$E$5=""),AG386=Dashboard!$E$5),OR(OR(Dashboard!$B$5="All",Dashboard!$B$5=""),C386=Dashboard!$B$5),OR(OR(Dashboard!$K$5="All",Dashboard!$K$5=""),A386=Dashboard!$K$5),OR(OR(Dashboard!$N$5="All",Dashboard!$N$5=""),B386=Dashboard!$N$5),OR(OR(Dashboard!$Q$5="All",Dashboard!$Q$5=""),D386=Dashboard!$Q$5),OR(OR(Dashboard!$U$5="All",Dashboard!$U$5=""),E386=Dashboard!$U$5)),1,0))</f>
        <v>1</v>
      </c>
      <c r="O386" s="165">
        <f t="shared" ref="O386:O449" si="54">IF(AND(N(H386)&gt;0,ISNUMBER(I386)),I386^2,0)</f>
        <v>0</v>
      </c>
      <c r="AG386" s="178" t="str">
        <f>IF(E386="","",IFERROR(IF(INDEX('Item Purchases'!$AM$4:$AM$30,MATCH(E386,'Item Purchases'!$B$4:$B$30,0))="","Uncategorised",INDEX('Item Purchases'!$AM$4:$AM$30,MATCH(E386,'Item Purchases'!$B$4:$B$30,0))),"Uncategorised"))</f>
        <v>Snacks</v>
      </c>
      <c r="AH386" s="165">
        <f>IF(AND(E386&lt;&gt;"",L386=1),COUNTIFS($E$2:E386,E386,$L$2:L386,1),0)</f>
        <v>15</v>
      </c>
      <c r="AI386" s="165">
        <f t="shared" ref="AI386:AI449" si="55">IF(ISNUMBER(I386),I386,0)</f>
        <v>0</v>
      </c>
      <c r="AJ386" s="165">
        <f t="shared" ref="AJ386:AJ449" si="56">IF(AND(L386=1,N(H386)&gt;0),1,0)</f>
        <v>0</v>
      </c>
    </row>
    <row r="387" spans="1:36" x14ac:dyDescent="0.25">
      <c r="A387" s="177">
        <f t="shared" si="50"/>
        <v>46286</v>
      </c>
      <c r="B387" s="178" t="str">
        <f t="shared" si="51"/>
        <v>Mon</v>
      </c>
      <c r="C387" s="178" t="str">
        <f>'Pantry Inventory'!$A$65</f>
        <v>Sep Week 3</v>
      </c>
      <c r="D387" s="178" t="str">
        <f>IF('Pantry Inventory'!A75="","",'Pantry Inventory'!A75)</f>
        <v>Lays</v>
      </c>
      <c r="E387" s="178" t="str">
        <f>IF('Pantry Inventory'!B75="","",'Pantry Inventory'!B75)</f>
        <v>Lays Potato Chips (Original) 50g</v>
      </c>
      <c r="F387" s="178" t="str">
        <f>IF(E387="","",IFERROR(IF(INDEX('Item Purchases'!$S$4:$S$30,MATCH(E387,'Item Purchases'!$B$4:$B$30,0))="","Uncategorised",INDEX('Item Purchases'!$S$4:$S$30,MATCH(E387,'Item Purchases'!$B$4:$B$30,0))),"Uncategorised"))</f>
        <v>Savoury</v>
      </c>
      <c r="G387" s="178">
        <f>IF(E387="",0,'Pantry Inventory'!P75)</f>
        <v>0</v>
      </c>
      <c r="H387" s="178">
        <f>IF(E387="","",IF('Pantry Inventory'!Q75="","",'Pantry Inventory'!Q75))</f>
        <v>27</v>
      </c>
      <c r="I387" s="178">
        <f>IF(H387="","",'Pantry Inventory'!R75)</f>
        <v>8</v>
      </c>
      <c r="J387" s="179">
        <f>IF(E387="",0,IFERROR(INDEX('Item Purchases'!$Q$4:$Q$30,MATCH(E387,'Item Purchases'!$B$4:$B$30,0)),0))</f>
        <v>3.4580000000000002</v>
      </c>
      <c r="K387" s="180">
        <f t="shared" si="52"/>
        <v>27.664000000000001</v>
      </c>
      <c r="L387" s="178">
        <f t="shared" si="53"/>
        <v>1</v>
      </c>
      <c r="M387" s="178">
        <f>IF(E387="",0,IF(AND(OR(OR(Dashboard!$E$5="All",Dashboard!$E$5=""),AG387=Dashboard!$E$5),OR(OR(Dashboard!$H$5="All",Dashboard!$H$5=""),F387=Dashboard!$H$5),OR(OR(Dashboard!$B$5="All",Dashboard!$B$5=""),C387=Dashboard!$B$5),OR(OR(Dashboard!$K$5="All",Dashboard!$K$5=""),A387=Dashboard!$K$5),OR(OR(Dashboard!$N$5="All",Dashboard!$N$5=""),B387=Dashboard!$N$5),OR(OR(Dashboard!$Q$5="All",Dashboard!$Q$5=""),D387=Dashboard!$Q$5),OR(OR(Dashboard!$U$5="All",Dashboard!$U$5=""),E387=Dashboard!$U$5)),1,0))</f>
        <v>1</v>
      </c>
      <c r="N387" s="178">
        <f>IF(E387="",0,IF(AND(OR(OR(Dashboard!$E$5="All",Dashboard!$E$5=""),AG387=Dashboard!$E$5),OR(OR(Dashboard!$B$5="All",Dashboard!$B$5=""),C387=Dashboard!$B$5),OR(OR(Dashboard!$K$5="All",Dashboard!$K$5=""),A387=Dashboard!$K$5),OR(OR(Dashboard!$N$5="All",Dashboard!$N$5=""),B387=Dashboard!$N$5),OR(OR(Dashboard!$Q$5="All",Dashboard!$Q$5=""),D387=Dashboard!$Q$5),OR(OR(Dashboard!$U$5="All",Dashboard!$U$5=""),E387=Dashboard!$U$5)),1,0))</f>
        <v>1</v>
      </c>
      <c r="O387" s="165">
        <f t="shared" si="54"/>
        <v>64</v>
      </c>
      <c r="AG387" s="178" t="str">
        <f>IF(E387="","",IFERROR(IF(INDEX('Item Purchases'!$AM$4:$AM$30,MATCH(E387,'Item Purchases'!$B$4:$B$30,0))="","Uncategorised",INDEX('Item Purchases'!$AM$4:$AM$30,MATCH(E387,'Item Purchases'!$B$4:$B$30,0))),"Uncategorised"))</f>
        <v>Snacks</v>
      </c>
      <c r="AH387" s="165">
        <f>IF(AND(E387&lt;&gt;"",L387=1),COUNTIFS($E$2:E387,E387,$L$2:L387,1),0)</f>
        <v>15</v>
      </c>
      <c r="AI387" s="165">
        <f t="shared" si="55"/>
        <v>8</v>
      </c>
      <c r="AJ387" s="165">
        <f t="shared" si="56"/>
        <v>1</v>
      </c>
    </row>
    <row r="388" spans="1:36" x14ac:dyDescent="0.25">
      <c r="A388" s="177">
        <f t="shared" si="50"/>
        <v>46286</v>
      </c>
      <c r="B388" s="178" t="str">
        <f t="shared" si="51"/>
        <v>Mon</v>
      </c>
      <c r="C388" s="178" t="str">
        <f>'Pantry Inventory'!$A$65</f>
        <v>Sep Week 3</v>
      </c>
      <c r="D388" s="178" t="str">
        <f>IF('Pantry Inventory'!A76="","",'Pantry Inventory'!A76)</f>
        <v>Lays</v>
      </c>
      <c r="E388" s="178" t="str">
        <f>IF('Pantry Inventory'!B76="","",'Pantry Inventory'!B76)</f>
        <v xml:space="preserve">Lays Double Crunch - Seaweed Flav (50g) </v>
      </c>
      <c r="F388" s="178" t="str">
        <f>IF(E388="","",IFERROR(IF(INDEX('Item Purchases'!$S$4:$S$30,MATCH(E388,'Item Purchases'!$B$4:$B$30,0))="","Uncategorised",INDEX('Item Purchases'!$S$4:$S$30,MATCH(E388,'Item Purchases'!$B$4:$B$30,0))),"Uncategorised"))</f>
        <v>Savoury</v>
      </c>
      <c r="G388" s="178">
        <f>IF(E388="",0,'Pantry Inventory'!P76)</f>
        <v>29</v>
      </c>
      <c r="H388" s="178">
        <f>IF(E388="","",IF('Pantry Inventory'!Q76="","",'Pantry Inventory'!Q76))</f>
        <v>31</v>
      </c>
      <c r="I388" s="178">
        <f>IF(H388="","",'Pantry Inventory'!R76)</f>
        <v>7</v>
      </c>
      <c r="J388" s="179">
        <f>IF(E388="",0,IFERROR(INDEX('Item Purchases'!$Q$4:$Q$30,MATCH(E388,'Item Purchases'!$B$4:$B$30,0)),0))</f>
        <v>4</v>
      </c>
      <c r="K388" s="180">
        <f t="shared" si="52"/>
        <v>28</v>
      </c>
      <c r="L388" s="178">
        <f t="shared" si="53"/>
        <v>1</v>
      </c>
      <c r="M388" s="178">
        <f>IF(E388="",0,IF(AND(OR(OR(Dashboard!$E$5="All",Dashboard!$E$5=""),AG388=Dashboard!$E$5),OR(OR(Dashboard!$H$5="All",Dashboard!$H$5=""),F388=Dashboard!$H$5),OR(OR(Dashboard!$B$5="All",Dashboard!$B$5=""),C388=Dashboard!$B$5),OR(OR(Dashboard!$K$5="All",Dashboard!$K$5=""),A388=Dashboard!$K$5),OR(OR(Dashboard!$N$5="All",Dashboard!$N$5=""),B388=Dashboard!$N$5),OR(OR(Dashboard!$Q$5="All",Dashboard!$Q$5=""),D388=Dashboard!$Q$5),OR(OR(Dashboard!$U$5="All",Dashboard!$U$5=""),E388=Dashboard!$U$5)),1,0))</f>
        <v>1</v>
      </c>
      <c r="N388" s="178">
        <f>IF(E388="",0,IF(AND(OR(OR(Dashboard!$E$5="All",Dashboard!$E$5=""),AG388=Dashboard!$E$5),OR(OR(Dashboard!$B$5="All",Dashboard!$B$5=""),C388=Dashboard!$B$5),OR(OR(Dashboard!$K$5="All",Dashboard!$K$5=""),A388=Dashboard!$K$5),OR(OR(Dashboard!$N$5="All",Dashboard!$N$5=""),B388=Dashboard!$N$5),OR(OR(Dashboard!$Q$5="All",Dashboard!$Q$5=""),D388=Dashboard!$Q$5),OR(OR(Dashboard!$U$5="All",Dashboard!$U$5=""),E388=Dashboard!$U$5)),1,0))</f>
        <v>1</v>
      </c>
      <c r="O388" s="165">
        <f t="shared" si="54"/>
        <v>49</v>
      </c>
      <c r="AG388" s="178" t="str">
        <f>IF(E388="","",IFERROR(IF(INDEX('Item Purchases'!$AM$4:$AM$30,MATCH(E388,'Item Purchases'!$B$4:$B$30,0))="","Uncategorised",INDEX('Item Purchases'!$AM$4:$AM$30,MATCH(E388,'Item Purchases'!$B$4:$B$30,0))),"Uncategorised"))</f>
        <v>Snacks</v>
      </c>
      <c r="AH388" s="165">
        <f>IF(AND(E388&lt;&gt;"",L388=1),COUNTIFS($E$2:E388,E388,$L$2:L388,1),0)</f>
        <v>15</v>
      </c>
      <c r="AI388" s="165">
        <f t="shared" si="55"/>
        <v>7</v>
      </c>
      <c r="AJ388" s="165">
        <f t="shared" si="56"/>
        <v>1</v>
      </c>
    </row>
    <row r="389" spans="1:36" x14ac:dyDescent="0.25">
      <c r="A389" s="177">
        <f t="shared" si="50"/>
        <v>46286</v>
      </c>
      <c r="B389" s="178" t="str">
        <f t="shared" si="51"/>
        <v>Mon</v>
      </c>
      <c r="C389" s="178" t="str">
        <f>'Pantry Inventory'!$A$65</f>
        <v>Sep Week 3</v>
      </c>
      <c r="D389" s="178" t="str">
        <f>IF('Pantry Inventory'!A77="","",'Pantry Inventory'!A77)</f>
        <v>Munchy</v>
      </c>
      <c r="E389" s="178" t="str">
        <f>IF('Pantry Inventory'!B77="","",'Pantry Inventory'!B77)</f>
        <v>Munchy Oat Krunch - Dark Choco</v>
      </c>
      <c r="F389" s="178" t="str">
        <f>IF(E389="","",IFERROR(IF(INDEX('Item Purchases'!$S$4:$S$30,MATCH(E389,'Item Purchases'!$B$4:$B$30,0))="","Uncategorised",INDEX('Item Purchases'!$S$4:$S$30,MATCH(E389,'Item Purchases'!$B$4:$B$30,0))),"Uncategorised"))</f>
        <v>Sweet</v>
      </c>
      <c r="G389" s="178">
        <f>IF(E389="",0,'Pantry Inventory'!P77)</f>
        <v>0</v>
      </c>
      <c r="H389" s="178">
        <f>IF(E389="","",IF('Pantry Inventory'!Q77="","",'Pantry Inventory'!Q77))</f>
        <v>19</v>
      </c>
      <c r="I389" s="178">
        <f>IF(H389="","",'Pantry Inventory'!R77)</f>
        <v>12</v>
      </c>
      <c r="J389" s="179">
        <f>IF(E389="",0,IFERROR(INDEX('Item Purchases'!$Q$4:$Q$30,MATCH(E389,'Item Purchases'!$B$4:$B$30,0)),0))</f>
        <v>0.73</v>
      </c>
      <c r="K389" s="180">
        <f t="shared" si="52"/>
        <v>8.76</v>
      </c>
      <c r="L389" s="178">
        <f t="shared" si="53"/>
        <v>1</v>
      </c>
      <c r="M389" s="178">
        <f>IF(E389="",0,IF(AND(OR(OR(Dashboard!$E$5="All",Dashboard!$E$5=""),AG389=Dashboard!$E$5),OR(OR(Dashboard!$H$5="All",Dashboard!$H$5=""),F389=Dashboard!$H$5),OR(OR(Dashboard!$B$5="All",Dashboard!$B$5=""),C389=Dashboard!$B$5),OR(OR(Dashboard!$K$5="All",Dashboard!$K$5=""),A389=Dashboard!$K$5),OR(OR(Dashboard!$N$5="All",Dashboard!$N$5=""),B389=Dashboard!$N$5),OR(OR(Dashboard!$Q$5="All",Dashboard!$Q$5=""),D389=Dashboard!$Q$5),OR(OR(Dashboard!$U$5="All",Dashboard!$U$5=""),E389=Dashboard!$U$5)),1,0))</f>
        <v>1</v>
      </c>
      <c r="N389" s="178">
        <f>IF(E389="",0,IF(AND(OR(OR(Dashboard!$E$5="All",Dashboard!$E$5=""),AG389=Dashboard!$E$5),OR(OR(Dashboard!$B$5="All",Dashboard!$B$5=""),C389=Dashboard!$B$5),OR(OR(Dashboard!$K$5="All",Dashboard!$K$5=""),A389=Dashboard!$K$5),OR(OR(Dashboard!$N$5="All",Dashboard!$N$5=""),B389=Dashboard!$N$5),OR(OR(Dashboard!$Q$5="All",Dashboard!$Q$5=""),D389=Dashboard!$Q$5),OR(OR(Dashboard!$U$5="All",Dashboard!$U$5=""),E389=Dashboard!$U$5)),1,0))</f>
        <v>1</v>
      </c>
      <c r="O389" s="165">
        <f t="shared" si="54"/>
        <v>144</v>
      </c>
      <c r="AG389" s="178" t="str">
        <f>IF(E389="","",IFERROR(IF(INDEX('Item Purchases'!$AM$4:$AM$30,MATCH(E389,'Item Purchases'!$B$4:$B$30,0))="","Uncategorised",INDEX('Item Purchases'!$AM$4:$AM$30,MATCH(E389,'Item Purchases'!$B$4:$B$30,0))),"Uncategorised"))</f>
        <v>Snacks</v>
      </c>
      <c r="AH389" s="165">
        <f>IF(AND(E389&lt;&gt;"",L389=1),COUNTIFS($E$2:E389,E389,$L$2:L389,1),0)</f>
        <v>15</v>
      </c>
      <c r="AI389" s="165">
        <f t="shared" si="55"/>
        <v>12</v>
      </c>
      <c r="AJ389" s="165">
        <f t="shared" si="56"/>
        <v>1</v>
      </c>
    </row>
    <row r="390" spans="1:36" x14ac:dyDescent="0.25">
      <c r="A390" s="177">
        <f t="shared" si="50"/>
        <v>46286</v>
      </c>
      <c r="B390" s="178" t="str">
        <f t="shared" si="51"/>
        <v>Mon</v>
      </c>
      <c r="C390" s="178" t="str">
        <f>'Pantry Inventory'!$A$65</f>
        <v>Sep Week 3</v>
      </c>
      <c r="D390" s="178" t="str">
        <f>IF('Pantry Inventory'!A78="","",'Pantry Inventory'!A78)</f>
        <v>Munchy</v>
      </c>
      <c r="E390" s="178" t="str">
        <f>IF('Pantry Inventory'!B78="","",'Pantry Inventory'!B78)</f>
        <v>Munchy Oat Krunch - Strawberry &amp; Blackcurrant</v>
      </c>
      <c r="F390" s="178" t="str">
        <f>IF(E390="","",IFERROR(IF(INDEX('Item Purchases'!$S$4:$S$30,MATCH(E390,'Item Purchases'!$B$4:$B$30,0))="","Uncategorised",INDEX('Item Purchases'!$S$4:$S$30,MATCH(E390,'Item Purchases'!$B$4:$B$30,0))),"Uncategorised"))</f>
        <v>Sweet</v>
      </c>
      <c r="G390" s="178">
        <f>IF(E390="",0,'Pantry Inventory'!P78)</f>
        <v>0</v>
      </c>
      <c r="H390" s="178">
        <f>IF(E390="","",IF('Pantry Inventory'!Q78="","",'Pantry Inventory'!Q78))</f>
        <v>18</v>
      </c>
      <c r="I390" s="178">
        <f>IF(H390="","",'Pantry Inventory'!R78)</f>
        <v>5</v>
      </c>
      <c r="J390" s="179">
        <f>IF(E390="",0,IFERROR(INDEX('Item Purchases'!$Q$4:$Q$30,MATCH(E390,'Item Purchases'!$B$4:$B$30,0)),0))</f>
        <v>0.73</v>
      </c>
      <c r="K390" s="180">
        <f t="shared" si="52"/>
        <v>3.65</v>
      </c>
      <c r="L390" s="178">
        <f t="shared" si="53"/>
        <v>1</v>
      </c>
      <c r="M390" s="178">
        <f>IF(E390="",0,IF(AND(OR(OR(Dashboard!$E$5="All",Dashboard!$E$5=""),AG390=Dashboard!$E$5),OR(OR(Dashboard!$H$5="All",Dashboard!$H$5=""),F390=Dashboard!$H$5),OR(OR(Dashboard!$B$5="All",Dashboard!$B$5=""),C390=Dashboard!$B$5),OR(OR(Dashboard!$K$5="All",Dashboard!$K$5=""),A390=Dashboard!$K$5),OR(OR(Dashboard!$N$5="All",Dashboard!$N$5=""),B390=Dashboard!$N$5),OR(OR(Dashboard!$Q$5="All",Dashboard!$Q$5=""),D390=Dashboard!$Q$5),OR(OR(Dashboard!$U$5="All",Dashboard!$U$5=""),E390=Dashboard!$U$5)),1,0))</f>
        <v>1</v>
      </c>
      <c r="N390" s="178">
        <f>IF(E390="",0,IF(AND(OR(OR(Dashboard!$E$5="All",Dashboard!$E$5=""),AG390=Dashboard!$E$5),OR(OR(Dashboard!$B$5="All",Dashboard!$B$5=""),C390=Dashboard!$B$5),OR(OR(Dashboard!$K$5="All",Dashboard!$K$5=""),A390=Dashboard!$K$5),OR(OR(Dashboard!$N$5="All",Dashboard!$N$5=""),B390=Dashboard!$N$5),OR(OR(Dashboard!$Q$5="All",Dashboard!$Q$5=""),D390=Dashboard!$Q$5),OR(OR(Dashboard!$U$5="All",Dashboard!$U$5=""),E390=Dashboard!$U$5)),1,0))</f>
        <v>1</v>
      </c>
      <c r="O390" s="165">
        <f t="shared" si="54"/>
        <v>25</v>
      </c>
      <c r="AG390" s="178" t="str">
        <f>IF(E390="","",IFERROR(IF(INDEX('Item Purchases'!$AM$4:$AM$30,MATCH(E390,'Item Purchases'!$B$4:$B$30,0))="","Uncategorised",INDEX('Item Purchases'!$AM$4:$AM$30,MATCH(E390,'Item Purchases'!$B$4:$B$30,0))),"Uncategorised"))</f>
        <v>Snacks</v>
      </c>
      <c r="AH390" s="165">
        <f>IF(AND(E390&lt;&gt;"",L390=1),COUNTIFS($E$2:E390,E390,$L$2:L390,1),0)</f>
        <v>15</v>
      </c>
      <c r="AI390" s="165">
        <f t="shared" si="55"/>
        <v>5</v>
      </c>
      <c r="AJ390" s="165">
        <f t="shared" si="56"/>
        <v>1</v>
      </c>
    </row>
    <row r="391" spans="1:36" x14ac:dyDescent="0.25">
      <c r="A391" s="177">
        <f t="shared" si="50"/>
        <v>46286</v>
      </c>
      <c r="B391" s="178" t="str">
        <f t="shared" si="51"/>
        <v>Mon</v>
      </c>
      <c r="C391" s="178" t="str">
        <f>'Pantry Inventory'!$A$65</f>
        <v>Sep Week 3</v>
      </c>
      <c r="D391" s="178" t="str">
        <f>IF('Pantry Inventory'!A79="","",'Pantry Inventory'!A79)</f>
        <v/>
      </c>
      <c r="E391" s="178" t="str">
        <f>IF('Pantry Inventory'!B79="","",'Pantry Inventory'!B79)</f>
        <v/>
      </c>
      <c r="F391" s="178" t="str">
        <f>IF(E391="","",IFERROR(IF(INDEX('Item Purchases'!$S$4:$S$30,MATCH(E391,'Item Purchases'!$B$4:$B$30,0))="","Uncategorised",INDEX('Item Purchases'!$S$4:$S$30,MATCH(E391,'Item Purchases'!$B$4:$B$30,0))),"Uncategorised"))</f>
        <v/>
      </c>
      <c r="G391" s="178">
        <f>IF(E391="",0,'Pantry Inventory'!P79)</f>
        <v>0</v>
      </c>
      <c r="H391" s="178" t="str">
        <f>IF(E391="","",IF('Pantry Inventory'!Q79="","",'Pantry Inventory'!Q79))</f>
        <v/>
      </c>
      <c r="I391" s="178" t="str">
        <f>IF(H391="","",'Pantry Inventory'!R79)</f>
        <v/>
      </c>
      <c r="J391" s="179">
        <f>IF(E391="",0,IFERROR(INDEX('Item Purchases'!$Q$4:$Q$30,MATCH(E391,'Item Purchases'!$B$4:$B$30,0)),0))</f>
        <v>0</v>
      </c>
      <c r="K391" s="180" t="str">
        <f t="shared" si="52"/>
        <v/>
      </c>
      <c r="L391" s="178">
        <f t="shared" si="53"/>
        <v>0</v>
      </c>
      <c r="M391" s="178">
        <f>IF(E391="",0,IF(AND(OR(OR(Dashboard!$E$5="All",Dashboard!$E$5=""),AG391=Dashboard!$E$5),OR(OR(Dashboard!$H$5="All",Dashboard!$H$5=""),F391=Dashboard!$H$5),OR(OR(Dashboard!$B$5="All",Dashboard!$B$5=""),C391=Dashboard!$B$5),OR(OR(Dashboard!$K$5="All",Dashboard!$K$5=""),A391=Dashboard!$K$5),OR(OR(Dashboard!$N$5="All",Dashboard!$N$5=""),B391=Dashboard!$N$5),OR(OR(Dashboard!$Q$5="All",Dashboard!$Q$5=""),D391=Dashboard!$Q$5),OR(OR(Dashboard!$U$5="All",Dashboard!$U$5=""),E391=Dashboard!$U$5)),1,0))</f>
        <v>0</v>
      </c>
      <c r="N391" s="178">
        <f>IF(E391="",0,IF(AND(OR(OR(Dashboard!$E$5="All",Dashboard!$E$5=""),AG391=Dashboard!$E$5),OR(OR(Dashboard!$B$5="All",Dashboard!$B$5=""),C391=Dashboard!$B$5),OR(OR(Dashboard!$K$5="All",Dashboard!$K$5=""),A391=Dashboard!$K$5),OR(OR(Dashboard!$N$5="All",Dashboard!$N$5=""),B391=Dashboard!$N$5),OR(OR(Dashboard!$Q$5="All",Dashboard!$Q$5=""),D391=Dashboard!$Q$5),OR(OR(Dashboard!$U$5="All",Dashboard!$U$5=""),E391=Dashboard!$U$5)),1,0))</f>
        <v>0</v>
      </c>
      <c r="O391" s="165">
        <f t="shared" si="54"/>
        <v>0</v>
      </c>
      <c r="AG391" s="178" t="str">
        <f>IF(E391="","",IFERROR(IF(INDEX('Item Purchases'!$AM$4:$AM$30,MATCH(E391,'Item Purchases'!$B$4:$B$30,0))="","Uncategorised",INDEX('Item Purchases'!$AM$4:$AM$30,MATCH(E391,'Item Purchases'!$B$4:$B$30,0))),"Uncategorised"))</f>
        <v/>
      </c>
      <c r="AH391" s="165">
        <f>IF(AND(E391&lt;&gt;"",L391=1),COUNTIFS($E$2:E391,E391,$L$2:L391,1),0)</f>
        <v>0</v>
      </c>
      <c r="AI391" s="165">
        <f t="shared" si="55"/>
        <v>0</v>
      </c>
      <c r="AJ391" s="165">
        <f t="shared" si="56"/>
        <v>0</v>
      </c>
    </row>
    <row r="392" spans="1:36" x14ac:dyDescent="0.25">
      <c r="A392" s="177">
        <f t="shared" si="50"/>
        <v>46286</v>
      </c>
      <c r="B392" s="178" t="str">
        <f t="shared" si="51"/>
        <v>Mon</v>
      </c>
      <c r="C392" s="178" t="str">
        <f>'Pantry Inventory'!$A$65</f>
        <v>Sep Week 3</v>
      </c>
      <c r="D392" s="178" t="str">
        <f>IF('Pantry Inventory'!A80="","",'Pantry Inventory'!A80)</f>
        <v>Nestle</v>
      </c>
      <c r="E392" s="178" t="str">
        <f>IF('Pantry Inventory'!B80="","",'Pantry Inventory'!B80)</f>
        <v>Milo 200ml</v>
      </c>
      <c r="F392" s="178" t="str">
        <f>IF(E392="","",IFERROR(IF(INDEX('Item Purchases'!$S$4:$S$30,MATCH(E392,'Item Purchases'!$B$4:$B$30,0))="","Uncategorised",INDEX('Item Purchases'!$S$4:$S$30,MATCH(E392,'Item Purchases'!$B$4:$B$30,0))),"Uncategorised"))</f>
        <v>Other</v>
      </c>
      <c r="G392" s="178">
        <f>IF(E392="",0,'Pantry Inventory'!P80)</f>
        <v>0</v>
      </c>
      <c r="H392" s="178">
        <f>IF(E392="","",IF('Pantry Inventory'!Q80="","",'Pantry Inventory'!Q80))</f>
        <v>0</v>
      </c>
      <c r="I392" s="178">
        <f>IF(H392="","",'Pantry Inventory'!R80)</f>
        <v>0</v>
      </c>
      <c r="J392" s="179">
        <f>IF(E392="",0,IFERROR(INDEX('Item Purchases'!$Q$4:$Q$30,MATCH(E392,'Item Purchases'!$B$4:$B$30,0)),0))</f>
        <v>2.37</v>
      </c>
      <c r="K392" s="180">
        <f t="shared" si="52"/>
        <v>0</v>
      </c>
      <c r="L392" s="178">
        <f t="shared" si="53"/>
        <v>1</v>
      </c>
      <c r="M392" s="178">
        <f>IF(E392="",0,IF(AND(OR(OR(Dashboard!$E$5="All",Dashboard!$E$5=""),AG392=Dashboard!$E$5),OR(OR(Dashboard!$H$5="All",Dashboard!$H$5=""),F392=Dashboard!$H$5),OR(OR(Dashboard!$B$5="All",Dashboard!$B$5=""),C392=Dashboard!$B$5),OR(OR(Dashboard!$K$5="All",Dashboard!$K$5=""),A392=Dashboard!$K$5),OR(OR(Dashboard!$N$5="All",Dashboard!$N$5=""),B392=Dashboard!$N$5),OR(OR(Dashboard!$Q$5="All",Dashboard!$Q$5=""),D392=Dashboard!$Q$5),OR(OR(Dashboard!$U$5="All",Dashboard!$U$5=""),E392=Dashboard!$U$5)),1,0))</f>
        <v>1</v>
      </c>
      <c r="N392" s="178">
        <f>IF(E392="",0,IF(AND(OR(OR(Dashboard!$E$5="All",Dashboard!$E$5=""),AG392=Dashboard!$E$5),OR(OR(Dashboard!$B$5="All",Dashboard!$B$5=""),C392=Dashboard!$B$5),OR(OR(Dashboard!$K$5="All",Dashboard!$K$5=""),A392=Dashboard!$K$5),OR(OR(Dashboard!$N$5="All",Dashboard!$N$5=""),B392=Dashboard!$N$5),OR(OR(Dashboard!$Q$5="All",Dashboard!$Q$5=""),D392=Dashboard!$Q$5),OR(OR(Dashboard!$U$5="All",Dashboard!$U$5=""),E392=Dashboard!$U$5)),1,0))</f>
        <v>1</v>
      </c>
      <c r="O392" s="165">
        <f t="shared" si="54"/>
        <v>0</v>
      </c>
      <c r="AG392" s="178" t="str">
        <f>IF(E392="","",IFERROR(IF(INDEX('Item Purchases'!$AM$4:$AM$30,MATCH(E392,'Item Purchases'!$B$4:$B$30,0))="","Uncategorised",INDEX('Item Purchases'!$AM$4:$AM$30,MATCH(E392,'Item Purchases'!$B$4:$B$30,0))),"Uncategorised"))</f>
        <v>Beverages</v>
      </c>
      <c r="AH392" s="165">
        <f>IF(AND(E392&lt;&gt;"",L392=1),COUNTIFS($E$2:E392,E392,$L$2:L392,1),0)</f>
        <v>15</v>
      </c>
      <c r="AI392" s="165">
        <f t="shared" si="55"/>
        <v>0</v>
      </c>
      <c r="AJ392" s="165">
        <f t="shared" si="56"/>
        <v>0</v>
      </c>
    </row>
    <row r="393" spans="1:36" x14ac:dyDescent="0.25">
      <c r="A393" s="177">
        <f t="shared" si="50"/>
        <v>46286</v>
      </c>
      <c r="B393" s="178" t="str">
        <f t="shared" si="51"/>
        <v>Mon</v>
      </c>
      <c r="C393" s="178" t="str">
        <f>'Pantry Inventory'!$A$65</f>
        <v>Sep Week 3</v>
      </c>
      <c r="D393" s="178" t="str">
        <f>IF('Pantry Inventory'!A81="","",'Pantry Inventory'!A81)</f>
        <v>Nestle</v>
      </c>
      <c r="E393" s="178" t="str">
        <f>IF('Pantry Inventory'!B81="","",'Pantry Inventory'!B81)</f>
        <v>Nescafe Latte 240ml</v>
      </c>
      <c r="F393" s="178" t="str">
        <f>IF(E393="","",IFERROR(IF(INDEX('Item Purchases'!$S$4:$S$30,MATCH(E393,'Item Purchases'!$B$4:$B$30,0))="","Uncategorised",INDEX('Item Purchases'!$S$4:$S$30,MATCH(E393,'Item Purchases'!$B$4:$B$30,0))),"Uncategorised"))</f>
        <v>Coffee</v>
      </c>
      <c r="G393" s="178">
        <f>IF(E393="",0,'Pantry Inventory'!P81)</f>
        <v>0</v>
      </c>
      <c r="H393" s="178">
        <f>IF(E393="","",IF('Pantry Inventory'!Q81="","",'Pantry Inventory'!Q81))</f>
        <v>50</v>
      </c>
      <c r="I393" s="178">
        <f>IF(H393="","",'Pantry Inventory'!R81)</f>
        <v>3</v>
      </c>
      <c r="J393" s="179">
        <f>IF(E393="",0,IFERROR(INDEX('Item Purchases'!$Q$4:$Q$30,MATCH(E393,'Item Purchases'!$B$4:$B$30,0)),0))</f>
        <v>2.1875</v>
      </c>
      <c r="K393" s="180">
        <f t="shared" si="52"/>
        <v>6.5625</v>
      </c>
      <c r="L393" s="178">
        <f t="shared" si="53"/>
        <v>1</v>
      </c>
      <c r="M393" s="178">
        <f>IF(E393="",0,IF(AND(OR(OR(Dashboard!$E$5="All",Dashboard!$E$5=""),AG393=Dashboard!$E$5),OR(OR(Dashboard!$H$5="All",Dashboard!$H$5=""),F393=Dashboard!$H$5),OR(OR(Dashboard!$B$5="All",Dashboard!$B$5=""),C393=Dashboard!$B$5),OR(OR(Dashboard!$K$5="All",Dashboard!$K$5=""),A393=Dashboard!$K$5),OR(OR(Dashboard!$N$5="All",Dashboard!$N$5=""),B393=Dashboard!$N$5),OR(OR(Dashboard!$Q$5="All",Dashboard!$Q$5=""),D393=Dashboard!$Q$5),OR(OR(Dashboard!$U$5="All",Dashboard!$U$5=""),E393=Dashboard!$U$5)),1,0))</f>
        <v>1</v>
      </c>
      <c r="N393" s="178">
        <f>IF(E393="",0,IF(AND(OR(OR(Dashboard!$E$5="All",Dashboard!$E$5=""),AG393=Dashboard!$E$5),OR(OR(Dashboard!$B$5="All",Dashboard!$B$5=""),C393=Dashboard!$B$5),OR(OR(Dashboard!$K$5="All",Dashboard!$K$5=""),A393=Dashboard!$K$5),OR(OR(Dashboard!$N$5="All",Dashboard!$N$5=""),B393=Dashboard!$N$5),OR(OR(Dashboard!$Q$5="All",Dashboard!$Q$5=""),D393=Dashboard!$Q$5),OR(OR(Dashboard!$U$5="All",Dashboard!$U$5=""),E393=Dashboard!$U$5)),1,0))</f>
        <v>1</v>
      </c>
      <c r="O393" s="165">
        <f t="shared" si="54"/>
        <v>9</v>
      </c>
      <c r="AG393" s="178" t="str">
        <f>IF(E393="","",IFERROR(IF(INDEX('Item Purchases'!$AM$4:$AM$30,MATCH(E393,'Item Purchases'!$B$4:$B$30,0))="","Uncategorised",INDEX('Item Purchases'!$AM$4:$AM$30,MATCH(E393,'Item Purchases'!$B$4:$B$30,0))),"Uncategorised"))</f>
        <v>Beverages</v>
      </c>
      <c r="AH393" s="165">
        <f>IF(AND(E393&lt;&gt;"",L393=1),COUNTIFS($E$2:E393,E393,$L$2:L393,1),0)</f>
        <v>15</v>
      </c>
      <c r="AI393" s="165">
        <f t="shared" si="55"/>
        <v>3</v>
      </c>
      <c r="AJ393" s="165">
        <f t="shared" si="56"/>
        <v>1</v>
      </c>
    </row>
    <row r="394" spans="1:36" x14ac:dyDescent="0.25">
      <c r="A394" s="177">
        <f t="shared" si="50"/>
        <v>46286</v>
      </c>
      <c r="B394" s="178" t="str">
        <f t="shared" si="51"/>
        <v>Mon</v>
      </c>
      <c r="C394" s="178" t="str">
        <f>'Pantry Inventory'!$A$65</f>
        <v>Sep Week 3</v>
      </c>
      <c r="D394" s="178" t="str">
        <f>IF('Pantry Inventory'!A82="","",'Pantry Inventory'!A82)</f>
        <v>Nestle</v>
      </c>
      <c r="E394" s="178" t="str">
        <f>IF('Pantry Inventory'!B82="","",'Pantry Inventory'!B82)</f>
        <v>Nescafe original 240ml</v>
      </c>
      <c r="F394" s="178" t="str">
        <f>IF(E394="","",IFERROR(IF(INDEX('Item Purchases'!$S$4:$S$30,MATCH(E394,'Item Purchases'!$B$4:$B$30,0))="","Uncategorised",INDEX('Item Purchases'!$S$4:$S$30,MATCH(E394,'Item Purchases'!$B$4:$B$30,0))),"Uncategorised"))</f>
        <v>Coffee</v>
      </c>
      <c r="G394" s="178">
        <f>IF(E394="",0,'Pantry Inventory'!P82)</f>
        <v>0</v>
      </c>
      <c r="H394" s="178">
        <f>IF(E394="","",IF('Pantry Inventory'!Q82="","",'Pantry Inventory'!Q82))</f>
        <v>39</v>
      </c>
      <c r="I394" s="178">
        <f>IF(H394="","",'Pantry Inventory'!R82)</f>
        <v>1</v>
      </c>
      <c r="J394" s="179">
        <f>IF(E394="",0,IFERROR(INDEX('Item Purchases'!$Q$4:$Q$30,MATCH(E394,'Item Purchases'!$B$4:$B$30,0)),0))</f>
        <v>2.1875</v>
      </c>
      <c r="K394" s="180">
        <f t="shared" si="52"/>
        <v>2.1875</v>
      </c>
      <c r="L394" s="178">
        <f t="shared" si="53"/>
        <v>1</v>
      </c>
      <c r="M394" s="178">
        <f>IF(E394="",0,IF(AND(OR(OR(Dashboard!$E$5="All",Dashboard!$E$5=""),AG394=Dashboard!$E$5),OR(OR(Dashboard!$H$5="All",Dashboard!$H$5=""),F394=Dashboard!$H$5),OR(OR(Dashboard!$B$5="All",Dashboard!$B$5=""),C394=Dashboard!$B$5),OR(OR(Dashboard!$K$5="All",Dashboard!$K$5=""),A394=Dashboard!$K$5),OR(OR(Dashboard!$N$5="All",Dashboard!$N$5=""),B394=Dashboard!$N$5),OR(OR(Dashboard!$Q$5="All",Dashboard!$Q$5=""),D394=Dashboard!$Q$5),OR(OR(Dashboard!$U$5="All",Dashboard!$U$5=""),E394=Dashboard!$U$5)),1,0))</f>
        <v>1</v>
      </c>
      <c r="N394" s="178">
        <f>IF(E394="",0,IF(AND(OR(OR(Dashboard!$E$5="All",Dashboard!$E$5=""),AG394=Dashboard!$E$5),OR(OR(Dashboard!$B$5="All",Dashboard!$B$5=""),C394=Dashboard!$B$5),OR(OR(Dashboard!$K$5="All",Dashboard!$K$5=""),A394=Dashboard!$K$5),OR(OR(Dashboard!$N$5="All",Dashboard!$N$5=""),B394=Dashboard!$N$5),OR(OR(Dashboard!$Q$5="All",Dashboard!$Q$5=""),D394=Dashboard!$Q$5),OR(OR(Dashboard!$U$5="All",Dashboard!$U$5=""),E394=Dashboard!$U$5)),1,0))</f>
        <v>1</v>
      </c>
      <c r="O394" s="165">
        <f t="shared" si="54"/>
        <v>1</v>
      </c>
      <c r="AG394" s="178" t="str">
        <f>IF(E394="","",IFERROR(IF(INDEX('Item Purchases'!$AM$4:$AM$30,MATCH(E394,'Item Purchases'!$B$4:$B$30,0))="","Uncategorised",INDEX('Item Purchases'!$AM$4:$AM$30,MATCH(E394,'Item Purchases'!$B$4:$B$30,0))),"Uncategorised"))</f>
        <v>Beverages</v>
      </c>
      <c r="AH394" s="165">
        <f>IF(AND(E394&lt;&gt;"",L394=1),COUNTIFS($E$2:E394,E394,$L$2:L394,1),0)</f>
        <v>15</v>
      </c>
      <c r="AI394" s="165">
        <f t="shared" si="55"/>
        <v>1</v>
      </c>
      <c r="AJ394" s="165">
        <f t="shared" si="56"/>
        <v>1</v>
      </c>
    </row>
    <row r="395" spans="1:36" x14ac:dyDescent="0.25">
      <c r="A395" s="177">
        <f t="shared" si="50"/>
        <v>46286</v>
      </c>
      <c r="B395" s="178" t="str">
        <f t="shared" si="51"/>
        <v>Mon</v>
      </c>
      <c r="C395" s="178" t="str">
        <f>'Pantry Inventory'!$A$65</f>
        <v>Sep Week 3</v>
      </c>
      <c r="D395" s="178" t="str">
        <f>IF('Pantry Inventory'!A83="","",'Pantry Inventory'!A83)</f>
        <v>COWA</v>
      </c>
      <c r="E395" s="178" t="str">
        <f>IF('Pantry Inventory'!B83="","",'Pantry Inventory'!B83)</f>
        <v>COWA Coconut Water 330 ml</v>
      </c>
      <c r="F395" s="178" t="str">
        <f>IF(E395="","",IFERROR(IF(INDEX('Item Purchases'!$S$4:$S$30,MATCH(E395,'Item Purchases'!$B$4:$B$30,0))="","Uncategorised",INDEX('Item Purchases'!$S$4:$S$30,MATCH(E395,'Item Purchases'!$B$4:$B$30,0))),"Uncategorised"))</f>
        <v>Other</v>
      </c>
      <c r="G395" s="178">
        <f>IF(E395="",0,'Pantry Inventory'!P83)</f>
        <v>0</v>
      </c>
      <c r="H395" s="178">
        <f>IF(E395="","",IF('Pantry Inventory'!Q83="","",'Pantry Inventory'!Q83))</f>
        <v>39</v>
      </c>
      <c r="I395" s="178">
        <f>IF(H395="","",'Pantry Inventory'!R83)</f>
        <v>29</v>
      </c>
      <c r="J395" s="179">
        <f>IF(E395="",0,IFERROR(INDEX('Item Purchases'!$Q$4:$Q$30,MATCH(E395,'Item Purchases'!$B$4:$B$30,0)),0))</f>
        <v>3</v>
      </c>
      <c r="K395" s="180">
        <f t="shared" si="52"/>
        <v>87</v>
      </c>
      <c r="L395" s="178">
        <f t="shared" si="53"/>
        <v>1</v>
      </c>
      <c r="M395" s="178">
        <f>IF(E395="",0,IF(AND(OR(OR(Dashboard!$E$5="All",Dashboard!$E$5=""),AG395=Dashboard!$E$5),OR(OR(Dashboard!$H$5="All",Dashboard!$H$5=""),F395=Dashboard!$H$5),OR(OR(Dashboard!$B$5="All",Dashboard!$B$5=""),C395=Dashboard!$B$5),OR(OR(Dashboard!$K$5="All",Dashboard!$K$5=""),A395=Dashboard!$K$5),OR(OR(Dashboard!$N$5="All",Dashboard!$N$5=""),B395=Dashboard!$N$5),OR(OR(Dashboard!$Q$5="All",Dashboard!$Q$5=""),D395=Dashboard!$Q$5),OR(OR(Dashboard!$U$5="All",Dashboard!$U$5=""),E395=Dashboard!$U$5)),1,0))</f>
        <v>1</v>
      </c>
      <c r="N395" s="178">
        <f>IF(E395="",0,IF(AND(OR(OR(Dashboard!$E$5="All",Dashboard!$E$5=""),AG395=Dashboard!$E$5),OR(OR(Dashboard!$B$5="All",Dashboard!$B$5=""),C395=Dashboard!$B$5),OR(OR(Dashboard!$K$5="All",Dashboard!$K$5=""),A395=Dashboard!$K$5),OR(OR(Dashboard!$N$5="All",Dashboard!$N$5=""),B395=Dashboard!$N$5),OR(OR(Dashboard!$Q$5="All",Dashboard!$Q$5=""),D395=Dashboard!$Q$5),OR(OR(Dashboard!$U$5="All",Dashboard!$U$5=""),E395=Dashboard!$U$5)),1,0))</f>
        <v>1</v>
      </c>
      <c r="O395" s="165">
        <f t="shared" si="54"/>
        <v>841</v>
      </c>
      <c r="AG395" s="178" t="str">
        <f>IF(E395="","",IFERROR(IF(INDEX('Item Purchases'!$AM$4:$AM$30,MATCH(E395,'Item Purchases'!$B$4:$B$30,0))="","Uncategorised",INDEX('Item Purchases'!$AM$4:$AM$30,MATCH(E395,'Item Purchases'!$B$4:$B$30,0))),"Uncategorised"))</f>
        <v>Beverages</v>
      </c>
      <c r="AH395" s="165">
        <f>IF(AND(E395&lt;&gt;"",L395=1),COUNTIFS($E$2:E395,E395,$L$2:L395,1),0)</f>
        <v>15</v>
      </c>
      <c r="AI395" s="165">
        <f t="shared" si="55"/>
        <v>29</v>
      </c>
      <c r="AJ395" s="165">
        <f t="shared" si="56"/>
        <v>1</v>
      </c>
    </row>
    <row r="396" spans="1:36" x14ac:dyDescent="0.25">
      <c r="A396" s="177">
        <f t="shared" si="50"/>
        <v>46286</v>
      </c>
      <c r="B396" s="178" t="str">
        <f t="shared" si="51"/>
        <v>Mon</v>
      </c>
      <c r="C396" s="178" t="str">
        <f>'Pantry Inventory'!$A$65</f>
        <v>Sep Week 3</v>
      </c>
      <c r="D396" s="178" t="str">
        <f>IF('Pantry Inventory'!A84="","",'Pantry Inventory'!A84)</f>
        <v>Coca Cola</v>
      </c>
      <c r="E396" s="178" t="str">
        <f>IF('Pantry Inventory'!B84="","",'Pantry Inventory'!B84)</f>
        <v>COKE ZERO  325ML</v>
      </c>
      <c r="F396" s="178" t="str">
        <f>IF(E396="","",IFERROR(IF(INDEX('Item Purchases'!$S$4:$S$30,MATCH(E396,'Item Purchases'!$B$4:$B$30,0))="","Uncategorised",INDEX('Item Purchases'!$S$4:$S$30,MATCH(E396,'Item Purchases'!$B$4:$B$30,0))),"Uncategorised"))</f>
        <v>Other</v>
      </c>
      <c r="G396" s="178">
        <f>IF(E396="",0,'Pantry Inventory'!P84)</f>
        <v>24</v>
      </c>
      <c r="H396" s="178">
        <f>IF(E396="","",IF('Pantry Inventory'!Q84="","",'Pantry Inventory'!Q84))</f>
        <v>49</v>
      </c>
      <c r="I396" s="178">
        <f>IF(H396="","",'Pantry Inventory'!R84)</f>
        <v>8</v>
      </c>
      <c r="J396" s="179">
        <f>IF(E396="",0,IFERROR(INDEX('Item Purchases'!$Q$4:$Q$30,MATCH(E396,'Item Purchases'!$B$4:$B$30,0)),0))</f>
        <v>1.83</v>
      </c>
      <c r="K396" s="180">
        <f t="shared" si="52"/>
        <v>14.64</v>
      </c>
      <c r="L396" s="178">
        <f t="shared" si="53"/>
        <v>1</v>
      </c>
      <c r="M396" s="178">
        <f>IF(E396="",0,IF(AND(OR(OR(Dashboard!$E$5="All",Dashboard!$E$5=""),AG396=Dashboard!$E$5),OR(OR(Dashboard!$H$5="All",Dashboard!$H$5=""),F396=Dashboard!$H$5),OR(OR(Dashboard!$B$5="All",Dashboard!$B$5=""),C396=Dashboard!$B$5),OR(OR(Dashboard!$K$5="All",Dashboard!$K$5=""),A396=Dashboard!$K$5),OR(OR(Dashboard!$N$5="All",Dashboard!$N$5=""),B396=Dashboard!$N$5),OR(OR(Dashboard!$Q$5="All",Dashboard!$Q$5=""),D396=Dashboard!$Q$5),OR(OR(Dashboard!$U$5="All",Dashboard!$U$5=""),E396=Dashboard!$U$5)),1,0))</f>
        <v>1</v>
      </c>
      <c r="N396" s="178">
        <f>IF(E396="",0,IF(AND(OR(OR(Dashboard!$E$5="All",Dashboard!$E$5=""),AG396=Dashboard!$E$5),OR(OR(Dashboard!$B$5="All",Dashboard!$B$5=""),C396=Dashboard!$B$5),OR(OR(Dashboard!$K$5="All",Dashboard!$K$5=""),A396=Dashboard!$K$5),OR(OR(Dashboard!$N$5="All",Dashboard!$N$5=""),B396=Dashboard!$N$5),OR(OR(Dashboard!$Q$5="All",Dashboard!$Q$5=""),D396=Dashboard!$Q$5),OR(OR(Dashboard!$U$5="All",Dashboard!$U$5=""),E396=Dashboard!$U$5)),1,0))</f>
        <v>1</v>
      </c>
      <c r="O396" s="165">
        <f t="shared" si="54"/>
        <v>64</v>
      </c>
      <c r="AG396" s="178" t="str">
        <f>IF(E396="","",IFERROR(IF(INDEX('Item Purchases'!$AM$4:$AM$30,MATCH(E396,'Item Purchases'!$B$4:$B$30,0))="","Uncategorised",INDEX('Item Purchases'!$AM$4:$AM$30,MATCH(E396,'Item Purchases'!$B$4:$B$30,0))),"Uncategorised"))</f>
        <v>Beverages</v>
      </c>
      <c r="AH396" s="165">
        <f>IF(AND(E396&lt;&gt;"",L396=1),COUNTIFS($E$2:E396,E396,$L$2:L396,1),0)</f>
        <v>15</v>
      </c>
      <c r="AI396" s="165">
        <f t="shared" si="55"/>
        <v>8</v>
      </c>
      <c r="AJ396" s="165">
        <f t="shared" si="56"/>
        <v>1</v>
      </c>
    </row>
    <row r="397" spans="1:36" x14ac:dyDescent="0.25">
      <c r="A397" s="177">
        <f t="shared" si="50"/>
        <v>46286</v>
      </c>
      <c r="B397" s="178" t="str">
        <f t="shared" si="51"/>
        <v>Mon</v>
      </c>
      <c r="C397" s="178" t="str">
        <f>'Pantry Inventory'!$A$65</f>
        <v>Sep Week 3</v>
      </c>
      <c r="D397" s="178" t="str">
        <f>IF('Pantry Inventory'!A85="","",'Pantry Inventory'!A85)</f>
        <v>Coca Cola</v>
      </c>
      <c r="E397" s="178" t="str">
        <f>IF('Pantry Inventory'!B85="","",'Pantry Inventory'!B85)</f>
        <v>Ayataka Tea 300ml</v>
      </c>
      <c r="F397" s="178" t="str">
        <f>IF(E397="","",IFERROR(IF(INDEX('Item Purchases'!$S$4:$S$30,MATCH(E397,'Item Purchases'!$B$4:$B$30,0))="","Uncategorised",INDEX('Item Purchases'!$S$4:$S$30,MATCH(E397,'Item Purchases'!$B$4:$B$30,0))),"Uncategorised"))</f>
        <v>Tea</v>
      </c>
      <c r="G397" s="178">
        <f>IF(E397="",0,'Pantry Inventory'!P85)</f>
        <v>36</v>
      </c>
      <c r="H397" s="178">
        <f>IF(E397="","",IF('Pantry Inventory'!Q85="","",'Pantry Inventory'!Q85))</f>
        <v>36</v>
      </c>
      <c r="I397" s="178">
        <f>IF(H397="","",'Pantry Inventory'!R85)</f>
        <v>0</v>
      </c>
      <c r="J397" s="179">
        <f>IF(E397="",0,IFERROR(INDEX('Item Purchases'!$Q$4:$Q$30,MATCH(E397,'Item Purchases'!$B$4:$B$30,0)),0))</f>
        <v>1.75</v>
      </c>
      <c r="K397" s="180">
        <f t="shared" si="52"/>
        <v>0</v>
      </c>
      <c r="L397" s="178">
        <f t="shared" si="53"/>
        <v>1</v>
      </c>
      <c r="M397" s="178">
        <f>IF(E397="",0,IF(AND(OR(OR(Dashboard!$E$5="All",Dashboard!$E$5=""),AG397=Dashboard!$E$5),OR(OR(Dashboard!$H$5="All",Dashboard!$H$5=""),F397=Dashboard!$H$5),OR(OR(Dashboard!$B$5="All",Dashboard!$B$5=""),C397=Dashboard!$B$5),OR(OR(Dashboard!$K$5="All",Dashboard!$K$5=""),A397=Dashboard!$K$5),OR(OR(Dashboard!$N$5="All",Dashboard!$N$5=""),B397=Dashboard!$N$5),OR(OR(Dashboard!$Q$5="All",Dashboard!$Q$5=""),D397=Dashboard!$Q$5),OR(OR(Dashboard!$U$5="All",Dashboard!$U$5=""),E397=Dashboard!$U$5)),1,0))</f>
        <v>1</v>
      </c>
      <c r="N397" s="178">
        <f>IF(E397="",0,IF(AND(OR(OR(Dashboard!$E$5="All",Dashboard!$E$5=""),AG397=Dashboard!$E$5),OR(OR(Dashboard!$B$5="All",Dashboard!$B$5=""),C397=Dashboard!$B$5),OR(OR(Dashboard!$K$5="All",Dashboard!$K$5=""),A397=Dashboard!$K$5),OR(OR(Dashboard!$N$5="All",Dashboard!$N$5=""),B397=Dashboard!$N$5),OR(OR(Dashboard!$Q$5="All",Dashboard!$Q$5=""),D397=Dashboard!$Q$5),OR(OR(Dashboard!$U$5="All",Dashboard!$U$5=""),E397=Dashboard!$U$5)),1,0))</f>
        <v>1</v>
      </c>
      <c r="O397" s="165">
        <f t="shared" si="54"/>
        <v>0</v>
      </c>
      <c r="AG397" s="178" t="str">
        <f>IF(E397="","",IFERROR(IF(INDEX('Item Purchases'!$AM$4:$AM$30,MATCH(E397,'Item Purchases'!$B$4:$B$30,0))="","Uncategorised",INDEX('Item Purchases'!$AM$4:$AM$30,MATCH(E397,'Item Purchases'!$B$4:$B$30,0))),"Uncategorised"))</f>
        <v>Beverages</v>
      </c>
      <c r="AH397" s="165">
        <f>IF(AND(E397&lt;&gt;"",L397=1),COUNTIFS($E$2:E397,E397,$L$2:L397,1),0)</f>
        <v>15</v>
      </c>
      <c r="AI397" s="165">
        <f t="shared" si="55"/>
        <v>0</v>
      </c>
      <c r="AJ397" s="165">
        <f t="shared" si="56"/>
        <v>1</v>
      </c>
    </row>
    <row r="398" spans="1:36" x14ac:dyDescent="0.25">
      <c r="A398" s="177">
        <f t="shared" si="50"/>
        <v>46286</v>
      </c>
      <c r="B398" s="178" t="str">
        <f t="shared" si="51"/>
        <v>Mon</v>
      </c>
      <c r="C398" s="178" t="str">
        <f>'Pantry Inventory'!$A$65</f>
        <v>Sep Week 3</v>
      </c>
      <c r="D398" s="178" t="str">
        <f>IF('Pantry Inventory'!A86="","",'Pantry Inventory'!A86)</f>
        <v>Coca Cola</v>
      </c>
      <c r="E398" s="178" t="str">
        <f>IF('Pantry Inventory'!B86="","",'Pantry Inventory'!B86)</f>
        <v>Oolong Tea 300ml</v>
      </c>
      <c r="F398" s="178" t="str">
        <f>IF(E398="","",IFERROR(IF(INDEX('Item Purchases'!$S$4:$S$30,MATCH(E398,'Item Purchases'!$B$4:$B$30,0))="","Uncategorised",INDEX('Item Purchases'!$S$4:$S$30,MATCH(E398,'Item Purchases'!$B$4:$B$30,0))),"Uncategorised"))</f>
        <v>Tea</v>
      </c>
      <c r="G398" s="178">
        <f>IF(E398="",0,'Pantry Inventory'!P86)</f>
        <v>36</v>
      </c>
      <c r="H398" s="178">
        <f>IF(E398="","",IF('Pantry Inventory'!Q86="","",'Pantry Inventory'!Q86))</f>
        <v>36</v>
      </c>
      <c r="I398" s="178">
        <f>IF(H398="","",'Pantry Inventory'!R86)</f>
        <v>0</v>
      </c>
      <c r="J398" s="179">
        <f>IF(E398="",0,IFERROR(INDEX('Item Purchases'!$Q$4:$Q$30,MATCH(E398,'Item Purchases'!$B$4:$B$30,0)),0))</f>
        <v>1.75</v>
      </c>
      <c r="K398" s="180">
        <f t="shared" si="52"/>
        <v>0</v>
      </c>
      <c r="L398" s="178">
        <f t="shared" si="53"/>
        <v>1</v>
      </c>
      <c r="M398" s="178">
        <f>IF(E398="",0,IF(AND(OR(OR(Dashboard!$E$5="All",Dashboard!$E$5=""),AG398=Dashboard!$E$5),OR(OR(Dashboard!$H$5="All",Dashboard!$H$5=""),F398=Dashboard!$H$5),OR(OR(Dashboard!$B$5="All",Dashboard!$B$5=""),C398=Dashboard!$B$5),OR(OR(Dashboard!$K$5="All",Dashboard!$K$5=""),A398=Dashboard!$K$5),OR(OR(Dashboard!$N$5="All",Dashboard!$N$5=""),B398=Dashboard!$N$5),OR(OR(Dashboard!$Q$5="All",Dashboard!$Q$5=""),D398=Dashboard!$Q$5),OR(OR(Dashboard!$U$5="All",Dashboard!$U$5=""),E398=Dashboard!$U$5)),1,0))</f>
        <v>1</v>
      </c>
      <c r="N398" s="178">
        <f>IF(E398="",0,IF(AND(OR(OR(Dashboard!$E$5="All",Dashboard!$E$5=""),AG398=Dashboard!$E$5),OR(OR(Dashboard!$B$5="All",Dashboard!$B$5=""),C398=Dashboard!$B$5),OR(OR(Dashboard!$K$5="All",Dashboard!$K$5=""),A398=Dashboard!$K$5),OR(OR(Dashboard!$N$5="All",Dashboard!$N$5=""),B398=Dashboard!$N$5),OR(OR(Dashboard!$Q$5="All",Dashboard!$Q$5=""),D398=Dashboard!$Q$5),OR(OR(Dashboard!$U$5="All",Dashboard!$U$5=""),E398=Dashboard!$U$5)),1,0))</f>
        <v>1</v>
      </c>
      <c r="O398" s="165">
        <f t="shared" si="54"/>
        <v>0</v>
      </c>
      <c r="AG398" s="178" t="str">
        <f>IF(E398="","",IFERROR(IF(INDEX('Item Purchases'!$AM$4:$AM$30,MATCH(E398,'Item Purchases'!$B$4:$B$30,0))="","Uncategorised",INDEX('Item Purchases'!$AM$4:$AM$30,MATCH(E398,'Item Purchases'!$B$4:$B$30,0))),"Uncategorised"))</f>
        <v>Beverages</v>
      </c>
      <c r="AH398" s="165">
        <f>IF(AND(E398&lt;&gt;"",L398=1),COUNTIFS($E$2:E398,E398,$L$2:L398,1),0)</f>
        <v>15</v>
      </c>
      <c r="AI398" s="165">
        <f t="shared" si="55"/>
        <v>0</v>
      </c>
      <c r="AJ398" s="165">
        <f t="shared" si="56"/>
        <v>1</v>
      </c>
    </row>
    <row r="399" spans="1:36" x14ac:dyDescent="0.25">
      <c r="A399" s="177">
        <f t="shared" si="50"/>
        <v>46286</v>
      </c>
      <c r="B399" s="178" t="str">
        <f t="shared" si="51"/>
        <v>Mon</v>
      </c>
      <c r="C399" s="178" t="str">
        <f>'Pantry Inventory'!$A$65</f>
        <v>Sep Week 3</v>
      </c>
      <c r="D399" s="178" t="str">
        <f>IF('Pantry Inventory'!A87="","",'Pantry Inventory'!A87)</f>
        <v>Vsoy</v>
      </c>
      <c r="E399" s="178" t="str">
        <f>IF('Pantry Inventory'!B87="","",'Pantry Inventory'!B87)</f>
        <v>Vsoy Soya Bean  250ml</v>
      </c>
      <c r="F399" s="178" t="str">
        <f>IF(E399="","",IFERROR(IF(INDEX('Item Purchases'!$S$4:$S$30,MATCH(E399,'Item Purchases'!$B$4:$B$30,0))="","Uncategorised",INDEX('Item Purchases'!$S$4:$S$30,MATCH(E399,'Item Purchases'!$B$4:$B$30,0))),"Uncategorised"))</f>
        <v>Other</v>
      </c>
      <c r="G399" s="178">
        <f>IF(E399="",0,'Pantry Inventory'!P87)</f>
        <v>48</v>
      </c>
      <c r="H399" s="178">
        <f>IF(E399="","",IF('Pantry Inventory'!Q87="","",'Pantry Inventory'!Q87))</f>
        <v>48</v>
      </c>
      <c r="I399" s="178">
        <f>IF(H399="","",'Pantry Inventory'!R87)</f>
        <v>0</v>
      </c>
      <c r="J399" s="179">
        <f>IF(E399="",0,IFERROR(INDEX('Item Purchases'!$Q$4:$Q$30,MATCH(E399,'Item Purchases'!$B$4:$B$30,0)),0))</f>
        <v>1.25</v>
      </c>
      <c r="K399" s="180">
        <f t="shared" si="52"/>
        <v>0</v>
      </c>
      <c r="L399" s="178">
        <f t="shared" si="53"/>
        <v>1</v>
      </c>
      <c r="M399" s="178">
        <f>IF(E399="",0,IF(AND(OR(OR(Dashboard!$E$5="All",Dashboard!$E$5=""),AG399=Dashboard!$E$5),OR(OR(Dashboard!$H$5="All",Dashboard!$H$5=""),F399=Dashboard!$H$5),OR(OR(Dashboard!$B$5="All",Dashboard!$B$5=""),C399=Dashboard!$B$5),OR(OR(Dashboard!$K$5="All",Dashboard!$K$5=""),A399=Dashboard!$K$5),OR(OR(Dashboard!$N$5="All",Dashboard!$N$5=""),B399=Dashboard!$N$5),OR(OR(Dashboard!$Q$5="All",Dashboard!$Q$5=""),D399=Dashboard!$Q$5),OR(OR(Dashboard!$U$5="All",Dashboard!$U$5=""),E399=Dashboard!$U$5)),1,0))</f>
        <v>1</v>
      </c>
      <c r="N399" s="178">
        <f>IF(E399="",0,IF(AND(OR(OR(Dashboard!$E$5="All",Dashboard!$E$5=""),AG399=Dashboard!$E$5),OR(OR(Dashboard!$B$5="All",Dashboard!$B$5=""),C399=Dashboard!$B$5),OR(OR(Dashboard!$K$5="All",Dashboard!$K$5=""),A399=Dashboard!$K$5),OR(OR(Dashboard!$N$5="All",Dashboard!$N$5=""),B399=Dashboard!$N$5),OR(OR(Dashboard!$Q$5="All",Dashboard!$Q$5=""),D399=Dashboard!$Q$5),OR(OR(Dashboard!$U$5="All",Dashboard!$U$5=""),E399=Dashboard!$U$5)),1,0))</f>
        <v>1</v>
      </c>
      <c r="O399" s="165">
        <f t="shared" si="54"/>
        <v>0</v>
      </c>
      <c r="AG399" s="178" t="str">
        <f>IF(E399="","",IFERROR(IF(INDEX('Item Purchases'!$AM$4:$AM$30,MATCH(E399,'Item Purchases'!$B$4:$B$30,0))="","Uncategorised",INDEX('Item Purchases'!$AM$4:$AM$30,MATCH(E399,'Item Purchases'!$B$4:$B$30,0))),"Uncategorised"))</f>
        <v>Beverages</v>
      </c>
      <c r="AH399" s="165">
        <f>IF(AND(E399&lt;&gt;"",L399=1),COUNTIFS($E$2:E399,E399,$L$2:L399,1),0)</f>
        <v>15</v>
      </c>
      <c r="AI399" s="165">
        <f t="shared" si="55"/>
        <v>0</v>
      </c>
      <c r="AJ399" s="165">
        <f t="shared" si="56"/>
        <v>1</v>
      </c>
    </row>
    <row r="400" spans="1:36" x14ac:dyDescent="0.25">
      <c r="A400" s="177">
        <f t="shared" si="50"/>
        <v>46286</v>
      </c>
      <c r="B400" s="178" t="str">
        <f t="shared" si="51"/>
        <v>Mon</v>
      </c>
      <c r="C400" s="178" t="str">
        <f>'Pantry Inventory'!$A$65</f>
        <v>Sep Week 3</v>
      </c>
      <c r="D400" s="178" t="str">
        <f>IF('Pantry Inventory'!A88="","",'Pantry Inventory'!A88)</f>
        <v>BingRae</v>
      </c>
      <c r="E400" s="178" t="str">
        <f>IF('Pantry Inventory'!B88="","",'Pantry Inventory'!B88)</f>
        <v>BingRae Banana Milk 200ml</v>
      </c>
      <c r="F400" s="178" t="str">
        <f>IF(E400="","",IFERROR(IF(INDEX('Item Purchases'!$S$4:$S$30,MATCH(E400,'Item Purchases'!$B$4:$B$30,0))="","Uncategorised",INDEX('Item Purchases'!$S$4:$S$30,MATCH(E400,'Item Purchases'!$B$4:$B$30,0))),"Uncategorised"))</f>
        <v>Other</v>
      </c>
      <c r="G400" s="178">
        <f>IF(E400="",0,'Pantry Inventory'!P88)</f>
        <v>0</v>
      </c>
      <c r="H400" s="178">
        <f>IF(E400="","",IF('Pantry Inventory'!Q88="","",'Pantry Inventory'!Q88))</f>
        <v>10</v>
      </c>
      <c r="I400" s="178">
        <f>IF(H400="","",'Pantry Inventory'!R88)</f>
        <v>10</v>
      </c>
      <c r="J400" s="179">
        <f>IF(E400="",0,IFERROR(INDEX('Item Purchases'!$Q$4:$Q$30,MATCH(E400,'Item Purchases'!$B$4:$B$30,0)),0))</f>
        <v>3.3159999999999998</v>
      </c>
      <c r="K400" s="180">
        <f t="shared" si="52"/>
        <v>33.159999999999997</v>
      </c>
      <c r="L400" s="178">
        <f t="shared" si="53"/>
        <v>1</v>
      </c>
      <c r="M400" s="178">
        <f>IF(E400="",0,IF(AND(OR(OR(Dashboard!$E$5="All",Dashboard!$E$5=""),AG400=Dashboard!$E$5),OR(OR(Dashboard!$H$5="All",Dashboard!$H$5=""),F400=Dashboard!$H$5),OR(OR(Dashboard!$B$5="All",Dashboard!$B$5=""),C400=Dashboard!$B$5),OR(OR(Dashboard!$K$5="All",Dashboard!$K$5=""),A400=Dashboard!$K$5),OR(OR(Dashboard!$N$5="All",Dashboard!$N$5=""),B400=Dashboard!$N$5),OR(OR(Dashboard!$Q$5="All",Dashboard!$Q$5=""),D400=Dashboard!$Q$5),OR(OR(Dashboard!$U$5="All",Dashboard!$U$5=""),E400=Dashboard!$U$5)),1,0))</f>
        <v>1</v>
      </c>
      <c r="N400" s="178">
        <f>IF(E400="",0,IF(AND(OR(OR(Dashboard!$E$5="All",Dashboard!$E$5=""),AG400=Dashboard!$E$5),OR(OR(Dashboard!$B$5="All",Dashboard!$B$5=""),C400=Dashboard!$B$5),OR(OR(Dashboard!$K$5="All",Dashboard!$K$5=""),A400=Dashboard!$K$5),OR(OR(Dashboard!$N$5="All",Dashboard!$N$5=""),B400=Dashboard!$N$5),OR(OR(Dashboard!$Q$5="All",Dashboard!$Q$5=""),D400=Dashboard!$Q$5),OR(OR(Dashboard!$U$5="All",Dashboard!$U$5=""),E400=Dashboard!$U$5)),1,0))</f>
        <v>1</v>
      </c>
      <c r="O400" s="165">
        <f t="shared" si="54"/>
        <v>100</v>
      </c>
      <c r="AG400" s="178" t="str">
        <f>IF(E400="","",IFERROR(IF(INDEX('Item Purchases'!$AM$4:$AM$30,MATCH(E400,'Item Purchases'!$B$4:$B$30,0))="","Uncategorised",INDEX('Item Purchases'!$AM$4:$AM$30,MATCH(E400,'Item Purchases'!$B$4:$B$30,0))),"Uncategorised"))</f>
        <v>Beverages</v>
      </c>
      <c r="AH400" s="165">
        <f>IF(AND(E400&lt;&gt;"",L400=1),COUNTIFS($E$2:E400,E400,$L$2:L400,1),0)</f>
        <v>15</v>
      </c>
      <c r="AI400" s="165">
        <f t="shared" si="55"/>
        <v>10</v>
      </c>
      <c r="AJ400" s="165">
        <f t="shared" si="56"/>
        <v>1</v>
      </c>
    </row>
    <row r="401" spans="1:36" x14ac:dyDescent="0.25">
      <c r="A401" s="177">
        <f t="shared" si="50"/>
        <v>46286</v>
      </c>
      <c r="B401" s="178" t="str">
        <f t="shared" si="51"/>
        <v>Mon</v>
      </c>
      <c r="C401" s="178" t="str">
        <f>'Pantry Inventory'!$A$65</f>
        <v>Sep Week 3</v>
      </c>
      <c r="D401" s="178" t="str">
        <f>IF('Pantry Inventory'!A89="","",'Pantry Inventory'!A89)</f>
        <v>Fuze Tea</v>
      </c>
      <c r="E401" s="178" t="str">
        <f>IF('Pantry Inventory'!B89="","",'Pantry Inventory'!B89)</f>
        <v>Fuze Tea by Heaven and Earth Jasmine Tea</v>
      </c>
      <c r="F401" s="178" t="str">
        <f>IF(E401="","",IFERROR(IF(INDEX('Item Purchases'!$S$4:$S$30,MATCH(E401,'Item Purchases'!$B$4:$B$30,0))="","Uncategorised",INDEX('Item Purchases'!$S$4:$S$30,MATCH(E401,'Item Purchases'!$B$4:$B$30,0))),"Uncategorised"))</f>
        <v>Tea</v>
      </c>
      <c r="G401" s="178">
        <f>IF(E401="",0,'Pantry Inventory'!P89)</f>
        <v>0</v>
      </c>
      <c r="H401" s="178">
        <f>IF(E401="","",IF('Pantry Inventory'!Q89="","",'Pantry Inventory'!Q89))</f>
        <v>0</v>
      </c>
      <c r="I401" s="178">
        <f>IF(H401="","",'Pantry Inventory'!R89)</f>
        <v>0</v>
      </c>
      <c r="J401" s="179">
        <f>IF(E401="",0,IFERROR(INDEX('Item Purchases'!$Q$4:$Q$30,MATCH(E401,'Item Purchases'!$B$4:$B$30,0)),0))</f>
        <v>1.167</v>
      </c>
      <c r="K401" s="180">
        <f t="shared" si="52"/>
        <v>0</v>
      </c>
      <c r="L401" s="178">
        <f t="shared" si="53"/>
        <v>1</v>
      </c>
      <c r="M401" s="178">
        <f>IF(E401="",0,IF(AND(OR(OR(Dashboard!$E$5="All",Dashboard!$E$5=""),AG401=Dashboard!$E$5),OR(OR(Dashboard!$H$5="All",Dashboard!$H$5=""),F401=Dashboard!$H$5),OR(OR(Dashboard!$B$5="All",Dashboard!$B$5=""),C401=Dashboard!$B$5),OR(OR(Dashboard!$K$5="All",Dashboard!$K$5=""),A401=Dashboard!$K$5),OR(OR(Dashboard!$N$5="All",Dashboard!$N$5=""),B401=Dashboard!$N$5),OR(OR(Dashboard!$Q$5="All",Dashboard!$Q$5=""),D401=Dashboard!$Q$5),OR(OR(Dashboard!$U$5="All",Dashboard!$U$5=""),E401=Dashboard!$U$5)),1,0))</f>
        <v>1</v>
      </c>
      <c r="N401" s="178">
        <f>IF(E401="",0,IF(AND(OR(OR(Dashboard!$E$5="All",Dashboard!$E$5=""),AG401=Dashboard!$E$5),OR(OR(Dashboard!$B$5="All",Dashboard!$B$5=""),C401=Dashboard!$B$5),OR(OR(Dashboard!$K$5="All",Dashboard!$K$5=""),A401=Dashboard!$K$5),OR(OR(Dashboard!$N$5="All",Dashboard!$N$5=""),B401=Dashboard!$N$5),OR(OR(Dashboard!$Q$5="All",Dashboard!$Q$5=""),D401=Dashboard!$Q$5),OR(OR(Dashboard!$U$5="All",Dashboard!$U$5=""),E401=Dashboard!$U$5)),1,0))</f>
        <v>1</v>
      </c>
      <c r="O401" s="165">
        <f t="shared" si="54"/>
        <v>0</v>
      </c>
      <c r="AG401" s="178" t="str">
        <f>IF(E401="","",IFERROR(IF(INDEX('Item Purchases'!$AM$4:$AM$30,MATCH(E401,'Item Purchases'!$B$4:$B$30,0))="","Uncategorised",INDEX('Item Purchases'!$AM$4:$AM$30,MATCH(E401,'Item Purchases'!$B$4:$B$30,0))),"Uncategorised"))</f>
        <v>Beverages</v>
      </c>
      <c r="AH401" s="165">
        <f>IF(AND(E401&lt;&gt;"",L401=1),COUNTIFS($E$2:E401,E401,$L$2:L401,1),0)</f>
        <v>15</v>
      </c>
      <c r="AI401" s="165">
        <f t="shared" si="55"/>
        <v>0</v>
      </c>
      <c r="AJ401" s="165">
        <f t="shared" si="56"/>
        <v>0</v>
      </c>
    </row>
    <row r="402" spans="1:36" x14ac:dyDescent="0.25">
      <c r="A402" s="177">
        <f t="shared" si="50"/>
        <v>46286</v>
      </c>
      <c r="B402" s="178" t="str">
        <f t="shared" si="51"/>
        <v>Mon</v>
      </c>
      <c r="C402" s="178" t="str">
        <f>'Pantry Inventory'!$A$65</f>
        <v>Sep Week 3</v>
      </c>
      <c r="D402" s="178" t="str">
        <f>IF('Pantry Inventory'!A90="","",'Pantry Inventory'!A90)</f>
        <v>F&amp;N</v>
      </c>
      <c r="E402" s="178" t="str">
        <f>IF('Pantry Inventory'!B90="","",'Pantry Inventory'!B90)</f>
        <v>FN 100 plus (original) 325ml</v>
      </c>
      <c r="F402" s="178" t="str">
        <f>IF(E402="","",IFERROR(IF(INDEX('Item Purchases'!$S$4:$S$30,MATCH(E402,'Item Purchases'!$B$4:$B$30,0))="","Uncategorised",INDEX('Item Purchases'!$S$4:$S$30,MATCH(E402,'Item Purchases'!$B$4:$B$30,0))),"Uncategorised"))</f>
        <v>Other</v>
      </c>
      <c r="G402" s="178">
        <f>IF(E402="",0,'Pantry Inventory'!P90)</f>
        <v>0</v>
      </c>
      <c r="H402" s="178">
        <f>IF(E402="","",IF('Pantry Inventory'!Q90="","",'Pantry Inventory'!Q90))</f>
        <v>27</v>
      </c>
      <c r="I402" s="178">
        <f>IF(H402="","",'Pantry Inventory'!R90)</f>
        <v>8</v>
      </c>
      <c r="J402" s="179">
        <f>IF(E402="",0,IFERROR(INDEX('Item Purchases'!$Q$4:$Q$30,MATCH(E402,'Item Purchases'!$B$4:$B$30,0)),0))</f>
        <v>1.58</v>
      </c>
      <c r="K402" s="180">
        <f t="shared" si="52"/>
        <v>12.64</v>
      </c>
      <c r="L402" s="178">
        <f t="shared" si="53"/>
        <v>1</v>
      </c>
      <c r="M402" s="178">
        <f>IF(E402="",0,IF(AND(OR(OR(Dashboard!$E$5="All",Dashboard!$E$5=""),AG402=Dashboard!$E$5),OR(OR(Dashboard!$H$5="All",Dashboard!$H$5=""),F402=Dashboard!$H$5),OR(OR(Dashboard!$B$5="All",Dashboard!$B$5=""),C402=Dashboard!$B$5),OR(OR(Dashboard!$K$5="All",Dashboard!$K$5=""),A402=Dashboard!$K$5),OR(OR(Dashboard!$N$5="All",Dashboard!$N$5=""),B402=Dashboard!$N$5),OR(OR(Dashboard!$Q$5="All",Dashboard!$Q$5=""),D402=Dashboard!$Q$5),OR(OR(Dashboard!$U$5="All",Dashboard!$U$5=""),E402=Dashboard!$U$5)),1,0))</f>
        <v>1</v>
      </c>
      <c r="N402" s="178">
        <f>IF(E402="",0,IF(AND(OR(OR(Dashboard!$E$5="All",Dashboard!$E$5=""),AG402=Dashboard!$E$5),OR(OR(Dashboard!$B$5="All",Dashboard!$B$5=""),C402=Dashboard!$B$5),OR(OR(Dashboard!$K$5="All",Dashboard!$K$5=""),A402=Dashboard!$K$5),OR(OR(Dashboard!$N$5="All",Dashboard!$N$5=""),B402=Dashboard!$N$5),OR(OR(Dashboard!$Q$5="All",Dashboard!$Q$5=""),D402=Dashboard!$Q$5),OR(OR(Dashboard!$U$5="All",Dashboard!$U$5=""),E402=Dashboard!$U$5)),1,0))</f>
        <v>1</v>
      </c>
      <c r="O402" s="165">
        <f t="shared" si="54"/>
        <v>64</v>
      </c>
      <c r="AG402" s="178" t="str">
        <f>IF(E402="","",IFERROR(IF(INDEX('Item Purchases'!$AM$4:$AM$30,MATCH(E402,'Item Purchases'!$B$4:$B$30,0))="","Uncategorised",INDEX('Item Purchases'!$AM$4:$AM$30,MATCH(E402,'Item Purchases'!$B$4:$B$30,0))),"Uncategorised"))</f>
        <v>Beverages</v>
      </c>
      <c r="AH402" s="165">
        <f>IF(AND(E402&lt;&gt;"",L402=1),COUNTIFS($E$2:E402,E402,$L$2:L402,1),0)</f>
        <v>15</v>
      </c>
      <c r="AI402" s="165">
        <f t="shared" si="55"/>
        <v>8</v>
      </c>
      <c r="AJ402" s="165">
        <f t="shared" si="56"/>
        <v>1</v>
      </c>
    </row>
    <row r="403" spans="1:36" x14ac:dyDescent="0.25">
      <c r="A403" s="177">
        <f t="shared" si="50"/>
        <v>46286</v>
      </c>
      <c r="B403" s="178" t="str">
        <f t="shared" si="51"/>
        <v>Mon</v>
      </c>
      <c r="C403" s="178" t="str">
        <f>'Pantry Inventory'!$A$65</f>
        <v>Sep Week 3</v>
      </c>
      <c r="D403" s="178" t="str">
        <f>IF('Pantry Inventory'!A91="","",'Pantry Inventory'!A91)</f>
        <v>Spritzer</v>
      </c>
      <c r="E403" s="178" t="str">
        <f>IF('Pantry Inventory'!B91="","",'Pantry Inventory'!B91)</f>
        <v>Spritzer sparkling water (original) 400ml</v>
      </c>
      <c r="F403" s="178" t="str">
        <f>IF(E403="","",IFERROR(IF(INDEX('Item Purchases'!$S$4:$S$30,MATCH(E403,'Item Purchases'!$B$4:$B$30,0))="","Uncategorised",INDEX('Item Purchases'!$S$4:$S$30,MATCH(E403,'Item Purchases'!$B$4:$B$30,0))),"Uncategorised"))</f>
        <v>Other</v>
      </c>
      <c r="G403" s="178">
        <f>IF(E403="",0,'Pantry Inventory'!P91)</f>
        <v>0</v>
      </c>
      <c r="H403" s="178">
        <f>IF(E403="","",IF('Pantry Inventory'!Q91="","",'Pantry Inventory'!Q91))</f>
        <v>6</v>
      </c>
      <c r="I403" s="178">
        <f>IF(H403="","",'Pantry Inventory'!R91)</f>
        <v>20</v>
      </c>
      <c r="J403" s="179">
        <f>IF(E403="",0,IFERROR(INDEX('Item Purchases'!$Q$4:$Q$30,MATCH(E403,'Item Purchases'!$B$4:$B$30,0)),0))</f>
        <v>1.616666666666666</v>
      </c>
      <c r="K403" s="180">
        <f t="shared" si="52"/>
        <v>32.333333333333321</v>
      </c>
      <c r="L403" s="178">
        <f t="shared" si="53"/>
        <v>1</v>
      </c>
      <c r="M403" s="178">
        <f>IF(E403="",0,IF(AND(OR(OR(Dashboard!$E$5="All",Dashboard!$E$5=""),AG403=Dashboard!$E$5),OR(OR(Dashboard!$H$5="All",Dashboard!$H$5=""),F403=Dashboard!$H$5),OR(OR(Dashboard!$B$5="All",Dashboard!$B$5=""),C403=Dashboard!$B$5),OR(OR(Dashboard!$K$5="All",Dashboard!$K$5=""),A403=Dashboard!$K$5),OR(OR(Dashboard!$N$5="All",Dashboard!$N$5=""),B403=Dashboard!$N$5),OR(OR(Dashboard!$Q$5="All",Dashboard!$Q$5=""),D403=Dashboard!$Q$5),OR(OR(Dashboard!$U$5="All",Dashboard!$U$5=""),E403=Dashboard!$U$5)),1,0))</f>
        <v>1</v>
      </c>
      <c r="N403" s="178">
        <f>IF(E403="",0,IF(AND(OR(OR(Dashboard!$E$5="All",Dashboard!$E$5=""),AG403=Dashboard!$E$5),OR(OR(Dashboard!$B$5="All",Dashboard!$B$5=""),C403=Dashboard!$B$5),OR(OR(Dashboard!$K$5="All",Dashboard!$K$5=""),A403=Dashboard!$K$5),OR(OR(Dashboard!$N$5="All",Dashboard!$N$5=""),B403=Dashboard!$N$5),OR(OR(Dashboard!$Q$5="All",Dashboard!$Q$5=""),D403=Dashboard!$Q$5),OR(OR(Dashboard!$U$5="All",Dashboard!$U$5=""),E403=Dashboard!$U$5)),1,0))</f>
        <v>1</v>
      </c>
      <c r="O403" s="165">
        <f t="shared" si="54"/>
        <v>400</v>
      </c>
      <c r="AG403" s="178" t="str">
        <f>IF(E403="","",IFERROR(IF(INDEX('Item Purchases'!$AM$4:$AM$30,MATCH(E403,'Item Purchases'!$B$4:$B$30,0))="","Uncategorised",INDEX('Item Purchases'!$AM$4:$AM$30,MATCH(E403,'Item Purchases'!$B$4:$B$30,0))),"Uncategorised"))</f>
        <v>Beverages</v>
      </c>
      <c r="AH403" s="165">
        <f>IF(AND(E403&lt;&gt;"",L403=1),COUNTIFS($E$2:E403,E403,$L$2:L403,1),0)</f>
        <v>15</v>
      </c>
      <c r="AI403" s="165">
        <f t="shared" si="55"/>
        <v>20</v>
      </c>
      <c r="AJ403" s="165">
        <f t="shared" si="56"/>
        <v>1</v>
      </c>
    </row>
    <row r="404" spans="1:36" x14ac:dyDescent="0.25">
      <c r="A404" s="177">
        <f t="shared" si="50"/>
        <v>46286</v>
      </c>
      <c r="B404" s="178" t="str">
        <f t="shared" si="51"/>
        <v>Mon</v>
      </c>
      <c r="C404" s="178" t="str">
        <f>'Pantry Inventory'!$A$65</f>
        <v>Sep Week 3</v>
      </c>
      <c r="D404" s="178" t="str">
        <f>IF('Pantry Inventory'!A92="","",'Pantry Inventory'!A92)</f>
        <v>Oat Side</v>
      </c>
      <c r="E404" s="178" t="str">
        <f>IF('Pantry Inventory'!B92="","",'Pantry Inventory'!B92)</f>
        <v>Oat Side Original 200ml</v>
      </c>
      <c r="F404" s="178" t="str">
        <f>IF(E404="","",IFERROR(IF(INDEX('Item Purchases'!$S$4:$S$30,MATCH(E404,'Item Purchases'!$B$4:$B$30,0))="","Uncategorised",INDEX('Item Purchases'!$S$4:$S$30,MATCH(E404,'Item Purchases'!$B$4:$B$30,0))),"Uncategorised"))</f>
        <v>Other</v>
      </c>
      <c r="G404" s="178">
        <f>IF(E404="",0,'Pantry Inventory'!P92)</f>
        <v>0</v>
      </c>
      <c r="H404" s="178">
        <f>IF(E404="","",IF('Pantry Inventory'!Q92="","",'Pantry Inventory'!Q92))</f>
        <v>33</v>
      </c>
      <c r="I404" s="178">
        <f>IF(H404="","",'Pantry Inventory'!R92)</f>
        <v>13</v>
      </c>
      <c r="J404" s="179">
        <f>IF(E404="",0,IFERROR(INDEX('Item Purchases'!$Q$4:$Q$30,MATCH(E404,'Item Purchases'!$B$4:$B$30,0)),0))</f>
        <v>3</v>
      </c>
      <c r="K404" s="180">
        <f t="shared" si="52"/>
        <v>39</v>
      </c>
      <c r="L404" s="178">
        <f t="shared" si="53"/>
        <v>1</v>
      </c>
      <c r="M404" s="178">
        <f>IF(E404="",0,IF(AND(OR(OR(Dashboard!$E$5="All",Dashboard!$E$5=""),AG404=Dashboard!$E$5),OR(OR(Dashboard!$H$5="All",Dashboard!$H$5=""),F404=Dashboard!$H$5),OR(OR(Dashboard!$B$5="All",Dashboard!$B$5=""),C404=Dashboard!$B$5),OR(OR(Dashboard!$K$5="All",Dashboard!$K$5=""),A404=Dashboard!$K$5),OR(OR(Dashboard!$N$5="All",Dashboard!$N$5=""),B404=Dashboard!$N$5),OR(OR(Dashboard!$Q$5="All",Dashboard!$Q$5=""),D404=Dashboard!$Q$5),OR(OR(Dashboard!$U$5="All",Dashboard!$U$5=""),E404=Dashboard!$U$5)),1,0))</f>
        <v>1</v>
      </c>
      <c r="N404" s="178">
        <f>IF(E404="",0,IF(AND(OR(OR(Dashboard!$E$5="All",Dashboard!$E$5=""),AG404=Dashboard!$E$5),OR(OR(Dashboard!$B$5="All",Dashboard!$B$5=""),C404=Dashboard!$B$5),OR(OR(Dashboard!$K$5="All",Dashboard!$K$5=""),A404=Dashboard!$K$5),OR(OR(Dashboard!$N$5="All",Dashboard!$N$5=""),B404=Dashboard!$N$5),OR(OR(Dashboard!$Q$5="All",Dashboard!$Q$5=""),D404=Dashboard!$Q$5),OR(OR(Dashboard!$U$5="All",Dashboard!$U$5=""),E404=Dashboard!$U$5)),1,0))</f>
        <v>1</v>
      </c>
      <c r="O404" s="165">
        <f t="shared" si="54"/>
        <v>169</v>
      </c>
      <c r="AG404" s="178" t="str">
        <f>IF(E404="","",IFERROR(IF(INDEX('Item Purchases'!$AM$4:$AM$30,MATCH(E404,'Item Purchases'!$B$4:$B$30,0))="","Uncategorised",INDEX('Item Purchases'!$AM$4:$AM$30,MATCH(E404,'Item Purchases'!$B$4:$B$30,0))),"Uncategorised"))</f>
        <v>Beverages</v>
      </c>
      <c r="AH404" s="165">
        <f>IF(AND(E404&lt;&gt;"",L404=1),COUNTIFS($E$2:E404,E404,$L$2:L404,1),0)</f>
        <v>15</v>
      </c>
      <c r="AI404" s="165">
        <f t="shared" si="55"/>
        <v>13</v>
      </c>
      <c r="AJ404" s="165">
        <f t="shared" si="56"/>
        <v>1</v>
      </c>
    </row>
    <row r="405" spans="1:36" x14ac:dyDescent="0.25">
      <c r="A405" s="177">
        <f t="shared" si="50"/>
        <v>46286</v>
      </c>
      <c r="B405" s="178" t="str">
        <f t="shared" si="51"/>
        <v>Mon</v>
      </c>
      <c r="C405" s="178" t="str">
        <f>'Pantry Inventory'!$A$65</f>
        <v>Sep Week 3</v>
      </c>
      <c r="D405" s="178" t="str">
        <f>IF('Pantry Inventory'!A93="","",'Pantry Inventory'!A93)</f>
        <v>Oat Side</v>
      </c>
      <c r="E405" s="178" t="str">
        <f>IF('Pantry Inventory'!B93="","",'Pantry Inventory'!B93)</f>
        <v>Oat Side Chocolate 200ml</v>
      </c>
      <c r="F405" s="178" t="str">
        <f>IF(E405="","",IFERROR(IF(INDEX('Item Purchases'!$S$4:$S$30,MATCH(E405,'Item Purchases'!$B$4:$B$30,0))="","Uncategorised",INDEX('Item Purchases'!$S$4:$S$30,MATCH(E405,'Item Purchases'!$B$4:$B$30,0))),"Uncategorised"))</f>
        <v>Other</v>
      </c>
      <c r="G405" s="178">
        <f>IF(E405="",0,'Pantry Inventory'!P93)</f>
        <v>0</v>
      </c>
      <c r="H405" s="178">
        <f>IF(E405="","",IF('Pantry Inventory'!Q93="","",'Pantry Inventory'!Q93))</f>
        <v>48</v>
      </c>
      <c r="I405" s="178">
        <f>IF(H405="","",'Pantry Inventory'!R93)</f>
        <v>15</v>
      </c>
      <c r="J405" s="179">
        <f>IF(E405="",0,IFERROR(INDEX('Item Purchases'!$Q$4:$Q$30,MATCH(E405,'Item Purchases'!$B$4:$B$30,0)),0))</f>
        <v>3</v>
      </c>
      <c r="K405" s="180">
        <f t="shared" si="52"/>
        <v>45</v>
      </c>
      <c r="L405" s="178">
        <f t="shared" si="53"/>
        <v>1</v>
      </c>
      <c r="M405" s="178">
        <f>IF(E405="",0,IF(AND(OR(OR(Dashboard!$E$5="All",Dashboard!$E$5=""),AG405=Dashboard!$E$5),OR(OR(Dashboard!$H$5="All",Dashboard!$H$5=""),F405=Dashboard!$H$5),OR(OR(Dashboard!$B$5="All",Dashboard!$B$5=""),C405=Dashboard!$B$5),OR(OR(Dashboard!$K$5="All",Dashboard!$K$5=""),A405=Dashboard!$K$5),OR(OR(Dashboard!$N$5="All",Dashboard!$N$5=""),B405=Dashboard!$N$5),OR(OR(Dashboard!$Q$5="All",Dashboard!$Q$5=""),D405=Dashboard!$Q$5),OR(OR(Dashboard!$U$5="All",Dashboard!$U$5=""),E405=Dashboard!$U$5)),1,0))</f>
        <v>1</v>
      </c>
      <c r="N405" s="178">
        <f>IF(E405="",0,IF(AND(OR(OR(Dashboard!$E$5="All",Dashboard!$E$5=""),AG405=Dashboard!$E$5),OR(OR(Dashboard!$B$5="All",Dashboard!$B$5=""),C405=Dashboard!$B$5),OR(OR(Dashboard!$K$5="All",Dashboard!$K$5=""),A405=Dashboard!$K$5),OR(OR(Dashboard!$N$5="All",Dashboard!$N$5=""),B405=Dashboard!$N$5),OR(OR(Dashboard!$Q$5="All",Dashboard!$Q$5=""),D405=Dashboard!$Q$5),OR(OR(Dashboard!$U$5="All",Dashboard!$U$5=""),E405=Dashboard!$U$5)),1,0))</f>
        <v>1</v>
      </c>
      <c r="O405" s="165">
        <f t="shared" si="54"/>
        <v>225</v>
      </c>
      <c r="AG405" s="178" t="str">
        <f>IF(E405="","",IFERROR(IF(INDEX('Item Purchases'!$AM$4:$AM$30,MATCH(E405,'Item Purchases'!$B$4:$B$30,0))="","Uncategorised",INDEX('Item Purchases'!$AM$4:$AM$30,MATCH(E405,'Item Purchases'!$B$4:$B$30,0))),"Uncategorised"))</f>
        <v>Beverages</v>
      </c>
      <c r="AH405" s="165">
        <f>IF(AND(E405&lt;&gt;"",L405=1),COUNTIFS($E$2:E405,E405,$L$2:L405,1),0)</f>
        <v>15</v>
      </c>
      <c r="AI405" s="165">
        <f t="shared" si="55"/>
        <v>15</v>
      </c>
      <c r="AJ405" s="165">
        <f t="shared" si="56"/>
        <v>1</v>
      </c>
    </row>
    <row r="406" spans="1:36" x14ac:dyDescent="0.25">
      <c r="A406" s="177">
        <f t="shared" si="50"/>
        <v>46286</v>
      </c>
      <c r="B406" s="178" t="str">
        <f t="shared" si="51"/>
        <v>Mon</v>
      </c>
      <c r="C406" s="178" t="str">
        <f>'Pantry Inventory'!$A$65</f>
        <v>Sep Week 3</v>
      </c>
      <c r="D406" s="178" t="str">
        <f>IF('Pantry Inventory'!A94="","",'Pantry Inventory'!A94)</f>
        <v/>
      </c>
      <c r="E406" s="178" t="str">
        <f>IF('Pantry Inventory'!B94="","",'Pantry Inventory'!B94)</f>
        <v/>
      </c>
      <c r="F406" s="178" t="str">
        <f>IF(E406="","",IFERROR(IF(INDEX('Item Purchases'!$S$4:$S$30,MATCH(E406,'Item Purchases'!$B$4:$B$30,0))="","Uncategorised",INDEX('Item Purchases'!$S$4:$S$30,MATCH(E406,'Item Purchases'!$B$4:$B$30,0))),"Uncategorised"))</f>
        <v/>
      </c>
      <c r="G406" s="178">
        <f>IF(E406="",0,'Pantry Inventory'!P94)</f>
        <v>0</v>
      </c>
      <c r="H406" s="178" t="str">
        <f>IF(E406="","",IF('Pantry Inventory'!Q94="","",'Pantry Inventory'!Q94))</f>
        <v/>
      </c>
      <c r="I406" s="178" t="str">
        <f>IF(H406="","",'Pantry Inventory'!R94)</f>
        <v/>
      </c>
      <c r="J406" s="179">
        <f>IF(E406="",0,IFERROR(INDEX('Item Purchases'!$Q$4:$Q$30,MATCH(E406,'Item Purchases'!$B$4:$B$30,0)),0))</f>
        <v>0</v>
      </c>
      <c r="K406" s="180" t="str">
        <f t="shared" si="52"/>
        <v/>
      </c>
      <c r="L406" s="178">
        <f t="shared" si="53"/>
        <v>0</v>
      </c>
      <c r="M406" s="178">
        <f>IF(E406="",0,IF(AND(OR(OR(Dashboard!$E$5="All",Dashboard!$E$5=""),AG406=Dashboard!$E$5),OR(OR(Dashboard!$H$5="All",Dashboard!$H$5=""),F406=Dashboard!$H$5),OR(OR(Dashboard!$B$5="All",Dashboard!$B$5=""),C406=Dashboard!$B$5),OR(OR(Dashboard!$K$5="All",Dashboard!$K$5=""),A406=Dashboard!$K$5),OR(OR(Dashboard!$N$5="All",Dashboard!$N$5=""),B406=Dashboard!$N$5),OR(OR(Dashboard!$Q$5="All",Dashboard!$Q$5=""),D406=Dashboard!$Q$5),OR(OR(Dashboard!$U$5="All",Dashboard!$U$5=""),E406=Dashboard!$U$5)),1,0))</f>
        <v>0</v>
      </c>
      <c r="N406" s="178">
        <f>IF(E406="",0,IF(AND(OR(OR(Dashboard!$E$5="All",Dashboard!$E$5=""),AG406=Dashboard!$E$5),OR(OR(Dashboard!$B$5="All",Dashboard!$B$5=""),C406=Dashboard!$B$5),OR(OR(Dashboard!$K$5="All",Dashboard!$K$5=""),A406=Dashboard!$K$5),OR(OR(Dashboard!$N$5="All",Dashboard!$N$5=""),B406=Dashboard!$N$5),OR(OR(Dashboard!$Q$5="All",Dashboard!$Q$5=""),D406=Dashboard!$Q$5),OR(OR(Dashboard!$U$5="All",Dashboard!$U$5=""),E406=Dashboard!$U$5)),1,0))</f>
        <v>0</v>
      </c>
      <c r="O406" s="165">
        <f t="shared" si="54"/>
        <v>0</v>
      </c>
      <c r="AG406" s="178" t="str">
        <f>IF(E406="","",IFERROR(IF(INDEX('Item Purchases'!$AM$4:$AM$30,MATCH(E406,'Item Purchases'!$B$4:$B$30,0))="","Uncategorised",INDEX('Item Purchases'!$AM$4:$AM$30,MATCH(E406,'Item Purchases'!$B$4:$B$30,0))),"Uncategorised"))</f>
        <v/>
      </c>
      <c r="AH406" s="165">
        <f>IF(AND(E406&lt;&gt;"",L406=1),COUNTIFS($E$2:E406,E406,$L$2:L406,1),0)</f>
        <v>0</v>
      </c>
      <c r="AI406" s="165">
        <f t="shared" si="55"/>
        <v>0</v>
      </c>
      <c r="AJ406" s="165">
        <f t="shared" si="56"/>
        <v>0</v>
      </c>
    </row>
    <row r="407" spans="1:36" x14ac:dyDescent="0.25">
      <c r="A407" s="177">
        <f t="shared" ref="A407:A433" si="57">IF($Z$17="",0,$Z$17)</f>
        <v>46287</v>
      </c>
      <c r="B407" s="178" t="str">
        <f t="shared" si="51"/>
        <v>Tue</v>
      </c>
      <c r="C407" s="178" t="str">
        <f>'Pantry Inventory'!$A$98</f>
        <v>Sep Week 4</v>
      </c>
      <c r="D407" s="178" t="str">
        <f>IF('Pantry Inventory'!A101="","",'Pantry Inventory'!A101)</f>
        <v>Julie's</v>
      </c>
      <c r="E407" s="178" t="str">
        <f>IF('Pantry Inventory'!B101="","",'Pantry Inventory'!B101)</f>
        <v>Julie's Peanut Butter Sandwich 360g (12pkts x 30g)</v>
      </c>
      <c r="F407" s="178" t="str">
        <f>IF(E407="","",IFERROR(IF(INDEX('Item Purchases'!$S$4:$S$30,MATCH(E407,'Item Purchases'!$B$4:$B$30,0))="","Uncategorised",INDEX('Item Purchases'!$S$4:$S$30,MATCH(E407,'Item Purchases'!$B$4:$B$30,0))),"Uncategorised"))</f>
        <v>Sweet</v>
      </c>
      <c r="G407" s="178">
        <f>IF(E407="",0,'Pantry Inventory'!D101)</f>
        <v>0</v>
      </c>
      <c r="H407" s="178">
        <f>IF(E407="","",IF('Pantry Inventory'!E101="","",'Pantry Inventory'!E101))</f>
        <v>30</v>
      </c>
      <c r="I407" s="178">
        <f>IF(H407="","",'Pantry Inventory'!F101)</f>
        <v>11</v>
      </c>
      <c r="J407" s="179">
        <f>IF(E407="",0,IFERROR(INDEX('Item Purchases'!$Q$4:$Q$30,MATCH(E407,'Item Purchases'!$B$4:$B$30,0)),0))</f>
        <v>1.083</v>
      </c>
      <c r="K407" s="180">
        <f t="shared" si="52"/>
        <v>11.913</v>
      </c>
      <c r="L407" s="178">
        <f t="shared" si="53"/>
        <v>1</v>
      </c>
      <c r="M407" s="178">
        <f>IF(E407="",0,IF(AND(OR(OR(Dashboard!$E$5="All",Dashboard!$E$5=""),AG407=Dashboard!$E$5),OR(OR(Dashboard!$H$5="All",Dashboard!$H$5=""),F407=Dashboard!$H$5),OR(OR(Dashboard!$B$5="All",Dashboard!$B$5=""),C407=Dashboard!$B$5),OR(OR(Dashboard!$K$5="All",Dashboard!$K$5=""),A407=Dashboard!$K$5),OR(OR(Dashboard!$N$5="All",Dashboard!$N$5=""),B407=Dashboard!$N$5),OR(OR(Dashboard!$Q$5="All",Dashboard!$Q$5=""),D407=Dashboard!$Q$5),OR(OR(Dashboard!$U$5="All",Dashboard!$U$5=""),E407=Dashboard!$U$5)),1,0))</f>
        <v>1</v>
      </c>
      <c r="N407" s="178">
        <f>IF(E407="",0,IF(AND(OR(OR(Dashboard!$E$5="All",Dashboard!$E$5=""),AG407=Dashboard!$E$5),OR(OR(Dashboard!$B$5="All",Dashboard!$B$5=""),C407=Dashboard!$B$5),OR(OR(Dashboard!$K$5="All",Dashboard!$K$5=""),A407=Dashboard!$K$5),OR(OR(Dashboard!$N$5="All",Dashboard!$N$5=""),B407=Dashboard!$N$5),OR(OR(Dashboard!$Q$5="All",Dashboard!$Q$5=""),D407=Dashboard!$Q$5),OR(OR(Dashboard!$U$5="All",Dashboard!$U$5=""),E407=Dashboard!$U$5)),1,0))</f>
        <v>1</v>
      </c>
      <c r="O407" s="165">
        <f t="shared" si="54"/>
        <v>121</v>
      </c>
      <c r="AG407" s="178" t="str">
        <f>IF(E407="","",IFERROR(IF(INDEX('Item Purchases'!$AM$4:$AM$30,MATCH(E407,'Item Purchases'!$B$4:$B$30,0))="","Uncategorised",INDEX('Item Purchases'!$AM$4:$AM$30,MATCH(E407,'Item Purchases'!$B$4:$B$30,0))),"Uncategorised"))</f>
        <v>Snacks</v>
      </c>
      <c r="AH407" s="165">
        <f>IF(AND(E407&lt;&gt;"",L407=1),COUNTIFS($E$2:E407,E407,$L$2:L407,1),0)</f>
        <v>16</v>
      </c>
      <c r="AI407" s="165">
        <f t="shared" si="55"/>
        <v>11</v>
      </c>
      <c r="AJ407" s="165">
        <f t="shared" si="56"/>
        <v>1</v>
      </c>
    </row>
    <row r="408" spans="1:36" x14ac:dyDescent="0.25">
      <c r="A408" s="177">
        <f t="shared" si="57"/>
        <v>46287</v>
      </c>
      <c r="B408" s="178" t="str">
        <f t="shared" si="51"/>
        <v>Tue</v>
      </c>
      <c r="C408" s="178" t="str">
        <f>'Pantry Inventory'!$A$98</f>
        <v>Sep Week 4</v>
      </c>
      <c r="D408" s="178" t="str">
        <f>IF('Pantry Inventory'!A102="","",'Pantry Inventory'!A102)</f>
        <v>Julie's</v>
      </c>
      <c r="E408" s="178" t="str">
        <f>IF('Pantry Inventory'!B102="","",'Pantry Inventory'!B102)</f>
        <v>Julies Butter Waffles</v>
      </c>
      <c r="F408" s="178" t="str">
        <f>IF(E408="","",IFERROR(IF(INDEX('Item Purchases'!$S$4:$S$30,MATCH(E408,'Item Purchases'!$B$4:$B$30,0))="","Uncategorised",INDEX('Item Purchases'!$S$4:$S$30,MATCH(E408,'Item Purchases'!$B$4:$B$30,0))),"Uncategorised"))</f>
        <v>Sweet</v>
      </c>
      <c r="G408" s="178">
        <f>IF(E408="",0,'Pantry Inventory'!D102)</f>
        <v>0</v>
      </c>
      <c r="H408" s="178">
        <f>IF(E408="","",IF('Pantry Inventory'!E102="","",'Pantry Inventory'!E102))</f>
        <v>9</v>
      </c>
      <c r="I408" s="178">
        <f>IF(H408="","",'Pantry Inventory'!F102)</f>
        <v>1</v>
      </c>
      <c r="J408" s="179">
        <f>IF(E408="",0,IFERROR(INDEX('Item Purchases'!$Q$4:$Q$30,MATCH(E408,'Item Purchases'!$B$4:$B$30,0)),0))</f>
        <v>5.15</v>
      </c>
      <c r="K408" s="180">
        <f t="shared" si="52"/>
        <v>5.15</v>
      </c>
      <c r="L408" s="178">
        <f t="shared" si="53"/>
        <v>1</v>
      </c>
      <c r="M408" s="178">
        <f>IF(E408="",0,IF(AND(OR(OR(Dashboard!$E$5="All",Dashboard!$E$5=""),AG408=Dashboard!$E$5),OR(OR(Dashboard!$H$5="All",Dashboard!$H$5=""),F408=Dashboard!$H$5),OR(OR(Dashboard!$B$5="All",Dashboard!$B$5=""),C408=Dashboard!$B$5),OR(OR(Dashboard!$K$5="All",Dashboard!$K$5=""),A408=Dashboard!$K$5),OR(OR(Dashboard!$N$5="All",Dashboard!$N$5=""),B408=Dashboard!$N$5),OR(OR(Dashboard!$Q$5="All",Dashboard!$Q$5=""),D408=Dashboard!$Q$5),OR(OR(Dashboard!$U$5="All",Dashboard!$U$5=""),E408=Dashboard!$U$5)),1,0))</f>
        <v>1</v>
      </c>
      <c r="N408" s="178">
        <f>IF(E408="",0,IF(AND(OR(OR(Dashboard!$E$5="All",Dashboard!$E$5=""),AG408=Dashboard!$E$5),OR(OR(Dashboard!$B$5="All",Dashboard!$B$5=""),C408=Dashboard!$B$5),OR(OR(Dashboard!$K$5="All",Dashboard!$K$5=""),A408=Dashboard!$K$5),OR(OR(Dashboard!$N$5="All",Dashboard!$N$5=""),B408=Dashboard!$N$5),OR(OR(Dashboard!$Q$5="All",Dashboard!$Q$5=""),D408=Dashboard!$Q$5),OR(OR(Dashboard!$U$5="All",Dashboard!$U$5=""),E408=Dashboard!$U$5)),1,0))</f>
        <v>1</v>
      </c>
      <c r="O408" s="165">
        <f t="shared" si="54"/>
        <v>1</v>
      </c>
      <c r="AG408" s="178" t="str">
        <f>IF(E408="","",IFERROR(IF(INDEX('Item Purchases'!$AM$4:$AM$30,MATCH(E408,'Item Purchases'!$B$4:$B$30,0))="","Uncategorised",INDEX('Item Purchases'!$AM$4:$AM$30,MATCH(E408,'Item Purchases'!$B$4:$B$30,0))),"Uncategorised"))</f>
        <v>Snacks</v>
      </c>
      <c r="AH408" s="165">
        <f>IF(AND(E408&lt;&gt;"",L408=1),COUNTIFS($E$2:E408,E408,$L$2:L408,1),0)</f>
        <v>16</v>
      </c>
      <c r="AI408" s="165">
        <f t="shared" si="55"/>
        <v>1</v>
      </c>
      <c r="AJ408" s="165">
        <f t="shared" si="56"/>
        <v>1</v>
      </c>
    </row>
    <row r="409" spans="1:36" x14ac:dyDescent="0.25">
      <c r="A409" s="177">
        <f t="shared" si="57"/>
        <v>46287</v>
      </c>
      <c r="B409" s="178" t="str">
        <f t="shared" si="51"/>
        <v>Tue</v>
      </c>
      <c r="C409" s="178" t="str">
        <f>'Pantry Inventory'!$A$98</f>
        <v>Sep Week 4</v>
      </c>
      <c r="D409" s="178" t="str">
        <f>IF('Pantry Inventory'!A103="","",'Pantry Inventory'!A103)</f>
        <v>Julie's</v>
      </c>
      <c r="E409" s="178" t="str">
        <f>IF('Pantry Inventory'!B103="","",'Pantry Inventory'!B103)</f>
        <v>Julies Choco More Sandwich (44G)</v>
      </c>
      <c r="F409" s="178" t="str">
        <f>IF(E409="","",IFERROR(IF(INDEX('Item Purchases'!$S$4:$S$30,MATCH(E409,'Item Purchases'!$B$4:$B$30,0))="","Uncategorised",INDEX('Item Purchases'!$S$4:$S$30,MATCH(E409,'Item Purchases'!$B$4:$B$30,0))),"Uncategorised"))</f>
        <v>Sweet</v>
      </c>
      <c r="G409" s="178">
        <f>IF(E409="",0,'Pantry Inventory'!D103)</f>
        <v>0</v>
      </c>
      <c r="H409" s="178">
        <f>IF(E409="","",IF('Pantry Inventory'!E103="","",'Pantry Inventory'!E103))</f>
        <v>15</v>
      </c>
      <c r="I409" s="178">
        <f>IF(H409="","",'Pantry Inventory'!F103)</f>
        <v>17</v>
      </c>
      <c r="J409" s="179">
        <f>IF(E409="",0,IFERROR(INDEX('Item Purchases'!$Q$4:$Q$30,MATCH(E409,'Item Purchases'!$B$4:$B$30,0)),0))</f>
        <v>1.2</v>
      </c>
      <c r="K409" s="180">
        <f t="shared" si="52"/>
        <v>20.399999999999999</v>
      </c>
      <c r="L409" s="178">
        <f t="shared" si="53"/>
        <v>1</v>
      </c>
      <c r="M409" s="178">
        <f>IF(E409="",0,IF(AND(OR(OR(Dashboard!$E$5="All",Dashboard!$E$5=""),AG409=Dashboard!$E$5),OR(OR(Dashboard!$H$5="All",Dashboard!$H$5=""),F409=Dashboard!$H$5),OR(OR(Dashboard!$B$5="All",Dashboard!$B$5=""),C409=Dashboard!$B$5),OR(OR(Dashboard!$K$5="All",Dashboard!$K$5=""),A409=Dashboard!$K$5),OR(OR(Dashboard!$N$5="All",Dashboard!$N$5=""),B409=Dashboard!$N$5),OR(OR(Dashboard!$Q$5="All",Dashboard!$Q$5=""),D409=Dashboard!$Q$5),OR(OR(Dashboard!$U$5="All",Dashboard!$U$5=""),E409=Dashboard!$U$5)),1,0))</f>
        <v>1</v>
      </c>
      <c r="N409" s="178">
        <f>IF(E409="",0,IF(AND(OR(OR(Dashboard!$E$5="All",Dashboard!$E$5=""),AG409=Dashboard!$E$5),OR(OR(Dashboard!$B$5="All",Dashboard!$B$5=""),C409=Dashboard!$B$5),OR(OR(Dashboard!$K$5="All",Dashboard!$K$5=""),A409=Dashboard!$K$5),OR(OR(Dashboard!$N$5="All",Dashboard!$N$5=""),B409=Dashboard!$N$5),OR(OR(Dashboard!$Q$5="All",Dashboard!$Q$5=""),D409=Dashboard!$Q$5),OR(OR(Dashboard!$U$5="All",Dashboard!$U$5=""),E409=Dashboard!$U$5)),1,0))</f>
        <v>1</v>
      </c>
      <c r="O409" s="165">
        <f t="shared" si="54"/>
        <v>289</v>
      </c>
      <c r="AG409" s="178" t="str">
        <f>IF(E409="","",IFERROR(IF(INDEX('Item Purchases'!$AM$4:$AM$30,MATCH(E409,'Item Purchases'!$B$4:$B$30,0))="","Uncategorised",INDEX('Item Purchases'!$AM$4:$AM$30,MATCH(E409,'Item Purchases'!$B$4:$B$30,0))),"Uncategorised"))</f>
        <v>Snacks</v>
      </c>
      <c r="AH409" s="165">
        <f>IF(AND(E409&lt;&gt;"",L409=1),COUNTIFS($E$2:E409,E409,$L$2:L409,1),0)</f>
        <v>16</v>
      </c>
      <c r="AI409" s="165">
        <f t="shared" si="55"/>
        <v>17</v>
      </c>
      <c r="AJ409" s="165">
        <f t="shared" si="56"/>
        <v>1</v>
      </c>
    </row>
    <row r="410" spans="1:36" x14ac:dyDescent="0.25">
      <c r="A410" s="177">
        <f t="shared" si="57"/>
        <v>46287</v>
      </c>
      <c r="B410" s="178" t="str">
        <f t="shared" si="51"/>
        <v>Tue</v>
      </c>
      <c r="C410" s="178" t="str">
        <f>'Pantry Inventory'!$A$98</f>
        <v>Sep Week 4</v>
      </c>
      <c r="D410" s="178" t="str">
        <f>IF('Pantry Inventory'!A104="","",'Pantry Inventory'!A104)</f>
        <v>Julie's</v>
      </c>
      <c r="E410" s="178" t="str">
        <f>IF('Pantry Inventory'!B104="","",'Pantry Inventory'!B104)</f>
        <v>Julies Cheese Sandwich (28G)</v>
      </c>
      <c r="F410" s="178" t="str">
        <f>IF(E410="","",IFERROR(IF(INDEX('Item Purchases'!$S$4:$S$30,MATCH(E410,'Item Purchases'!$B$4:$B$30,0))="","Uncategorised",INDEX('Item Purchases'!$S$4:$S$30,MATCH(E410,'Item Purchases'!$B$4:$B$30,0))),"Uncategorised"))</f>
        <v>Savoury</v>
      </c>
      <c r="G410" s="178">
        <f>IF(E410="",0,'Pantry Inventory'!D104)</f>
        <v>0</v>
      </c>
      <c r="H410" s="178">
        <f>IF(E410="","",IF('Pantry Inventory'!E104="","",'Pantry Inventory'!E104))</f>
        <v>18</v>
      </c>
      <c r="I410" s="178">
        <f>IF(H410="","",'Pantry Inventory'!F104)</f>
        <v>4</v>
      </c>
      <c r="J410" s="179">
        <f>IF(E410="",0,IFERROR(INDEX('Item Purchases'!$Q$4:$Q$30,MATCH(E410,'Item Purchases'!$B$4:$B$30,0)),0))</f>
        <v>1.1000000000000001</v>
      </c>
      <c r="K410" s="180">
        <f t="shared" si="52"/>
        <v>4.4000000000000004</v>
      </c>
      <c r="L410" s="178">
        <f t="shared" si="53"/>
        <v>1</v>
      </c>
      <c r="M410" s="178">
        <f>IF(E410="",0,IF(AND(OR(OR(Dashboard!$E$5="All",Dashboard!$E$5=""),AG410=Dashboard!$E$5),OR(OR(Dashboard!$H$5="All",Dashboard!$H$5=""),F410=Dashboard!$H$5),OR(OR(Dashboard!$B$5="All",Dashboard!$B$5=""),C410=Dashboard!$B$5),OR(OR(Dashboard!$K$5="All",Dashboard!$K$5=""),A410=Dashboard!$K$5),OR(OR(Dashboard!$N$5="All",Dashboard!$N$5=""),B410=Dashboard!$N$5),OR(OR(Dashboard!$Q$5="All",Dashboard!$Q$5=""),D410=Dashboard!$Q$5),OR(OR(Dashboard!$U$5="All",Dashboard!$U$5=""),E410=Dashboard!$U$5)),1,0))</f>
        <v>1</v>
      </c>
      <c r="N410" s="178">
        <f>IF(E410="",0,IF(AND(OR(OR(Dashboard!$E$5="All",Dashboard!$E$5=""),AG410=Dashboard!$E$5),OR(OR(Dashboard!$B$5="All",Dashboard!$B$5=""),C410=Dashboard!$B$5),OR(OR(Dashboard!$K$5="All",Dashboard!$K$5=""),A410=Dashboard!$K$5),OR(OR(Dashboard!$N$5="All",Dashboard!$N$5=""),B410=Dashboard!$N$5),OR(OR(Dashboard!$Q$5="All",Dashboard!$Q$5=""),D410=Dashboard!$Q$5),OR(OR(Dashboard!$U$5="All",Dashboard!$U$5=""),E410=Dashboard!$U$5)),1,0))</f>
        <v>1</v>
      </c>
      <c r="O410" s="165">
        <f t="shared" si="54"/>
        <v>16</v>
      </c>
      <c r="AG410" s="178" t="str">
        <f>IF(E410="","",IFERROR(IF(INDEX('Item Purchases'!$AM$4:$AM$30,MATCH(E410,'Item Purchases'!$B$4:$B$30,0))="","Uncategorised",INDEX('Item Purchases'!$AM$4:$AM$30,MATCH(E410,'Item Purchases'!$B$4:$B$30,0))),"Uncategorised"))</f>
        <v>Snacks</v>
      </c>
      <c r="AH410" s="165">
        <f>IF(AND(E410&lt;&gt;"",L410=1),COUNTIFS($E$2:E410,E410,$L$2:L410,1),0)</f>
        <v>16</v>
      </c>
      <c r="AI410" s="165">
        <f t="shared" si="55"/>
        <v>4</v>
      </c>
      <c r="AJ410" s="165">
        <f t="shared" si="56"/>
        <v>1</v>
      </c>
    </row>
    <row r="411" spans="1:36" x14ac:dyDescent="0.25">
      <c r="A411" s="177">
        <f t="shared" si="57"/>
        <v>46287</v>
      </c>
      <c r="B411" s="178" t="str">
        <f t="shared" si="51"/>
        <v>Tue</v>
      </c>
      <c r="C411" s="178" t="str">
        <f>'Pantry Inventory'!$A$98</f>
        <v>Sep Week 4</v>
      </c>
      <c r="D411" s="178" t="str">
        <f>IF('Pantry Inventory'!A105="","",'Pantry Inventory'!A105)</f>
        <v>Nature Valley</v>
      </c>
      <c r="E411" s="178" t="str">
        <f>IF('Pantry Inventory'!B105="","",'Pantry Inventory'!B105)</f>
        <v>NV OATS &amp; DARK CHOC 42GX5</v>
      </c>
      <c r="F411" s="178" t="str">
        <f>IF(E411="","",IFERROR(IF(INDEX('Item Purchases'!$S$4:$S$30,MATCH(E411,'Item Purchases'!$B$4:$B$30,0))="","Uncategorised",INDEX('Item Purchases'!$S$4:$S$30,MATCH(E411,'Item Purchases'!$B$4:$B$30,0))),"Uncategorised"))</f>
        <v>Sweet</v>
      </c>
      <c r="G411" s="178">
        <f>IF(E411="",0,'Pantry Inventory'!D105)</f>
        <v>0</v>
      </c>
      <c r="H411" s="178">
        <f>IF(E411="","",IF('Pantry Inventory'!E105="","",'Pantry Inventory'!E105))</f>
        <v>0</v>
      </c>
      <c r="I411" s="178">
        <f>IF(H411="","",'Pantry Inventory'!F105)</f>
        <v>0</v>
      </c>
      <c r="J411" s="179">
        <f>IF(E411="",0,IFERROR(INDEX('Item Purchases'!$Q$4:$Q$30,MATCH(E411,'Item Purchases'!$B$4:$B$30,0)),0))</f>
        <v>2.78</v>
      </c>
      <c r="K411" s="180">
        <f t="shared" si="52"/>
        <v>0</v>
      </c>
      <c r="L411" s="178">
        <f t="shared" si="53"/>
        <v>1</v>
      </c>
      <c r="M411" s="178">
        <f>IF(E411="",0,IF(AND(OR(OR(Dashboard!$E$5="All",Dashboard!$E$5=""),AG411=Dashboard!$E$5),OR(OR(Dashboard!$H$5="All",Dashboard!$H$5=""),F411=Dashboard!$H$5),OR(OR(Dashboard!$B$5="All",Dashboard!$B$5=""),C411=Dashboard!$B$5),OR(OR(Dashboard!$K$5="All",Dashboard!$K$5=""),A411=Dashboard!$K$5),OR(OR(Dashboard!$N$5="All",Dashboard!$N$5=""),B411=Dashboard!$N$5),OR(OR(Dashboard!$Q$5="All",Dashboard!$Q$5=""),D411=Dashboard!$Q$5),OR(OR(Dashboard!$U$5="All",Dashboard!$U$5=""),E411=Dashboard!$U$5)),1,0))</f>
        <v>1</v>
      </c>
      <c r="N411" s="178">
        <f>IF(E411="",0,IF(AND(OR(OR(Dashboard!$E$5="All",Dashboard!$E$5=""),AG411=Dashboard!$E$5),OR(OR(Dashboard!$B$5="All",Dashboard!$B$5=""),C411=Dashboard!$B$5),OR(OR(Dashboard!$K$5="All",Dashboard!$K$5=""),A411=Dashboard!$K$5),OR(OR(Dashboard!$N$5="All",Dashboard!$N$5=""),B411=Dashboard!$N$5),OR(OR(Dashboard!$Q$5="All",Dashboard!$Q$5=""),D411=Dashboard!$Q$5),OR(OR(Dashboard!$U$5="All",Dashboard!$U$5=""),E411=Dashboard!$U$5)),1,0))</f>
        <v>1</v>
      </c>
      <c r="O411" s="165">
        <f t="shared" si="54"/>
        <v>0</v>
      </c>
      <c r="AG411" s="178" t="str">
        <f>IF(E411="","",IFERROR(IF(INDEX('Item Purchases'!$AM$4:$AM$30,MATCH(E411,'Item Purchases'!$B$4:$B$30,0))="","Uncategorised",INDEX('Item Purchases'!$AM$4:$AM$30,MATCH(E411,'Item Purchases'!$B$4:$B$30,0))),"Uncategorised"))</f>
        <v>Snacks</v>
      </c>
      <c r="AH411" s="165">
        <f>IF(AND(E411&lt;&gt;"",L411=1),COUNTIFS($E$2:E411,E411,$L$2:L411,1),0)</f>
        <v>16</v>
      </c>
      <c r="AI411" s="165">
        <f t="shared" si="55"/>
        <v>0</v>
      </c>
      <c r="AJ411" s="165">
        <f t="shared" si="56"/>
        <v>0</v>
      </c>
    </row>
    <row r="412" spans="1:36" x14ac:dyDescent="0.25">
      <c r="A412" s="177">
        <f t="shared" si="57"/>
        <v>46287</v>
      </c>
      <c r="B412" s="178" t="str">
        <f t="shared" si="51"/>
        <v>Tue</v>
      </c>
      <c r="C412" s="178" t="str">
        <f>'Pantry Inventory'!$A$98</f>
        <v>Sep Week 4</v>
      </c>
      <c r="D412" s="178" t="str">
        <f>IF('Pantry Inventory'!A106="","",'Pantry Inventory'!A106)</f>
        <v>Nature Valley</v>
      </c>
      <c r="E412" s="178" t="str">
        <f>IF('Pantry Inventory'!B106="","",'Pantry Inventory'!B106)</f>
        <v xml:space="preserve">NV PROTEIN - SALTED CARAMEL 40G </v>
      </c>
      <c r="F412" s="178" t="str">
        <f>IF(E412="","",IFERROR(IF(INDEX('Item Purchases'!$S$4:$S$30,MATCH(E412,'Item Purchases'!$B$4:$B$30,0))="","Uncategorised",INDEX('Item Purchases'!$S$4:$S$30,MATCH(E412,'Item Purchases'!$B$4:$B$30,0))),"Uncategorised"))</f>
        <v>Sweet</v>
      </c>
      <c r="G412" s="178">
        <f>IF(E412="",0,'Pantry Inventory'!D106)</f>
        <v>0</v>
      </c>
      <c r="H412" s="178">
        <f>IF(E412="","",IF('Pantry Inventory'!E106="","",'Pantry Inventory'!E106))</f>
        <v>0</v>
      </c>
      <c r="I412" s="178">
        <f>IF(H412="","",'Pantry Inventory'!F106)</f>
        <v>0</v>
      </c>
      <c r="J412" s="179">
        <f>IF(E412="",0,IFERROR(INDEX('Item Purchases'!$Q$4:$Q$30,MATCH(E412,'Item Purchases'!$B$4:$B$30,0)),0))</f>
        <v>4.9000000000000004</v>
      </c>
      <c r="K412" s="180">
        <f t="shared" si="52"/>
        <v>0</v>
      </c>
      <c r="L412" s="178">
        <f t="shared" si="53"/>
        <v>1</v>
      </c>
      <c r="M412" s="178">
        <f>IF(E412="",0,IF(AND(OR(OR(Dashboard!$E$5="All",Dashboard!$E$5=""),AG412=Dashboard!$E$5),OR(OR(Dashboard!$H$5="All",Dashboard!$H$5=""),F412=Dashboard!$H$5),OR(OR(Dashboard!$B$5="All",Dashboard!$B$5=""),C412=Dashboard!$B$5),OR(OR(Dashboard!$K$5="All",Dashboard!$K$5=""),A412=Dashboard!$K$5),OR(OR(Dashboard!$N$5="All",Dashboard!$N$5=""),B412=Dashboard!$N$5),OR(OR(Dashboard!$Q$5="All",Dashboard!$Q$5=""),D412=Dashboard!$Q$5),OR(OR(Dashboard!$U$5="All",Dashboard!$U$5=""),E412=Dashboard!$U$5)),1,0))</f>
        <v>1</v>
      </c>
      <c r="N412" s="178">
        <f>IF(E412="",0,IF(AND(OR(OR(Dashboard!$E$5="All",Dashboard!$E$5=""),AG412=Dashboard!$E$5),OR(OR(Dashboard!$B$5="All",Dashboard!$B$5=""),C412=Dashboard!$B$5),OR(OR(Dashboard!$K$5="All",Dashboard!$K$5=""),A412=Dashboard!$K$5),OR(OR(Dashboard!$N$5="All",Dashboard!$N$5=""),B412=Dashboard!$N$5),OR(OR(Dashboard!$Q$5="All",Dashboard!$Q$5=""),D412=Dashboard!$Q$5),OR(OR(Dashboard!$U$5="All",Dashboard!$U$5=""),E412=Dashboard!$U$5)),1,0))</f>
        <v>1</v>
      </c>
      <c r="O412" s="165">
        <f t="shared" si="54"/>
        <v>0</v>
      </c>
      <c r="AG412" s="178" t="str">
        <f>IF(E412="","",IFERROR(IF(INDEX('Item Purchases'!$AM$4:$AM$30,MATCH(E412,'Item Purchases'!$B$4:$B$30,0))="","Uncategorised",INDEX('Item Purchases'!$AM$4:$AM$30,MATCH(E412,'Item Purchases'!$B$4:$B$30,0))),"Uncategorised"))</f>
        <v>Snacks</v>
      </c>
      <c r="AH412" s="165">
        <f>IF(AND(E412&lt;&gt;"",L412=1),COUNTIFS($E$2:E412,E412,$L$2:L412,1),0)</f>
        <v>16</v>
      </c>
      <c r="AI412" s="165">
        <f t="shared" si="55"/>
        <v>0</v>
      </c>
      <c r="AJ412" s="165">
        <f t="shared" si="56"/>
        <v>0</v>
      </c>
    </row>
    <row r="413" spans="1:36" x14ac:dyDescent="0.25">
      <c r="A413" s="177">
        <f t="shared" si="57"/>
        <v>46287</v>
      </c>
      <c r="B413" s="178" t="str">
        <f t="shared" si="51"/>
        <v>Tue</v>
      </c>
      <c r="C413" s="178" t="str">
        <f>'Pantry Inventory'!$A$98</f>
        <v>Sep Week 4</v>
      </c>
      <c r="D413" s="178" t="str">
        <f>IF('Pantry Inventory'!A107="","",'Pantry Inventory'!A107)</f>
        <v>BBMG</v>
      </c>
      <c r="E413" s="178" t="str">
        <f>IF('Pantry Inventory'!B107="","",'Pantry Inventory'!B107)</f>
        <v>BBMG 90G</v>
      </c>
      <c r="F413" s="178" t="str">
        <f>IF(E413="","",IFERROR(IF(INDEX('Item Purchases'!$S$4:$S$30,MATCH(E413,'Item Purchases'!$B$4:$B$30,0))="","Uncategorised",INDEX('Item Purchases'!$S$4:$S$30,MATCH(E413,'Item Purchases'!$B$4:$B$30,0))),"Uncategorised"))</f>
        <v>Savoury</v>
      </c>
      <c r="G413" s="178">
        <f>IF(E413="",0,'Pantry Inventory'!D107)</f>
        <v>200</v>
      </c>
      <c r="H413" s="178">
        <f>IF(E413="","",IF('Pantry Inventory'!E107="","",'Pantry Inventory'!E107))</f>
        <v>200</v>
      </c>
      <c r="I413" s="178">
        <f>IF(H413="","",'Pantry Inventory'!F107)</f>
        <v>0</v>
      </c>
      <c r="J413" s="179">
        <f>IF(E413="",0,IFERROR(INDEX('Item Purchases'!$Q$4:$Q$30,MATCH(E413,'Item Purchases'!$B$4:$B$30,0)),0))</f>
        <v>0.34300000000000003</v>
      </c>
      <c r="K413" s="180">
        <f t="shared" si="52"/>
        <v>0</v>
      </c>
      <c r="L413" s="178">
        <f t="shared" si="53"/>
        <v>1</v>
      </c>
      <c r="M413" s="178">
        <f>IF(E413="",0,IF(AND(OR(OR(Dashboard!$E$5="All",Dashboard!$E$5=""),AG413=Dashboard!$E$5),OR(OR(Dashboard!$H$5="All",Dashboard!$H$5=""),F413=Dashboard!$H$5),OR(OR(Dashboard!$B$5="All",Dashboard!$B$5=""),C413=Dashboard!$B$5),OR(OR(Dashboard!$K$5="All",Dashboard!$K$5=""),A413=Dashboard!$K$5),OR(OR(Dashboard!$N$5="All",Dashboard!$N$5=""),B413=Dashboard!$N$5),OR(OR(Dashboard!$Q$5="All",Dashboard!$Q$5=""),D413=Dashboard!$Q$5),OR(OR(Dashboard!$U$5="All",Dashboard!$U$5=""),E413=Dashboard!$U$5)),1,0))</f>
        <v>1</v>
      </c>
      <c r="N413" s="178">
        <f>IF(E413="",0,IF(AND(OR(OR(Dashboard!$E$5="All",Dashboard!$E$5=""),AG413=Dashboard!$E$5),OR(OR(Dashboard!$B$5="All",Dashboard!$B$5=""),C413=Dashboard!$B$5),OR(OR(Dashboard!$K$5="All",Dashboard!$K$5=""),A413=Dashboard!$K$5),OR(OR(Dashboard!$N$5="All",Dashboard!$N$5=""),B413=Dashboard!$N$5),OR(OR(Dashboard!$Q$5="All",Dashboard!$Q$5=""),D413=Dashboard!$Q$5),OR(OR(Dashboard!$U$5="All",Dashboard!$U$5=""),E413=Dashboard!$U$5)),1,0))</f>
        <v>1</v>
      </c>
      <c r="O413" s="165">
        <f t="shared" si="54"/>
        <v>0</v>
      </c>
      <c r="AG413" s="178" t="str">
        <f>IF(E413="","",IFERROR(IF(INDEX('Item Purchases'!$AM$4:$AM$30,MATCH(E413,'Item Purchases'!$B$4:$B$30,0))="","Uncategorised",INDEX('Item Purchases'!$AM$4:$AM$30,MATCH(E413,'Item Purchases'!$B$4:$B$30,0))),"Uncategorised"))</f>
        <v>Snacks</v>
      </c>
      <c r="AH413" s="165">
        <f>IF(AND(E413&lt;&gt;"",L413=1),COUNTIFS($E$2:E413,E413,$L$2:L413,1),0)</f>
        <v>16</v>
      </c>
      <c r="AI413" s="165">
        <f t="shared" si="55"/>
        <v>0</v>
      </c>
      <c r="AJ413" s="165">
        <f t="shared" si="56"/>
        <v>1</v>
      </c>
    </row>
    <row r="414" spans="1:36" x14ac:dyDescent="0.25">
      <c r="A414" s="177">
        <f t="shared" si="57"/>
        <v>46287</v>
      </c>
      <c r="B414" s="178" t="str">
        <f t="shared" si="51"/>
        <v>Tue</v>
      </c>
      <c r="C414" s="178" t="str">
        <f>'Pantry Inventory'!$A$98</f>
        <v>Sep Week 4</v>
      </c>
      <c r="D414" s="178" t="str">
        <f>IF('Pantry Inventory'!A108="","",'Pantry Inventory'!A108)</f>
        <v>Lays</v>
      </c>
      <c r="E414" s="178" t="str">
        <f>IF('Pantry Inventory'!B108="","",'Pantry Inventory'!B108)</f>
        <v>Lays Potato Chips (Original) 50g</v>
      </c>
      <c r="F414" s="178" t="str">
        <f>IF(E414="","",IFERROR(IF(INDEX('Item Purchases'!$S$4:$S$30,MATCH(E414,'Item Purchases'!$B$4:$B$30,0))="","Uncategorised",INDEX('Item Purchases'!$S$4:$S$30,MATCH(E414,'Item Purchases'!$B$4:$B$30,0))),"Uncategorised"))</f>
        <v>Savoury</v>
      </c>
      <c r="G414" s="178">
        <f>IF(E414="",0,'Pantry Inventory'!D108)</f>
        <v>0</v>
      </c>
      <c r="H414" s="178">
        <f>IF(E414="","",IF('Pantry Inventory'!E108="","",'Pantry Inventory'!E108))</f>
        <v>22</v>
      </c>
      <c r="I414" s="178">
        <f>IF(H414="","",'Pantry Inventory'!F108)</f>
        <v>5</v>
      </c>
      <c r="J414" s="179">
        <f>IF(E414="",0,IFERROR(INDEX('Item Purchases'!$Q$4:$Q$30,MATCH(E414,'Item Purchases'!$B$4:$B$30,0)),0))</f>
        <v>3.4580000000000002</v>
      </c>
      <c r="K414" s="180">
        <f t="shared" si="52"/>
        <v>17.29</v>
      </c>
      <c r="L414" s="178">
        <f t="shared" si="53"/>
        <v>1</v>
      </c>
      <c r="M414" s="178">
        <f>IF(E414="",0,IF(AND(OR(OR(Dashboard!$E$5="All",Dashboard!$E$5=""),AG414=Dashboard!$E$5),OR(OR(Dashboard!$H$5="All",Dashboard!$H$5=""),F414=Dashboard!$H$5),OR(OR(Dashboard!$B$5="All",Dashboard!$B$5=""),C414=Dashboard!$B$5),OR(OR(Dashboard!$K$5="All",Dashboard!$K$5=""),A414=Dashboard!$K$5),OR(OR(Dashboard!$N$5="All",Dashboard!$N$5=""),B414=Dashboard!$N$5),OR(OR(Dashboard!$Q$5="All",Dashboard!$Q$5=""),D414=Dashboard!$Q$5),OR(OR(Dashboard!$U$5="All",Dashboard!$U$5=""),E414=Dashboard!$U$5)),1,0))</f>
        <v>1</v>
      </c>
      <c r="N414" s="178">
        <f>IF(E414="",0,IF(AND(OR(OR(Dashboard!$E$5="All",Dashboard!$E$5=""),AG414=Dashboard!$E$5),OR(OR(Dashboard!$B$5="All",Dashboard!$B$5=""),C414=Dashboard!$B$5),OR(OR(Dashboard!$K$5="All",Dashboard!$K$5=""),A414=Dashboard!$K$5),OR(OR(Dashboard!$N$5="All",Dashboard!$N$5=""),B414=Dashboard!$N$5),OR(OR(Dashboard!$Q$5="All",Dashboard!$Q$5=""),D414=Dashboard!$Q$5),OR(OR(Dashboard!$U$5="All",Dashboard!$U$5=""),E414=Dashboard!$U$5)),1,0))</f>
        <v>1</v>
      </c>
      <c r="O414" s="165">
        <f t="shared" si="54"/>
        <v>25</v>
      </c>
      <c r="AG414" s="178" t="str">
        <f>IF(E414="","",IFERROR(IF(INDEX('Item Purchases'!$AM$4:$AM$30,MATCH(E414,'Item Purchases'!$B$4:$B$30,0))="","Uncategorised",INDEX('Item Purchases'!$AM$4:$AM$30,MATCH(E414,'Item Purchases'!$B$4:$B$30,0))),"Uncategorised"))</f>
        <v>Snacks</v>
      </c>
      <c r="AH414" s="165">
        <f>IF(AND(E414&lt;&gt;"",L414=1),COUNTIFS($E$2:E414,E414,$L$2:L414,1),0)</f>
        <v>16</v>
      </c>
      <c r="AI414" s="165">
        <f t="shared" si="55"/>
        <v>5</v>
      </c>
      <c r="AJ414" s="165">
        <f t="shared" si="56"/>
        <v>1</v>
      </c>
    </row>
    <row r="415" spans="1:36" x14ac:dyDescent="0.25">
      <c r="A415" s="177">
        <f t="shared" si="57"/>
        <v>46287</v>
      </c>
      <c r="B415" s="178" t="str">
        <f t="shared" si="51"/>
        <v>Tue</v>
      </c>
      <c r="C415" s="178" t="str">
        <f>'Pantry Inventory'!$A$98</f>
        <v>Sep Week 4</v>
      </c>
      <c r="D415" s="178" t="str">
        <f>IF('Pantry Inventory'!A109="","",'Pantry Inventory'!A109)</f>
        <v>Lays</v>
      </c>
      <c r="E415" s="178" t="str">
        <f>IF('Pantry Inventory'!B109="","",'Pantry Inventory'!B109)</f>
        <v xml:space="preserve">Lays Double Crunch - Seaweed Flav (50g) </v>
      </c>
      <c r="F415" s="178" t="str">
        <f>IF(E415="","",IFERROR(IF(INDEX('Item Purchases'!$S$4:$S$30,MATCH(E415,'Item Purchases'!$B$4:$B$30,0))="","Uncategorised",INDEX('Item Purchases'!$S$4:$S$30,MATCH(E415,'Item Purchases'!$B$4:$B$30,0))),"Uncategorised"))</f>
        <v>Savoury</v>
      </c>
      <c r="G415" s="178">
        <f>IF(E415="",0,'Pantry Inventory'!D109)</f>
        <v>0</v>
      </c>
      <c r="H415" s="178">
        <f>IF(E415="","",IF('Pantry Inventory'!E109="","",'Pantry Inventory'!E109))</f>
        <v>15</v>
      </c>
      <c r="I415" s="178">
        <f>IF(H415="","",'Pantry Inventory'!F109)</f>
        <v>16</v>
      </c>
      <c r="J415" s="179">
        <f>IF(E415="",0,IFERROR(INDEX('Item Purchases'!$Q$4:$Q$30,MATCH(E415,'Item Purchases'!$B$4:$B$30,0)),0))</f>
        <v>4</v>
      </c>
      <c r="K415" s="180">
        <f t="shared" si="52"/>
        <v>64</v>
      </c>
      <c r="L415" s="178">
        <f t="shared" si="53"/>
        <v>1</v>
      </c>
      <c r="M415" s="178">
        <f>IF(E415="",0,IF(AND(OR(OR(Dashboard!$E$5="All",Dashboard!$E$5=""),AG415=Dashboard!$E$5),OR(OR(Dashboard!$H$5="All",Dashboard!$H$5=""),F415=Dashboard!$H$5),OR(OR(Dashboard!$B$5="All",Dashboard!$B$5=""),C415=Dashboard!$B$5),OR(OR(Dashboard!$K$5="All",Dashboard!$K$5=""),A415=Dashboard!$K$5),OR(OR(Dashboard!$N$5="All",Dashboard!$N$5=""),B415=Dashboard!$N$5),OR(OR(Dashboard!$Q$5="All",Dashboard!$Q$5=""),D415=Dashboard!$Q$5),OR(OR(Dashboard!$U$5="All",Dashboard!$U$5=""),E415=Dashboard!$U$5)),1,0))</f>
        <v>1</v>
      </c>
      <c r="N415" s="178">
        <f>IF(E415="",0,IF(AND(OR(OR(Dashboard!$E$5="All",Dashboard!$E$5=""),AG415=Dashboard!$E$5),OR(OR(Dashboard!$B$5="All",Dashboard!$B$5=""),C415=Dashboard!$B$5),OR(OR(Dashboard!$K$5="All",Dashboard!$K$5=""),A415=Dashboard!$K$5),OR(OR(Dashboard!$N$5="All",Dashboard!$N$5=""),B415=Dashboard!$N$5),OR(OR(Dashboard!$Q$5="All",Dashboard!$Q$5=""),D415=Dashboard!$Q$5),OR(OR(Dashboard!$U$5="All",Dashboard!$U$5=""),E415=Dashboard!$U$5)),1,0))</f>
        <v>1</v>
      </c>
      <c r="O415" s="165">
        <f t="shared" si="54"/>
        <v>256</v>
      </c>
      <c r="AG415" s="178" t="str">
        <f>IF(E415="","",IFERROR(IF(INDEX('Item Purchases'!$AM$4:$AM$30,MATCH(E415,'Item Purchases'!$B$4:$B$30,0))="","Uncategorised",INDEX('Item Purchases'!$AM$4:$AM$30,MATCH(E415,'Item Purchases'!$B$4:$B$30,0))),"Uncategorised"))</f>
        <v>Snacks</v>
      </c>
      <c r="AH415" s="165">
        <f>IF(AND(E415&lt;&gt;"",L415=1),COUNTIFS($E$2:E415,E415,$L$2:L415,1),0)</f>
        <v>16</v>
      </c>
      <c r="AI415" s="165">
        <f t="shared" si="55"/>
        <v>16</v>
      </c>
      <c r="AJ415" s="165">
        <f t="shared" si="56"/>
        <v>1</v>
      </c>
    </row>
    <row r="416" spans="1:36" x14ac:dyDescent="0.25">
      <c r="A416" s="177">
        <f t="shared" si="57"/>
        <v>46287</v>
      </c>
      <c r="B416" s="178" t="str">
        <f t="shared" si="51"/>
        <v>Tue</v>
      </c>
      <c r="C416" s="178" t="str">
        <f>'Pantry Inventory'!$A$98</f>
        <v>Sep Week 4</v>
      </c>
      <c r="D416" s="178" t="str">
        <f>IF('Pantry Inventory'!A110="","",'Pantry Inventory'!A110)</f>
        <v>Munchy</v>
      </c>
      <c r="E416" s="178" t="str">
        <f>IF('Pantry Inventory'!B110="","",'Pantry Inventory'!B110)</f>
        <v>Munchy Oat Krunch - Dark Choco</v>
      </c>
      <c r="F416" s="178" t="str">
        <f>IF(E416="","",IFERROR(IF(INDEX('Item Purchases'!$S$4:$S$30,MATCH(E416,'Item Purchases'!$B$4:$B$30,0))="","Uncategorised",INDEX('Item Purchases'!$S$4:$S$30,MATCH(E416,'Item Purchases'!$B$4:$B$30,0))),"Uncategorised"))</f>
        <v>Sweet</v>
      </c>
      <c r="G416" s="178">
        <f>IF(E416="",0,'Pantry Inventory'!D110)</f>
        <v>0</v>
      </c>
      <c r="H416" s="178">
        <f>IF(E416="","",IF('Pantry Inventory'!E110="","",'Pantry Inventory'!E110))</f>
        <v>12</v>
      </c>
      <c r="I416" s="178">
        <f>IF(H416="","",'Pantry Inventory'!F110)</f>
        <v>7</v>
      </c>
      <c r="J416" s="179">
        <f>IF(E416="",0,IFERROR(INDEX('Item Purchases'!$Q$4:$Q$30,MATCH(E416,'Item Purchases'!$B$4:$B$30,0)),0))</f>
        <v>0.73</v>
      </c>
      <c r="K416" s="180">
        <f t="shared" si="52"/>
        <v>5.1099999999999994</v>
      </c>
      <c r="L416" s="178">
        <f t="shared" si="53"/>
        <v>1</v>
      </c>
      <c r="M416" s="178">
        <f>IF(E416="",0,IF(AND(OR(OR(Dashboard!$E$5="All",Dashboard!$E$5=""),AG416=Dashboard!$E$5),OR(OR(Dashboard!$H$5="All",Dashboard!$H$5=""),F416=Dashboard!$H$5),OR(OR(Dashboard!$B$5="All",Dashboard!$B$5=""),C416=Dashboard!$B$5),OR(OR(Dashboard!$K$5="All",Dashboard!$K$5=""),A416=Dashboard!$K$5),OR(OR(Dashboard!$N$5="All",Dashboard!$N$5=""),B416=Dashboard!$N$5),OR(OR(Dashboard!$Q$5="All",Dashboard!$Q$5=""),D416=Dashboard!$Q$5),OR(OR(Dashboard!$U$5="All",Dashboard!$U$5=""),E416=Dashboard!$U$5)),1,0))</f>
        <v>1</v>
      </c>
      <c r="N416" s="178">
        <f>IF(E416="",0,IF(AND(OR(OR(Dashboard!$E$5="All",Dashboard!$E$5=""),AG416=Dashboard!$E$5),OR(OR(Dashboard!$B$5="All",Dashboard!$B$5=""),C416=Dashboard!$B$5),OR(OR(Dashboard!$K$5="All",Dashboard!$K$5=""),A416=Dashboard!$K$5),OR(OR(Dashboard!$N$5="All",Dashboard!$N$5=""),B416=Dashboard!$N$5),OR(OR(Dashboard!$Q$5="All",Dashboard!$Q$5=""),D416=Dashboard!$Q$5),OR(OR(Dashboard!$U$5="All",Dashboard!$U$5=""),E416=Dashboard!$U$5)),1,0))</f>
        <v>1</v>
      </c>
      <c r="O416" s="165">
        <f t="shared" si="54"/>
        <v>49</v>
      </c>
      <c r="AG416" s="178" t="str">
        <f>IF(E416="","",IFERROR(IF(INDEX('Item Purchases'!$AM$4:$AM$30,MATCH(E416,'Item Purchases'!$B$4:$B$30,0))="","Uncategorised",INDEX('Item Purchases'!$AM$4:$AM$30,MATCH(E416,'Item Purchases'!$B$4:$B$30,0))),"Uncategorised"))</f>
        <v>Snacks</v>
      </c>
      <c r="AH416" s="165">
        <f>IF(AND(E416&lt;&gt;"",L416=1),COUNTIFS($E$2:E416,E416,$L$2:L416,1),0)</f>
        <v>16</v>
      </c>
      <c r="AI416" s="165">
        <f t="shared" si="55"/>
        <v>7</v>
      </c>
      <c r="AJ416" s="165">
        <f t="shared" si="56"/>
        <v>1</v>
      </c>
    </row>
    <row r="417" spans="1:36" x14ac:dyDescent="0.25">
      <c r="A417" s="177">
        <f t="shared" si="57"/>
        <v>46287</v>
      </c>
      <c r="B417" s="178" t="str">
        <f t="shared" si="51"/>
        <v>Tue</v>
      </c>
      <c r="C417" s="178" t="str">
        <f>'Pantry Inventory'!$A$98</f>
        <v>Sep Week 4</v>
      </c>
      <c r="D417" s="178" t="str">
        <f>IF('Pantry Inventory'!A111="","",'Pantry Inventory'!A111)</f>
        <v>Munchy</v>
      </c>
      <c r="E417" s="178" t="str">
        <f>IF('Pantry Inventory'!B111="","",'Pantry Inventory'!B111)</f>
        <v>Munchy Oat Krunch - Strawberry &amp; Blackcurrant</v>
      </c>
      <c r="F417" s="178" t="str">
        <f>IF(E417="","",IFERROR(IF(INDEX('Item Purchases'!$S$4:$S$30,MATCH(E417,'Item Purchases'!$B$4:$B$30,0))="","Uncategorised",INDEX('Item Purchases'!$S$4:$S$30,MATCH(E417,'Item Purchases'!$B$4:$B$30,0))),"Uncategorised"))</f>
        <v>Sweet</v>
      </c>
      <c r="G417" s="178">
        <f>IF(E417="",0,'Pantry Inventory'!D111)</f>
        <v>0</v>
      </c>
      <c r="H417" s="178">
        <f>IF(E417="","",IF('Pantry Inventory'!E111="","",'Pantry Inventory'!E111))</f>
        <v>12</v>
      </c>
      <c r="I417" s="178">
        <f>IF(H417="","",'Pantry Inventory'!F111)</f>
        <v>6</v>
      </c>
      <c r="J417" s="179">
        <f>IF(E417="",0,IFERROR(INDEX('Item Purchases'!$Q$4:$Q$30,MATCH(E417,'Item Purchases'!$B$4:$B$30,0)),0))</f>
        <v>0.73</v>
      </c>
      <c r="K417" s="180">
        <f t="shared" si="52"/>
        <v>4.38</v>
      </c>
      <c r="L417" s="178">
        <f t="shared" si="53"/>
        <v>1</v>
      </c>
      <c r="M417" s="178">
        <f>IF(E417="",0,IF(AND(OR(OR(Dashboard!$E$5="All",Dashboard!$E$5=""),AG417=Dashboard!$E$5),OR(OR(Dashboard!$H$5="All",Dashboard!$H$5=""),F417=Dashboard!$H$5),OR(OR(Dashboard!$B$5="All",Dashboard!$B$5=""),C417=Dashboard!$B$5),OR(OR(Dashboard!$K$5="All",Dashboard!$K$5=""),A417=Dashboard!$K$5),OR(OR(Dashboard!$N$5="All",Dashboard!$N$5=""),B417=Dashboard!$N$5),OR(OR(Dashboard!$Q$5="All",Dashboard!$Q$5=""),D417=Dashboard!$Q$5),OR(OR(Dashboard!$U$5="All",Dashboard!$U$5=""),E417=Dashboard!$U$5)),1,0))</f>
        <v>1</v>
      </c>
      <c r="N417" s="178">
        <f>IF(E417="",0,IF(AND(OR(OR(Dashboard!$E$5="All",Dashboard!$E$5=""),AG417=Dashboard!$E$5),OR(OR(Dashboard!$B$5="All",Dashboard!$B$5=""),C417=Dashboard!$B$5),OR(OR(Dashboard!$K$5="All",Dashboard!$K$5=""),A417=Dashboard!$K$5),OR(OR(Dashboard!$N$5="All",Dashboard!$N$5=""),B417=Dashboard!$N$5),OR(OR(Dashboard!$Q$5="All",Dashboard!$Q$5=""),D417=Dashboard!$Q$5),OR(OR(Dashboard!$U$5="All",Dashboard!$U$5=""),E417=Dashboard!$U$5)),1,0))</f>
        <v>1</v>
      </c>
      <c r="O417" s="165">
        <f t="shared" si="54"/>
        <v>36</v>
      </c>
      <c r="AG417" s="178" t="str">
        <f>IF(E417="","",IFERROR(IF(INDEX('Item Purchases'!$AM$4:$AM$30,MATCH(E417,'Item Purchases'!$B$4:$B$30,0))="","Uncategorised",INDEX('Item Purchases'!$AM$4:$AM$30,MATCH(E417,'Item Purchases'!$B$4:$B$30,0))),"Uncategorised"))</f>
        <v>Snacks</v>
      </c>
      <c r="AH417" s="165">
        <f>IF(AND(E417&lt;&gt;"",L417=1),COUNTIFS($E$2:E417,E417,$L$2:L417,1),0)</f>
        <v>16</v>
      </c>
      <c r="AI417" s="165">
        <f t="shared" si="55"/>
        <v>6</v>
      </c>
      <c r="AJ417" s="165">
        <f t="shared" si="56"/>
        <v>1</v>
      </c>
    </row>
    <row r="418" spans="1:36" x14ac:dyDescent="0.25">
      <c r="A418" s="177">
        <f t="shared" si="57"/>
        <v>46287</v>
      </c>
      <c r="B418" s="178" t="str">
        <f t="shared" si="51"/>
        <v>Tue</v>
      </c>
      <c r="C418" s="178" t="str">
        <f>'Pantry Inventory'!$A$98</f>
        <v>Sep Week 4</v>
      </c>
      <c r="D418" s="178" t="str">
        <f>IF('Pantry Inventory'!A112="","",'Pantry Inventory'!A112)</f>
        <v/>
      </c>
      <c r="E418" s="178" t="str">
        <f>IF('Pantry Inventory'!B112="","",'Pantry Inventory'!B112)</f>
        <v/>
      </c>
      <c r="F418" s="178" t="str">
        <f>IF(E418="","",IFERROR(IF(INDEX('Item Purchases'!$S$4:$S$30,MATCH(E418,'Item Purchases'!$B$4:$B$30,0))="","Uncategorised",INDEX('Item Purchases'!$S$4:$S$30,MATCH(E418,'Item Purchases'!$B$4:$B$30,0))),"Uncategorised"))</f>
        <v/>
      </c>
      <c r="G418" s="178">
        <f>IF(E418="",0,'Pantry Inventory'!D112)</f>
        <v>0</v>
      </c>
      <c r="H418" s="178" t="str">
        <f>IF(E418="","",IF('Pantry Inventory'!E112="","",'Pantry Inventory'!E112))</f>
        <v/>
      </c>
      <c r="I418" s="178" t="str">
        <f>IF(H418="","",'Pantry Inventory'!F112)</f>
        <v/>
      </c>
      <c r="J418" s="179">
        <f>IF(E418="",0,IFERROR(INDEX('Item Purchases'!$Q$4:$Q$30,MATCH(E418,'Item Purchases'!$B$4:$B$30,0)),0))</f>
        <v>0</v>
      </c>
      <c r="K418" s="180" t="str">
        <f t="shared" si="52"/>
        <v/>
      </c>
      <c r="L418" s="178">
        <f t="shared" si="53"/>
        <v>0</v>
      </c>
      <c r="M418" s="178">
        <f>IF(E418="",0,IF(AND(OR(OR(Dashboard!$E$5="All",Dashboard!$E$5=""),AG418=Dashboard!$E$5),OR(OR(Dashboard!$H$5="All",Dashboard!$H$5=""),F418=Dashboard!$H$5),OR(OR(Dashboard!$B$5="All",Dashboard!$B$5=""),C418=Dashboard!$B$5),OR(OR(Dashboard!$K$5="All",Dashboard!$K$5=""),A418=Dashboard!$K$5),OR(OR(Dashboard!$N$5="All",Dashboard!$N$5=""),B418=Dashboard!$N$5),OR(OR(Dashboard!$Q$5="All",Dashboard!$Q$5=""),D418=Dashboard!$Q$5),OR(OR(Dashboard!$U$5="All",Dashboard!$U$5=""),E418=Dashboard!$U$5)),1,0))</f>
        <v>0</v>
      </c>
      <c r="N418" s="178">
        <f>IF(E418="",0,IF(AND(OR(OR(Dashboard!$E$5="All",Dashboard!$E$5=""),AG418=Dashboard!$E$5),OR(OR(Dashboard!$B$5="All",Dashboard!$B$5=""),C418=Dashboard!$B$5),OR(OR(Dashboard!$K$5="All",Dashboard!$K$5=""),A418=Dashboard!$K$5),OR(OR(Dashboard!$N$5="All",Dashboard!$N$5=""),B418=Dashboard!$N$5),OR(OR(Dashboard!$Q$5="All",Dashboard!$Q$5=""),D418=Dashboard!$Q$5),OR(OR(Dashboard!$U$5="All",Dashboard!$U$5=""),E418=Dashboard!$U$5)),1,0))</f>
        <v>0</v>
      </c>
      <c r="O418" s="165">
        <f t="shared" si="54"/>
        <v>0</v>
      </c>
      <c r="AG418" s="178" t="str">
        <f>IF(E418="","",IFERROR(IF(INDEX('Item Purchases'!$AM$4:$AM$30,MATCH(E418,'Item Purchases'!$B$4:$B$30,0))="","Uncategorised",INDEX('Item Purchases'!$AM$4:$AM$30,MATCH(E418,'Item Purchases'!$B$4:$B$30,0))),"Uncategorised"))</f>
        <v/>
      </c>
      <c r="AH418" s="165">
        <f>IF(AND(E418&lt;&gt;"",L418=1),COUNTIFS($E$2:E418,E418,$L$2:L418,1),0)</f>
        <v>0</v>
      </c>
      <c r="AI418" s="165">
        <f t="shared" si="55"/>
        <v>0</v>
      </c>
      <c r="AJ418" s="165">
        <f t="shared" si="56"/>
        <v>0</v>
      </c>
    </row>
    <row r="419" spans="1:36" x14ac:dyDescent="0.25">
      <c r="A419" s="177">
        <f t="shared" si="57"/>
        <v>46287</v>
      </c>
      <c r="B419" s="178" t="str">
        <f t="shared" si="51"/>
        <v>Tue</v>
      </c>
      <c r="C419" s="178" t="str">
        <f>'Pantry Inventory'!$A$98</f>
        <v>Sep Week 4</v>
      </c>
      <c r="D419" s="178" t="str">
        <f>IF('Pantry Inventory'!A113="","",'Pantry Inventory'!A113)</f>
        <v>Nestle</v>
      </c>
      <c r="E419" s="178" t="str">
        <f>IF('Pantry Inventory'!B113="","",'Pantry Inventory'!B113)</f>
        <v>Milo 200ml</v>
      </c>
      <c r="F419" s="178" t="str">
        <f>IF(E419="","",IFERROR(IF(INDEX('Item Purchases'!$S$4:$S$30,MATCH(E419,'Item Purchases'!$B$4:$B$30,0))="","Uncategorised",INDEX('Item Purchases'!$S$4:$S$30,MATCH(E419,'Item Purchases'!$B$4:$B$30,0))),"Uncategorised"))</f>
        <v>Other</v>
      </c>
      <c r="G419" s="178">
        <f>IF(E419="",0,'Pantry Inventory'!D113)</f>
        <v>0</v>
      </c>
      <c r="H419" s="178">
        <f>IF(E419="","",IF('Pantry Inventory'!E113="","",'Pantry Inventory'!E113))</f>
        <v>0</v>
      </c>
      <c r="I419" s="178">
        <f>IF(H419="","",'Pantry Inventory'!F113)</f>
        <v>0</v>
      </c>
      <c r="J419" s="179">
        <f>IF(E419="",0,IFERROR(INDEX('Item Purchases'!$Q$4:$Q$30,MATCH(E419,'Item Purchases'!$B$4:$B$30,0)),0))</f>
        <v>2.37</v>
      </c>
      <c r="K419" s="180">
        <f t="shared" si="52"/>
        <v>0</v>
      </c>
      <c r="L419" s="178">
        <f t="shared" si="53"/>
        <v>1</v>
      </c>
      <c r="M419" s="178">
        <f>IF(E419="",0,IF(AND(OR(OR(Dashboard!$E$5="All",Dashboard!$E$5=""),AG419=Dashboard!$E$5),OR(OR(Dashboard!$H$5="All",Dashboard!$H$5=""),F419=Dashboard!$H$5),OR(OR(Dashboard!$B$5="All",Dashboard!$B$5=""),C419=Dashboard!$B$5),OR(OR(Dashboard!$K$5="All",Dashboard!$K$5=""),A419=Dashboard!$K$5),OR(OR(Dashboard!$N$5="All",Dashboard!$N$5=""),B419=Dashboard!$N$5),OR(OR(Dashboard!$Q$5="All",Dashboard!$Q$5=""),D419=Dashboard!$Q$5),OR(OR(Dashboard!$U$5="All",Dashboard!$U$5=""),E419=Dashboard!$U$5)),1,0))</f>
        <v>1</v>
      </c>
      <c r="N419" s="178">
        <f>IF(E419="",0,IF(AND(OR(OR(Dashboard!$E$5="All",Dashboard!$E$5=""),AG419=Dashboard!$E$5),OR(OR(Dashboard!$B$5="All",Dashboard!$B$5=""),C419=Dashboard!$B$5),OR(OR(Dashboard!$K$5="All",Dashboard!$K$5=""),A419=Dashboard!$K$5),OR(OR(Dashboard!$N$5="All",Dashboard!$N$5=""),B419=Dashboard!$N$5),OR(OR(Dashboard!$Q$5="All",Dashboard!$Q$5=""),D419=Dashboard!$Q$5),OR(OR(Dashboard!$U$5="All",Dashboard!$U$5=""),E419=Dashboard!$U$5)),1,0))</f>
        <v>1</v>
      </c>
      <c r="O419" s="165">
        <f t="shared" si="54"/>
        <v>0</v>
      </c>
      <c r="AG419" s="178" t="str">
        <f>IF(E419="","",IFERROR(IF(INDEX('Item Purchases'!$AM$4:$AM$30,MATCH(E419,'Item Purchases'!$B$4:$B$30,0))="","Uncategorised",INDEX('Item Purchases'!$AM$4:$AM$30,MATCH(E419,'Item Purchases'!$B$4:$B$30,0))),"Uncategorised"))</f>
        <v>Beverages</v>
      </c>
      <c r="AH419" s="165">
        <f>IF(AND(E419&lt;&gt;"",L419=1),COUNTIFS($E$2:E419,E419,$L$2:L419,1),0)</f>
        <v>16</v>
      </c>
      <c r="AI419" s="165">
        <f t="shared" si="55"/>
        <v>0</v>
      </c>
      <c r="AJ419" s="165">
        <f t="shared" si="56"/>
        <v>0</v>
      </c>
    </row>
    <row r="420" spans="1:36" x14ac:dyDescent="0.25">
      <c r="A420" s="177">
        <f t="shared" si="57"/>
        <v>46287</v>
      </c>
      <c r="B420" s="178" t="str">
        <f t="shared" si="51"/>
        <v>Tue</v>
      </c>
      <c r="C420" s="178" t="str">
        <f>'Pantry Inventory'!$A$98</f>
        <v>Sep Week 4</v>
      </c>
      <c r="D420" s="178" t="str">
        <f>IF('Pantry Inventory'!A114="","",'Pantry Inventory'!A114)</f>
        <v>Nestle</v>
      </c>
      <c r="E420" s="178" t="str">
        <f>IF('Pantry Inventory'!B114="","",'Pantry Inventory'!B114)</f>
        <v>Nescafe Latte 240ml</v>
      </c>
      <c r="F420" s="178" t="str">
        <f>IF(E420="","",IFERROR(IF(INDEX('Item Purchases'!$S$4:$S$30,MATCH(E420,'Item Purchases'!$B$4:$B$30,0))="","Uncategorised",INDEX('Item Purchases'!$S$4:$S$30,MATCH(E420,'Item Purchases'!$B$4:$B$30,0))),"Uncategorised"))</f>
        <v>Coffee</v>
      </c>
      <c r="G420" s="178">
        <f>IF(E420="",0,'Pantry Inventory'!D114)</f>
        <v>0</v>
      </c>
      <c r="H420" s="178">
        <f>IF(E420="","",IF('Pantry Inventory'!E114="","",'Pantry Inventory'!E114))</f>
        <v>46</v>
      </c>
      <c r="I420" s="178">
        <f>IF(H420="","",'Pantry Inventory'!F114)</f>
        <v>4</v>
      </c>
      <c r="J420" s="179">
        <f>IF(E420="",0,IFERROR(INDEX('Item Purchases'!$Q$4:$Q$30,MATCH(E420,'Item Purchases'!$B$4:$B$30,0)),0))</f>
        <v>2.1875</v>
      </c>
      <c r="K420" s="180">
        <f t="shared" si="52"/>
        <v>8.75</v>
      </c>
      <c r="L420" s="178">
        <f t="shared" si="53"/>
        <v>1</v>
      </c>
      <c r="M420" s="178">
        <f>IF(E420="",0,IF(AND(OR(OR(Dashboard!$E$5="All",Dashboard!$E$5=""),AG420=Dashboard!$E$5),OR(OR(Dashboard!$H$5="All",Dashboard!$H$5=""),F420=Dashboard!$H$5),OR(OR(Dashboard!$B$5="All",Dashboard!$B$5=""),C420=Dashboard!$B$5),OR(OR(Dashboard!$K$5="All",Dashboard!$K$5=""),A420=Dashboard!$K$5),OR(OR(Dashboard!$N$5="All",Dashboard!$N$5=""),B420=Dashboard!$N$5),OR(OR(Dashboard!$Q$5="All",Dashboard!$Q$5=""),D420=Dashboard!$Q$5),OR(OR(Dashboard!$U$5="All",Dashboard!$U$5=""),E420=Dashboard!$U$5)),1,0))</f>
        <v>1</v>
      </c>
      <c r="N420" s="178">
        <f>IF(E420="",0,IF(AND(OR(OR(Dashboard!$E$5="All",Dashboard!$E$5=""),AG420=Dashboard!$E$5),OR(OR(Dashboard!$B$5="All",Dashboard!$B$5=""),C420=Dashboard!$B$5),OR(OR(Dashboard!$K$5="All",Dashboard!$K$5=""),A420=Dashboard!$K$5),OR(OR(Dashboard!$N$5="All",Dashboard!$N$5=""),B420=Dashboard!$N$5),OR(OR(Dashboard!$Q$5="All",Dashboard!$Q$5=""),D420=Dashboard!$Q$5),OR(OR(Dashboard!$U$5="All",Dashboard!$U$5=""),E420=Dashboard!$U$5)),1,0))</f>
        <v>1</v>
      </c>
      <c r="O420" s="165">
        <f t="shared" si="54"/>
        <v>16</v>
      </c>
      <c r="AG420" s="178" t="str">
        <f>IF(E420="","",IFERROR(IF(INDEX('Item Purchases'!$AM$4:$AM$30,MATCH(E420,'Item Purchases'!$B$4:$B$30,0))="","Uncategorised",INDEX('Item Purchases'!$AM$4:$AM$30,MATCH(E420,'Item Purchases'!$B$4:$B$30,0))),"Uncategorised"))</f>
        <v>Beverages</v>
      </c>
      <c r="AH420" s="165">
        <f>IF(AND(E420&lt;&gt;"",L420=1),COUNTIFS($E$2:E420,E420,$L$2:L420,1),0)</f>
        <v>16</v>
      </c>
      <c r="AI420" s="165">
        <f t="shared" si="55"/>
        <v>4</v>
      </c>
      <c r="AJ420" s="165">
        <f t="shared" si="56"/>
        <v>1</v>
      </c>
    </row>
    <row r="421" spans="1:36" x14ac:dyDescent="0.25">
      <c r="A421" s="177">
        <f t="shared" si="57"/>
        <v>46287</v>
      </c>
      <c r="B421" s="178" t="str">
        <f t="shared" si="51"/>
        <v>Tue</v>
      </c>
      <c r="C421" s="178" t="str">
        <f>'Pantry Inventory'!$A$98</f>
        <v>Sep Week 4</v>
      </c>
      <c r="D421" s="178" t="str">
        <f>IF('Pantry Inventory'!A115="","",'Pantry Inventory'!A115)</f>
        <v>Nestle</v>
      </c>
      <c r="E421" s="178" t="str">
        <f>IF('Pantry Inventory'!B115="","",'Pantry Inventory'!B115)</f>
        <v>Nescafe original 240ml</v>
      </c>
      <c r="F421" s="178" t="str">
        <f>IF(E421="","",IFERROR(IF(INDEX('Item Purchases'!$S$4:$S$30,MATCH(E421,'Item Purchases'!$B$4:$B$30,0))="","Uncategorised",INDEX('Item Purchases'!$S$4:$S$30,MATCH(E421,'Item Purchases'!$B$4:$B$30,0))),"Uncategorised"))</f>
        <v>Coffee</v>
      </c>
      <c r="G421" s="178">
        <f>IF(E421="",0,'Pantry Inventory'!D115)</f>
        <v>0</v>
      </c>
      <c r="H421" s="178">
        <f>IF(E421="","",IF('Pantry Inventory'!E115="","",'Pantry Inventory'!E115))</f>
        <v>34</v>
      </c>
      <c r="I421" s="178">
        <f>IF(H421="","",'Pantry Inventory'!F115)</f>
        <v>5</v>
      </c>
      <c r="J421" s="179">
        <f>IF(E421="",0,IFERROR(INDEX('Item Purchases'!$Q$4:$Q$30,MATCH(E421,'Item Purchases'!$B$4:$B$30,0)),0))</f>
        <v>2.1875</v>
      </c>
      <c r="K421" s="180">
        <f t="shared" si="52"/>
        <v>10.9375</v>
      </c>
      <c r="L421" s="178">
        <f t="shared" si="53"/>
        <v>1</v>
      </c>
      <c r="M421" s="178">
        <f>IF(E421="",0,IF(AND(OR(OR(Dashboard!$E$5="All",Dashboard!$E$5=""),AG421=Dashboard!$E$5),OR(OR(Dashboard!$H$5="All",Dashboard!$H$5=""),F421=Dashboard!$H$5),OR(OR(Dashboard!$B$5="All",Dashboard!$B$5=""),C421=Dashboard!$B$5),OR(OR(Dashboard!$K$5="All",Dashboard!$K$5=""),A421=Dashboard!$K$5),OR(OR(Dashboard!$N$5="All",Dashboard!$N$5=""),B421=Dashboard!$N$5),OR(OR(Dashboard!$Q$5="All",Dashboard!$Q$5=""),D421=Dashboard!$Q$5),OR(OR(Dashboard!$U$5="All",Dashboard!$U$5=""),E421=Dashboard!$U$5)),1,0))</f>
        <v>1</v>
      </c>
      <c r="N421" s="178">
        <f>IF(E421="",0,IF(AND(OR(OR(Dashboard!$E$5="All",Dashboard!$E$5=""),AG421=Dashboard!$E$5),OR(OR(Dashboard!$B$5="All",Dashboard!$B$5=""),C421=Dashboard!$B$5),OR(OR(Dashboard!$K$5="All",Dashboard!$K$5=""),A421=Dashboard!$K$5),OR(OR(Dashboard!$N$5="All",Dashboard!$N$5=""),B421=Dashboard!$N$5),OR(OR(Dashboard!$Q$5="All",Dashboard!$Q$5=""),D421=Dashboard!$Q$5),OR(OR(Dashboard!$U$5="All",Dashboard!$U$5=""),E421=Dashboard!$U$5)),1,0))</f>
        <v>1</v>
      </c>
      <c r="O421" s="165">
        <f t="shared" si="54"/>
        <v>25</v>
      </c>
      <c r="AG421" s="178" t="str">
        <f>IF(E421="","",IFERROR(IF(INDEX('Item Purchases'!$AM$4:$AM$30,MATCH(E421,'Item Purchases'!$B$4:$B$30,0))="","Uncategorised",INDEX('Item Purchases'!$AM$4:$AM$30,MATCH(E421,'Item Purchases'!$B$4:$B$30,0))),"Uncategorised"))</f>
        <v>Beverages</v>
      </c>
      <c r="AH421" s="165">
        <f>IF(AND(E421&lt;&gt;"",L421=1),COUNTIFS($E$2:E421,E421,$L$2:L421,1),0)</f>
        <v>16</v>
      </c>
      <c r="AI421" s="165">
        <f t="shared" si="55"/>
        <v>5</v>
      </c>
      <c r="AJ421" s="165">
        <f t="shared" si="56"/>
        <v>1</v>
      </c>
    </row>
    <row r="422" spans="1:36" x14ac:dyDescent="0.25">
      <c r="A422" s="177">
        <f t="shared" si="57"/>
        <v>46287</v>
      </c>
      <c r="B422" s="178" t="str">
        <f t="shared" si="51"/>
        <v>Tue</v>
      </c>
      <c r="C422" s="178" t="str">
        <f>'Pantry Inventory'!$A$98</f>
        <v>Sep Week 4</v>
      </c>
      <c r="D422" s="178" t="str">
        <f>IF('Pantry Inventory'!A116="","",'Pantry Inventory'!A116)</f>
        <v>COWA</v>
      </c>
      <c r="E422" s="178" t="str">
        <f>IF('Pantry Inventory'!B116="","",'Pantry Inventory'!B116)</f>
        <v>COWA Coconut Water 330 ml</v>
      </c>
      <c r="F422" s="178" t="str">
        <f>IF(E422="","",IFERROR(IF(INDEX('Item Purchases'!$S$4:$S$30,MATCH(E422,'Item Purchases'!$B$4:$B$30,0))="","Uncategorised",INDEX('Item Purchases'!$S$4:$S$30,MATCH(E422,'Item Purchases'!$B$4:$B$30,0))),"Uncategorised"))</f>
        <v>Other</v>
      </c>
      <c r="G422" s="178">
        <f>IF(E422="",0,'Pantry Inventory'!D116)</f>
        <v>96</v>
      </c>
      <c r="H422" s="178">
        <f>IF(E422="","",IF('Pantry Inventory'!E116="","",'Pantry Inventory'!E116))</f>
        <v>108</v>
      </c>
      <c r="I422" s="178">
        <f>IF(H422="","",'Pantry Inventory'!F116)</f>
        <v>27</v>
      </c>
      <c r="J422" s="179">
        <f>IF(E422="",0,IFERROR(INDEX('Item Purchases'!$Q$4:$Q$30,MATCH(E422,'Item Purchases'!$B$4:$B$30,0)),0))</f>
        <v>3</v>
      </c>
      <c r="K422" s="180">
        <f t="shared" si="52"/>
        <v>81</v>
      </c>
      <c r="L422" s="178">
        <f t="shared" si="53"/>
        <v>1</v>
      </c>
      <c r="M422" s="178">
        <f>IF(E422="",0,IF(AND(OR(OR(Dashboard!$E$5="All",Dashboard!$E$5=""),AG422=Dashboard!$E$5),OR(OR(Dashboard!$H$5="All",Dashboard!$H$5=""),F422=Dashboard!$H$5),OR(OR(Dashboard!$B$5="All",Dashboard!$B$5=""),C422=Dashboard!$B$5),OR(OR(Dashboard!$K$5="All",Dashboard!$K$5=""),A422=Dashboard!$K$5),OR(OR(Dashboard!$N$5="All",Dashboard!$N$5=""),B422=Dashboard!$N$5),OR(OR(Dashboard!$Q$5="All",Dashboard!$Q$5=""),D422=Dashboard!$Q$5),OR(OR(Dashboard!$U$5="All",Dashboard!$U$5=""),E422=Dashboard!$U$5)),1,0))</f>
        <v>1</v>
      </c>
      <c r="N422" s="178">
        <f>IF(E422="",0,IF(AND(OR(OR(Dashboard!$E$5="All",Dashboard!$E$5=""),AG422=Dashboard!$E$5),OR(OR(Dashboard!$B$5="All",Dashboard!$B$5=""),C422=Dashboard!$B$5),OR(OR(Dashboard!$K$5="All",Dashboard!$K$5=""),A422=Dashboard!$K$5),OR(OR(Dashboard!$N$5="All",Dashboard!$N$5=""),B422=Dashboard!$N$5),OR(OR(Dashboard!$Q$5="All",Dashboard!$Q$5=""),D422=Dashboard!$Q$5),OR(OR(Dashboard!$U$5="All",Dashboard!$U$5=""),E422=Dashboard!$U$5)),1,0))</f>
        <v>1</v>
      </c>
      <c r="O422" s="165">
        <f t="shared" si="54"/>
        <v>729</v>
      </c>
      <c r="AG422" s="178" t="str">
        <f>IF(E422="","",IFERROR(IF(INDEX('Item Purchases'!$AM$4:$AM$30,MATCH(E422,'Item Purchases'!$B$4:$B$30,0))="","Uncategorised",INDEX('Item Purchases'!$AM$4:$AM$30,MATCH(E422,'Item Purchases'!$B$4:$B$30,0))),"Uncategorised"))</f>
        <v>Beverages</v>
      </c>
      <c r="AH422" s="165">
        <f>IF(AND(E422&lt;&gt;"",L422=1),COUNTIFS($E$2:E422,E422,$L$2:L422,1),0)</f>
        <v>16</v>
      </c>
      <c r="AI422" s="165">
        <f t="shared" si="55"/>
        <v>27</v>
      </c>
      <c r="AJ422" s="165">
        <f t="shared" si="56"/>
        <v>1</v>
      </c>
    </row>
    <row r="423" spans="1:36" x14ac:dyDescent="0.25">
      <c r="A423" s="177">
        <f t="shared" si="57"/>
        <v>46287</v>
      </c>
      <c r="B423" s="178" t="str">
        <f t="shared" si="51"/>
        <v>Tue</v>
      </c>
      <c r="C423" s="178" t="str">
        <f>'Pantry Inventory'!$A$98</f>
        <v>Sep Week 4</v>
      </c>
      <c r="D423" s="178" t="str">
        <f>IF('Pantry Inventory'!A117="","",'Pantry Inventory'!A117)</f>
        <v>KARTA</v>
      </c>
      <c r="E423" s="178" t="str">
        <f>IF('Pantry Inventory'!B117="","",'Pantry Inventory'!B117)</f>
        <v>KARTA Coconut Water 330 ml</v>
      </c>
      <c r="F423" s="178" t="str">
        <f>IF(E423="","",IFERROR(IF(INDEX('Item Purchases'!$S$4:$S$30,MATCH(E423,'Item Purchases'!$B$4:$B$30,0))="","Uncategorised",INDEX('Item Purchases'!$S$4:$S$30,MATCH(E423,'Item Purchases'!$B$4:$B$30,0))),"Uncategorised"))</f>
        <v>Other</v>
      </c>
      <c r="G423" s="178">
        <f>IF(E423="",0,'Pantry Inventory'!D117)</f>
        <v>0</v>
      </c>
      <c r="H423" s="178" t="str">
        <f>IF(E423="","",IF('Pantry Inventory'!E117="","",'Pantry Inventory'!E117))</f>
        <v/>
      </c>
      <c r="I423" s="178" t="str">
        <f>IF(H423="","",'Pantry Inventory'!F117)</f>
        <v/>
      </c>
      <c r="J423" s="179">
        <f>IF(E423="",0,IFERROR(INDEX('Item Purchases'!$Q$4:$Q$30,MATCH(E423,'Item Purchases'!$B$4:$B$30,0)),0))</f>
        <v>2.2999999999999998</v>
      </c>
      <c r="K423" s="180" t="str">
        <f t="shared" si="52"/>
        <v/>
      </c>
      <c r="L423" s="178">
        <f t="shared" si="53"/>
        <v>0</v>
      </c>
      <c r="M423" s="178">
        <f>IF(E423="",0,IF(AND(OR(OR(Dashboard!$E$5="All",Dashboard!$E$5=""),AG423=Dashboard!$E$5),OR(OR(Dashboard!$H$5="All",Dashboard!$H$5=""),F423=Dashboard!$H$5),OR(OR(Dashboard!$B$5="All",Dashboard!$B$5=""),C423=Dashboard!$B$5),OR(OR(Dashboard!$K$5="All",Dashboard!$K$5=""),A423=Dashboard!$K$5),OR(OR(Dashboard!$N$5="All",Dashboard!$N$5=""),B423=Dashboard!$N$5),OR(OR(Dashboard!$Q$5="All",Dashboard!$Q$5=""),D423=Dashboard!$Q$5),OR(OR(Dashboard!$U$5="All",Dashboard!$U$5=""),E423=Dashboard!$U$5)),1,0))</f>
        <v>1</v>
      </c>
      <c r="N423" s="178">
        <f>IF(E423="",0,IF(AND(OR(OR(Dashboard!$E$5="All",Dashboard!$E$5=""),AG423=Dashboard!$E$5),OR(OR(Dashboard!$B$5="All",Dashboard!$B$5=""),C423=Dashboard!$B$5),OR(OR(Dashboard!$K$5="All",Dashboard!$K$5=""),A423=Dashboard!$K$5),OR(OR(Dashboard!$N$5="All",Dashboard!$N$5=""),B423=Dashboard!$N$5),OR(OR(Dashboard!$Q$5="All",Dashboard!$Q$5=""),D423=Dashboard!$Q$5),OR(OR(Dashboard!$U$5="All",Dashboard!$U$5=""),E423=Dashboard!$U$5)),1,0))</f>
        <v>1</v>
      </c>
      <c r="O423" s="165">
        <f t="shared" si="54"/>
        <v>0</v>
      </c>
      <c r="AG423" s="178" t="str">
        <f>IF(E423="","",IFERROR(IF(INDEX('Item Purchases'!$AM$4:$AM$30,MATCH(E423,'Item Purchases'!$B$4:$B$30,0))="","Uncategorised",INDEX('Item Purchases'!$AM$4:$AM$30,MATCH(E423,'Item Purchases'!$B$4:$B$30,0))),"Uncategorised"))</f>
        <v>Beverages</v>
      </c>
      <c r="AH423" s="165">
        <f>IF(AND(E423&lt;&gt;"",L423=1),COUNTIFS($E$2:E423,E423,$L$2:L423,1),0)</f>
        <v>0</v>
      </c>
      <c r="AI423" s="165">
        <f t="shared" si="55"/>
        <v>0</v>
      </c>
      <c r="AJ423" s="165">
        <f t="shared" si="56"/>
        <v>0</v>
      </c>
    </row>
    <row r="424" spans="1:36" x14ac:dyDescent="0.25">
      <c r="A424" s="177">
        <f t="shared" si="57"/>
        <v>46287</v>
      </c>
      <c r="B424" s="178" t="str">
        <f t="shared" si="51"/>
        <v>Tue</v>
      </c>
      <c r="C424" s="178" t="str">
        <f>'Pantry Inventory'!$A$98</f>
        <v>Sep Week 4</v>
      </c>
      <c r="D424" s="178" t="str">
        <f>IF('Pantry Inventory'!A118="","",'Pantry Inventory'!A118)</f>
        <v>Coca Cola</v>
      </c>
      <c r="E424" s="178" t="str">
        <f>IF('Pantry Inventory'!B118="","",'Pantry Inventory'!B118)</f>
        <v>COKE ZERO  325ML</v>
      </c>
      <c r="F424" s="178" t="str">
        <f>IF(E424="","",IFERROR(IF(INDEX('Item Purchases'!$S$4:$S$30,MATCH(E424,'Item Purchases'!$B$4:$B$30,0))="","Uncategorised",INDEX('Item Purchases'!$S$4:$S$30,MATCH(E424,'Item Purchases'!$B$4:$B$30,0))),"Uncategorised"))</f>
        <v>Other</v>
      </c>
      <c r="G424" s="178">
        <f>IF(E424="",0,'Pantry Inventory'!D118)</f>
        <v>0</v>
      </c>
      <c r="H424" s="178">
        <f>IF(E424="","",IF('Pantry Inventory'!E118="","",'Pantry Inventory'!E118))</f>
        <v>40</v>
      </c>
      <c r="I424" s="178">
        <f>IF(H424="","",'Pantry Inventory'!F118)</f>
        <v>9</v>
      </c>
      <c r="J424" s="179">
        <f>IF(E424="",0,IFERROR(INDEX('Item Purchases'!$Q$4:$Q$30,MATCH(E424,'Item Purchases'!$B$4:$B$30,0)),0))</f>
        <v>1.83</v>
      </c>
      <c r="K424" s="180">
        <f t="shared" si="52"/>
        <v>16.47</v>
      </c>
      <c r="L424" s="178">
        <f t="shared" si="53"/>
        <v>1</v>
      </c>
      <c r="M424" s="178">
        <f>IF(E424="",0,IF(AND(OR(OR(Dashboard!$E$5="All",Dashboard!$E$5=""),AG424=Dashboard!$E$5),OR(OR(Dashboard!$H$5="All",Dashboard!$H$5=""),F424=Dashboard!$H$5),OR(OR(Dashboard!$B$5="All",Dashboard!$B$5=""),C424=Dashboard!$B$5),OR(OR(Dashboard!$K$5="All",Dashboard!$K$5=""),A424=Dashboard!$K$5),OR(OR(Dashboard!$N$5="All",Dashboard!$N$5=""),B424=Dashboard!$N$5),OR(OR(Dashboard!$Q$5="All",Dashboard!$Q$5=""),D424=Dashboard!$Q$5),OR(OR(Dashboard!$U$5="All",Dashboard!$U$5=""),E424=Dashboard!$U$5)),1,0))</f>
        <v>1</v>
      </c>
      <c r="N424" s="178">
        <f>IF(E424="",0,IF(AND(OR(OR(Dashboard!$E$5="All",Dashboard!$E$5=""),AG424=Dashboard!$E$5),OR(OR(Dashboard!$B$5="All",Dashboard!$B$5=""),C424=Dashboard!$B$5),OR(OR(Dashboard!$K$5="All",Dashboard!$K$5=""),A424=Dashboard!$K$5),OR(OR(Dashboard!$N$5="All",Dashboard!$N$5=""),B424=Dashboard!$N$5),OR(OR(Dashboard!$Q$5="All",Dashboard!$Q$5=""),D424=Dashboard!$Q$5),OR(OR(Dashboard!$U$5="All",Dashboard!$U$5=""),E424=Dashboard!$U$5)),1,0))</f>
        <v>1</v>
      </c>
      <c r="O424" s="165">
        <f t="shared" si="54"/>
        <v>81</v>
      </c>
      <c r="AG424" s="178" t="str">
        <f>IF(E424="","",IFERROR(IF(INDEX('Item Purchases'!$AM$4:$AM$30,MATCH(E424,'Item Purchases'!$B$4:$B$30,0))="","Uncategorised",INDEX('Item Purchases'!$AM$4:$AM$30,MATCH(E424,'Item Purchases'!$B$4:$B$30,0))),"Uncategorised"))</f>
        <v>Beverages</v>
      </c>
      <c r="AH424" s="165">
        <f>IF(AND(E424&lt;&gt;"",L424=1),COUNTIFS($E$2:E424,E424,$L$2:L424,1),0)</f>
        <v>16</v>
      </c>
      <c r="AI424" s="165">
        <f t="shared" si="55"/>
        <v>9</v>
      </c>
      <c r="AJ424" s="165">
        <f t="shared" si="56"/>
        <v>1</v>
      </c>
    </row>
    <row r="425" spans="1:36" x14ac:dyDescent="0.25">
      <c r="A425" s="177">
        <f t="shared" si="57"/>
        <v>46287</v>
      </c>
      <c r="B425" s="178" t="str">
        <f t="shared" si="51"/>
        <v>Tue</v>
      </c>
      <c r="C425" s="178" t="str">
        <f>'Pantry Inventory'!$A$98</f>
        <v>Sep Week 4</v>
      </c>
      <c r="D425" s="178" t="str">
        <f>IF('Pantry Inventory'!A119="","",'Pantry Inventory'!A119)</f>
        <v>Coca Cola</v>
      </c>
      <c r="E425" s="178" t="str">
        <f>IF('Pantry Inventory'!B119="","",'Pantry Inventory'!B119)</f>
        <v>Ayataka Tea 300ml</v>
      </c>
      <c r="F425" s="178" t="str">
        <f>IF(E425="","",IFERROR(IF(INDEX('Item Purchases'!$S$4:$S$30,MATCH(E425,'Item Purchases'!$B$4:$B$30,0))="","Uncategorised",INDEX('Item Purchases'!$S$4:$S$30,MATCH(E425,'Item Purchases'!$B$4:$B$30,0))),"Uncategorised"))</f>
        <v>Tea</v>
      </c>
      <c r="G425" s="178">
        <f>IF(E425="",0,'Pantry Inventory'!D119)</f>
        <v>24</v>
      </c>
      <c r="H425" s="178">
        <f>IF(E425="","",IF('Pantry Inventory'!E119="","",'Pantry Inventory'!E119))</f>
        <v>24</v>
      </c>
      <c r="I425" s="178">
        <f>IF(H425="","",'Pantry Inventory'!F119)</f>
        <v>36</v>
      </c>
      <c r="J425" s="179">
        <f>IF(E425="",0,IFERROR(INDEX('Item Purchases'!$Q$4:$Q$30,MATCH(E425,'Item Purchases'!$B$4:$B$30,0)),0))</f>
        <v>1.75</v>
      </c>
      <c r="K425" s="180">
        <f t="shared" si="52"/>
        <v>63</v>
      </c>
      <c r="L425" s="178">
        <f t="shared" si="53"/>
        <v>1</v>
      </c>
      <c r="M425" s="178">
        <f>IF(E425="",0,IF(AND(OR(OR(Dashboard!$E$5="All",Dashboard!$E$5=""),AG425=Dashboard!$E$5),OR(OR(Dashboard!$H$5="All",Dashboard!$H$5=""),F425=Dashboard!$H$5),OR(OR(Dashboard!$B$5="All",Dashboard!$B$5=""),C425=Dashboard!$B$5),OR(OR(Dashboard!$K$5="All",Dashboard!$K$5=""),A425=Dashboard!$K$5),OR(OR(Dashboard!$N$5="All",Dashboard!$N$5=""),B425=Dashboard!$N$5),OR(OR(Dashboard!$Q$5="All",Dashboard!$Q$5=""),D425=Dashboard!$Q$5),OR(OR(Dashboard!$U$5="All",Dashboard!$U$5=""),E425=Dashboard!$U$5)),1,0))</f>
        <v>1</v>
      </c>
      <c r="N425" s="178">
        <f>IF(E425="",0,IF(AND(OR(OR(Dashboard!$E$5="All",Dashboard!$E$5=""),AG425=Dashboard!$E$5),OR(OR(Dashboard!$B$5="All",Dashboard!$B$5=""),C425=Dashboard!$B$5),OR(OR(Dashboard!$K$5="All",Dashboard!$K$5=""),A425=Dashboard!$K$5),OR(OR(Dashboard!$N$5="All",Dashboard!$N$5=""),B425=Dashboard!$N$5),OR(OR(Dashboard!$Q$5="All",Dashboard!$Q$5=""),D425=Dashboard!$Q$5),OR(OR(Dashboard!$U$5="All",Dashboard!$U$5=""),E425=Dashboard!$U$5)),1,0))</f>
        <v>1</v>
      </c>
      <c r="O425" s="165">
        <f t="shared" si="54"/>
        <v>1296</v>
      </c>
      <c r="AG425" s="178" t="str">
        <f>IF(E425="","",IFERROR(IF(INDEX('Item Purchases'!$AM$4:$AM$30,MATCH(E425,'Item Purchases'!$B$4:$B$30,0))="","Uncategorised",INDEX('Item Purchases'!$AM$4:$AM$30,MATCH(E425,'Item Purchases'!$B$4:$B$30,0))),"Uncategorised"))</f>
        <v>Beverages</v>
      </c>
      <c r="AH425" s="165">
        <f>IF(AND(E425&lt;&gt;"",L425=1),COUNTIFS($E$2:E425,E425,$L$2:L425,1),0)</f>
        <v>16</v>
      </c>
      <c r="AI425" s="165">
        <f t="shared" si="55"/>
        <v>36</v>
      </c>
      <c r="AJ425" s="165">
        <f t="shared" si="56"/>
        <v>1</v>
      </c>
    </row>
    <row r="426" spans="1:36" x14ac:dyDescent="0.25">
      <c r="A426" s="177">
        <f t="shared" si="57"/>
        <v>46287</v>
      </c>
      <c r="B426" s="178" t="str">
        <f t="shared" si="51"/>
        <v>Tue</v>
      </c>
      <c r="C426" s="178" t="str">
        <f>'Pantry Inventory'!$A$98</f>
        <v>Sep Week 4</v>
      </c>
      <c r="D426" s="178" t="str">
        <f>IF('Pantry Inventory'!A120="","",'Pantry Inventory'!A120)</f>
        <v>Coca Cola</v>
      </c>
      <c r="E426" s="178" t="str">
        <f>IF('Pantry Inventory'!B120="","",'Pantry Inventory'!B120)</f>
        <v>Oolong Tea 300ml</v>
      </c>
      <c r="F426" s="178" t="str">
        <f>IF(E426="","",IFERROR(IF(INDEX('Item Purchases'!$S$4:$S$30,MATCH(E426,'Item Purchases'!$B$4:$B$30,0))="","Uncategorised",INDEX('Item Purchases'!$S$4:$S$30,MATCH(E426,'Item Purchases'!$B$4:$B$30,0))),"Uncategorised"))</f>
        <v>Tea</v>
      </c>
      <c r="G426" s="178">
        <f>IF(E426="",0,'Pantry Inventory'!D120)</f>
        <v>24</v>
      </c>
      <c r="H426" s="178">
        <f>IF(E426="","",IF('Pantry Inventory'!E120="","",'Pantry Inventory'!E120))</f>
        <v>38</v>
      </c>
      <c r="I426" s="178">
        <f>IF(H426="","",'Pantry Inventory'!F120)</f>
        <v>22</v>
      </c>
      <c r="J426" s="179">
        <f>IF(E426="",0,IFERROR(INDEX('Item Purchases'!$Q$4:$Q$30,MATCH(E426,'Item Purchases'!$B$4:$B$30,0)),0))</f>
        <v>1.75</v>
      </c>
      <c r="K426" s="180">
        <f t="shared" si="52"/>
        <v>38.5</v>
      </c>
      <c r="L426" s="178">
        <f t="shared" si="53"/>
        <v>1</v>
      </c>
      <c r="M426" s="178">
        <f>IF(E426="",0,IF(AND(OR(OR(Dashboard!$E$5="All",Dashboard!$E$5=""),AG426=Dashboard!$E$5),OR(OR(Dashboard!$H$5="All",Dashboard!$H$5=""),F426=Dashboard!$H$5),OR(OR(Dashboard!$B$5="All",Dashboard!$B$5=""),C426=Dashboard!$B$5),OR(OR(Dashboard!$K$5="All",Dashboard!$K$5=""),A426=Dashboard!$K$5),OR(OR(Dashboard!$N$5="All",Dashboard!$N$5=""),B426=Dashboard!$N$5),OR(OR(Dashboard!$Q$5="All",Dashboard!$Q$5=""),D426=Dashboard!$Q$5),OR(OR(Dashboard!$U$5="All",Dashboard!$U$5=""),E426=Dashboard!$U$5)),1,0))</f>
        <v>1</v>
      </c>
      <c r="N426" s="178">
        <f>IF(E426="",0,IF(AND(OR(OR(Dashboard!$E$5="All",Dashboard!$E$5=""),AG426=Dashboard!$E$5),OR(OR(Dashboard!$B$5="All",Dashboard!$B$5=""),C426=Dashboard!$B$5),OR(OR(Dashboard!$K$5="All",Dashboard!$K$5=""),A426=Dashboard!$K$5),OR(OR(Dashboard!$N$5="All",Dashboard!$N$5=""),B426=Dashboard!$N$5),OR(OR(Dashboard!$Q$5="All",Dashboard!$Q$5=""),D426=Dashboard!$Q$5),OR(OR(Dashboard!$U$5="All",Dashboard!$U$5=""),E426=Dashboard!$U$5)),1,0))</f>
        <v>1</v>
      </c>
      <c r="O426" s="165">
        <f t="shared" si="54"/>
        <v>484</v>
      </c>
      <c r="AG426" s="178" t="str">
        <f>IF(E426="","",IFERROR(IF(INDEX('Item Purchases'!$AM$4:$AM$30,MATCH(E426,'Item Purchases'!$B$4:$B$30,0))="","Uncategorised",INDEX('Item Purchases'!$AM$4:$AM$30,MATCH(E426,'Item Purchases'!$B$4:$B$30,0))),"Uncategorised"))</f>
        <v>Beverages</v>
      </c>
      <c r="AH426" s="165">
        <f>IF(AND(E426&lt;&gt;"",L426=1),COUNTIFS($E$2:E426,E426,$L$2:L426,1),0)</f>
        <v>16</v>
      </c>
      <c r="AI426" s="165">
        <f t="shared" si="55"/>
        <v>22</v>
      </c>
      <c r="AJ426" s="165">
        <f t="shared" si="56"/>
        <v>1</v>
      </c>
    </row>
    <row r="427" spans="1:36" x14ac:dyDescent="0.25">
      <c r="A427" s="177">
        <f t="shared" si="57"/>
        <v>46287</v>
      </c>
      <c r="B427" s="178" t="str">
        <f t="shared" si="51"/>
        <v>Tue</v>
      </c>
      <c r="C427" s="178" t="str">
        <f>'Pantry Inventory'!$A$98</f>
        <v>Sep Week 4</v>
      </c>
      <c r="D427" s="178" t="str">
        <f>IF('Pantry Inventory'!A121="","",'Pantry Inventory'!A121)</f>
        <v>Vsoy</v>
      </c>
      <c r="E427" s="178" t="str">
        <f>IF('Pantry Inventory'!B121="","",'Pantry Inventory'!B121)</f>
        <v>Vsoy Soya Bean  250ml</v>
      </c>
      <c r="F427" s="178" t="str">
        <f>IF(E427="","",IFERROR(IF(INDEX('Item Purchases'!$S$4:$S$30,MATCH(E427,'Item Purchases'!$B$4:$B$30,0))="","Uncategorised",INDEX('Item Purchases'!$S$4:$S$30,MATCH(E427,'Item Purchases'!$B$4:$B$30,0))),"Uncategorised"))</f>
        <v>Other</v>
      </c>
      <c r="G427" s="178">
        <f>IF(E427="",0,'Pantry Inventory'!D121)</f>
        <v>0</v>
      </c>
      <c r="H427" s="178">
        <f>IF(E427="","",IF('Pantry Inventory'!E121="","",'Pantry Inventory'!E121))</f>
        <v>24</v>
      </c>
      <c r="I427" s="178">
        <f>IF(H427="","",'Pantry Inventory'!F121)</f>
        <v>24</v>
      </c>
      <c r="J427" s="179">
        <f>IF(E427="",0,IFERROR(INDEX('Item Purchases'!$Q$4:$Q$30,MATCH(E427,'Item Purchases'!$B$4:$B$30,0)),0))</f>
        <v>1.25</v>
      </c>
      <c r="K427" s="180">
        <f t="shared" si="52"/>
        <v>30</v>
      </c>
      <c r="L427" s="178">
        <f t="shared" si="53"/>
        <v>1</v>
      </c>
      <c r="M427" s="178">
        <f>IF(E427="",0,IF(AND(OR(OR(Dashboard!$E$5="All",Dashboard!$E$5=""),AG427=Dashboard!$E$5),OR(OR(Dashboard!$H$5="All",Dashboard!$H$5=""),F427=Dashboard!$H$5),OR(OR(Dashboard!$B$5="All",Dashboard!$B$5=""),C427=Dashboard!$B$5),OR(OR(Dashboard!$K$5="All",Dashboard!$K$5=""),A427=Dashboard!$K$5),OR(OR(Dashboard!$N$5="All",Dashboard!$N$5=""),B427=Dashboard!$N$5),OR(OR(Dashboard!$Q$5="All",Dashboard!$Q$5=""),D427=Dashboard!$Q$5),OR(OR(Dashboard!$U$5="All",Dashboard!$U$5=""),E427=Dashboard!$U$5)),1,0))</f>
        <v>1</v>
      </c>
      <c r="N427" s="178">
        <f>IF(E427="",0,IF(AND(OR(OR(Dashboard!$E$5="All",Dashboard!$E$5=""),AG427=Dashboard!$E$5),OR(OR(Dashboard!$B$5="All",Dashboard!$B$5=""),C427=Dashboard!$B$5),OR(OR(Dashboard!$K$5="All",Dashboard!$K$5=""),A427=Dashboard!$K$5),OR(OR(Dashboard!$N$5="All",Dashboard!$N$5=""),B427=Dashboard!$N$5),OR(OR(Dashboard!$Q$5="All",Dashboard!$Q$5=""),D427=Dashboard!$Q$5),OR(OR(Dashboard!$U$5="All",Dashboard!$U$5=""),E427=Dashboard!$U$5)),1,0))</f>
        <v>1</v>
      </c>
      <c r="O427" s="165">
        <f t="shared" si="54"/>
        <v>576</v>
      </c>
      <c r="AG427" s="178" t="str">
        <f>IF(E427="","",IFERROR(IF(INDEX('Item Purchases'!$AM$4:$AM$30,MATCH(E427,'Item Purchases'!$B$4:$B$30,0))="","Uncategorised",INDEX('Item Purchases'!$AM$4:$AM$30,MATCH(E427,'Item Purchases'!$B$4:$B$30,0))),"Uncategorised"))</f>
        <v>Beverages</v>
      </c>
      <c r="AH427" s="165">
        <f>IF(AND(E427&lt;&gt;"",L427=1),COUNTIFS($E$2:E427,E427,$L$2:L427,1),0)</f>
        <v>16</v>
      </c>
      <c r="AI427" s="165">
        <f t="shared" si="55"/>
        <v>24</v>
      </c>
      <c r="AJ427" s="165">
        <f t="shared" si="56"/>
        <v>1</v>
      </c>
    </row>
    <row r="428" spans="1:36" x14ac:dyDescent="0.25">
      <c r="A428" s="177">
        <f t="shared" si="57"/>
        <v>46287</v>
      </c>
      <c r="B428" s="178" t="str">
        <f t="shared" si="51"/>
        <v>Tue</v>
      </c>
      <c r="C428" s="178" t="str">
        <f>'Pantry Inventory'!$A$98</f>
        <v>Sep Week 4</v>
      </c>
      <c r="D428" s="178" t="str">
        <f>IF('Pantry Inventory'!A122="","",'Pantry Inventory'!A122)</f>
        <v>BingRae</v>
      </c>
      <c r="E428" s="178" t="str">
        <f>IF('Pantry Inventory'!B122="","",'Pantry Inventory'!B122)</f>
        <v>BingRae Banana Milk 200ml</v>
      </c>
      <c r="F428" s="178" t="str">
        <f>IF(E428="","",IFERROR(IF(INDEX('Item Purchases'!$S$4:$S$30,MATCH(E428,'Item Purchases'!$B$4:$B$30,0))="","Uncategorised",INDEX('Item Purchases'!$S$4:$S$30,MATCH(E428,'Item Purchases'!$B$4:$B$30,0))),"Uncategorised"))</f>
        <v>Other</v>
      </c>
      <c r="G428" s="178">
        <f>IF(E428="",0,'Pantry Inventory'!D122)</f>
        <v>0</v>
      </c>
      <c r="H428" s="178">
        <f>IF(E428="","",IF('Pantry Inventory'!E122="","",'Pantry Inventory'!E122))</f>
        <v>3</v>
      </c>
      <c r="I428" s="178">
        <f>IF(H428="","",'Pantry Inventory'!F122)</f>
        <v>7</v>
      </c>
      <c r="J428" s="179">
        <f>IF(E428="",0,IFERROR(INDEX('Item Purchases'!$Q$4:$Q$30,MATCH(E428,'Item Purchases'!$B$4:$B$30,0)),0))</f>
        <v>3.3159999999999998</v>
      </c>
      <c r="K428" s="180">
        <f t="shared" si="52"/>
        <v>23.212</v>
      </c>
      <c r="L428" s="178">
        <f t="shared" si="53"/>
        <v>1</v>
      </c>
      <c r="M428" s="178">
        <f>IF(E428="",0,IF(AND(OR(OR(Dashboard!$E$5="All",Dashboard!$E$5=""),AG428=Dashboard!$E$5),OR(OR(Dashboard!$H$5="All",Dashboard!$H$5=""),F428=Dashboard!$H$5),OR(OR(Dashboard!$B$5="All",Dashboard!$B$5=""),C428=Dashboard!$B$5),OR(OR(Dashboard!$K$5="All",Dashboard!$K$5=""),A428=Dashboard!$K$5),OR(OR(Dashboard!$N$5="All",Dashboard!$N$5=""),B428=Dashboard!$N$5),OR(OR(Dashboard!$Q$5="All",Dashboard!$Q$5=""),D428=Dashboard!$Q$5),OR(OR(Dashboard!$U$5="All",Dashboard!$U$5=""),E428=Dashboard!$U$5)),1,0))</f>
        <v>1</v>
      </c>
      <c r="N428" s="178">
        <f>IF(E428="",0,IF(AND(OR(OR(Dashboard!$E$5="All",Dashboard!$E$5=""),AG428=Dashboard!$E$5),OR(OR(Dashboard!$B$5="All",Dashboard!$B$5=""),C428=Dashboard!$B$5),OR(OR(Dashboard!$K$5="All",Dashboard!$K$5=""),A428=Dashboard!$K$5),OR(OR(Dashboard!$N$5="All",Dashboard!$N$5=""),B428=Dashboard!$N$5),OR(OR(Dashboard!$Q$5="All",Dashboard!$Q$5=""),D428=Dashboard!$Q$5),OR(OR(Dashboard!$U$5="All",Dashboard!$U$5=""),E428=Dashboard!$U$5)),1,0))</f>
        <v>1</v>
      </c>
      <c r="O428" s="165">
        <f t="shared" si="54"/>
        <v>49</v>
      </c>
      <c r="AG428" s="178" t="str">
        <f>IF(E428="","",IFERROR(IF(INDEX('Item Purchases'!$AM$4:$AM$30,MATCH(E428,'Item Purchases'!$B$4:$B$30,0))="","Uncategorised",INDEX('Item Purchases'!$AM$4:$AM$30,MATCH(E428,'Item Purchases'!$B$4:$B$30,0))),"Uncategorised"))</f>
        <v>Beverages</v>
      </c>
      <c r="AH428" s="165">
        <f>IF(AND(E428&lt;&gt;"",L428=1),COUNTIFS($E$2:E428,E428,$L$2:L428,1),0)</f>
        <v>16</v>
      </c>
      <c r="AI428" s="165">
        <f t="shared" si="55"/>
        <v>7</v>
      </c>
      <c r="AJ428" s="165">
        <f t="shared" si="56"/>
        <v>1</v>
      </c>
    </row>
    <row r="429" spans="1:36" x14ac:dyDescent="0.25">
      <c r="A429" s="177">
        <f t="shared" si="57"/>
        <v>46287</v>
      </c>
      <c r="B429" s="178" t="str">
        <f t="shared" si="51"/>
        <v>Tue</v>
      </c>
      <c r="C429" s="178" t="str">
        <f>'Pantry Inventory'!$A$98</f>
        <v>Sep Week 4</v>
      </c>
      <c r="D429" s="178" t="str">
        <f>IF('Pantry Inventory'!A123="","",'Pantry Inventory'!A123)</f>
        <v>Fuze Tea</v>
      </c>
      <c r="E429" s="178" t="str">
        <f>IF('Pantry Inventory'!B123="","",'Pantry Inventory'!B123)</f>
        <v>Fuze Tea by Heaven and Earth Jasmine Tea</v>
      </c>
      <c r="F429" s="178" t="str">
        <f>IF(E429="","",IFERROR(IF(INDEX('Item Purchases'!$S$4:$S$30,MATCH(E429,'Item Purchases'!$B$4:$B$30,0))="","Uncategorised",INDEX('Item Purchases'!$S$4:$S$30,MATCH(E429,'Item Purchases'!$B$4:$B$30,0))),"Uncategorised"))</f>
        <v>Tea</v>
      </c>
      <c r="G429" s="178">
        <f>IF(E429="",0,'Pantry Inventory'!D123)</f>
        <v>0</v>
      </c>
      <c r="H429" s="178">
        <f>IF(E429="","",IF('Pantry Inventory'!E123="","",'Pantry Inventory'!E123))</f>
        <v>0</v>
      </c>
      <c r="I429" s="178">
        <f>IF(H429="","",'Pantry Inventory'!F123)</f>
        <v>0</v>
      </c>
      <c r="J429" s="179">
        <f>IF(E429="",0,IFERROR(INDEX('Item Purchases'!$Q$4:$Q$30,MATCH(E429,'Item Purchases'!$B$4:$B$30,0)),0))</f>
        <v>1.167</v>
      </c>
      <c r="K429" s="180">
        <f t="shared" si="52"/>
        <v>0</v>
      </c>
      <c r="L429" s="178">
        <f t="shared" si="53"/>
        <v>1</v>
      </c>
      <c r="M429" s="178">
        <f>IF(E429="",0,IF(AND(OR(OR(Dashboard!$E$5="All",Dashboard!$E$5=""),AG429=Dashboard!$E$5),OR(OR(Dashboard!$H$5="All",Dashboard!$H$5=""),F429=Dashboard!$H$5),OR(OR(Dashboard!$B$5="All",Dashboard!$B$5=""),C429=Dashboard!$B$5),OR(OR(Dashboard!$K$5="All",Dashboard!$K$5=""),A429=Dashboard!$K$5),OR(OR(Dashboard!$N$5="All",Dashboard!$N$5=""),B429=Dashboard!$N$5),OR(OR(Dashboard!$Q$5="All",Dashboard!$Q$5=""),D429=Dashboard!$Q$5),OR(OR(Dashboard!$U$5="All",Dashboard!$U$5=""),E429=Dashboard!$U$5)),1,0))</f>
        <v>1</v>
      </c>
      <c r="N429" s="178">
        <f>IF(E429="",0,IF(AND(OR(OR(Dashboard!$E$5="All",Dashboard!$E$5=""),AG429=Dashboard!$E$5),OR(OR(Dashboard!$B$5="All",Dashboard!$B$5=""),C429=Dashboard!$B$5),OR(OR(Dashboard!$K$5="All",Dashboard!$K$5=""),A429=Dashboard!$K$5),OR(OR(Dashboard!$N$5="All",Dashboard!$N$5=""),B429=Dashboard!$N$5),OR(OR(Dashboard!$Q$5="All",Dashboard!$Q$5=""),D429=Dashboard!$Q$5),OR(OR(Dashboard!$U$5="All",Dashboard!$U$5=""),E429=Dashboard!$U$5)),1,0))</f>
        <v>1</v>
      </c>
      <c r="O429" s="165">
        <f t="shared" si="54"/>
        <v>0</v>
      </c>
      <c r="AG429" s="178" t="str">
        <f>IF(E429="","",IFERROR(IF(INDEX('Item Purchases'!$AM$4:$AM$30,MATCH(E429,'Item Purchases'!$B$4:$B$30,0))="","Uncategorised",INDEX('Item Purchases'!$AM$4:$AM$30,MATCH(E429,'Item Purchases'!$B$4:$B$30,0))),"Uncategorised"))</f>
        <v>Beverages</v>
      </c>
      <c r="AH429" s="165">
        <f>IF(AND(E429&lt;&gt;"",L429=1),COUNTIFS($E$2:E429,E429,$L$2:L429,1),0)</f>
        <v>16</v>
      </c>
      <c r="AI429" s="165">
        <f t="shared" si="55"/>
        <v>0</v>
      </c>
      <c r="AJ429" s="165">
        <f t="shared" si="56"/>
        <v>0</v>
      </c>
    </row>
    <row r="430" spans="1:36" x14ac:dyDescent="0.25">
      <c r="A430" s="177">
        <f t="shared" si="57"/>
        <v>46287</v>
      </c>
      <c r="B430" s="178" t="str">
        <f t="shared" si="51"/>
        <v>Tue</v>
      </c>
      <c r="C430" s="178" t="str">
        <f>'Pantry Inventory'!$A$98</f>
        <v>Sep Week 4</v>
      </c>
      <c r="D430" s="178" t="str">
        <f>IF('Pantry Inventory'!A124="","",'Pantry Inventory'!A124)</f>
        <v>F&amp;N</v>
      </c>
      <c r="E430" s="178" t="str">
        <f>IF('Pantry Inventory'!B124="","",'Pantry Inventory'!B124)</f>
        <v>FN 100 plus (original) 325ml</v>
      </c>
      <c r="F430" s="178" t="str">
        <f>IF(E430="","",IFERROR(IF(INDEX('Item Purchases'!$S$4:$S$30,MATCH(E430,'Item Purchases'!$B$4:$B$30,0))="","Uncategorised",INDEX('Item Purchases'!$S$4:$S$30,MATCH(E430,'Item Purchases'!$B$4:$B$30,0))),"Uncategorised"))</f>
        <v>Other</v>
      </c>
      <c r="G430" s="178">
        <f>IF(E430="",0,'Pantry Inventory'!D124)</f>
        <v>24</v>
      </c>
      <c r="H430" s="178">
        <f>IF(E430="","",IF('Pantry Inventory'!E124="","",'Pantry Inventory'!E124))</f>
        <v>42</v>
      </c>
      <c r="I430" s="178">
        <f>IF(H430="","",'Pantry Inventory'!F124)</f>
        <v>9</v>
      </c>
      <c r="J430" s="179">
        <f>IF(E430="",0,IFERROR(INDEX('Item Purchases'!$Q$4:$Q$30,MATCH(E430,'Item Purchases'!$B$4:$B$30,0)),0))</f>
        <v>1.58</v>
      </c>
      <c r="K430" s="180">
        <f t="shared" si="52"/>
        <v>14.22</v>
      </c>
      <c r="L430" s="178">
        <f t="shared" si="53"/>
        <v>1</v>
      </c>
      <c r="M430" s="178">
        <f>IF(E430="",0,IF(AND(OR(OR(Dashboard!$E$5="All",Dashboard!$E$5=""),AG430=Dashboard!$E$5),OR(OR(Dashboard!$H$5="All",Dashboard!$H$5=""),F430=Dashboard!$H$5),OR(OR(Dashboard!$B$5="All",Dashboard!$B$5=""),C430=Dashboard!$B$5),OR(OR(Dashboard!$K$5="All",Dashboard!$K$5=""),A430=Dashboard!$K$5),OR(OR(Dashboard!$N$5="All",Dashboard!$N$5=""),B430=Dashboard!$N$5),OR(OR(Dashboard!$Q$5="All",Dashboard!$Q$5=""),D430=Dashboard!$Q$5),OR(OR(Dashboard!$U$5="All",Dashboard!$U$5=""),E430=Dashboard!$U$5)),1,0))</f>
        <v>1</v>
      </c>
      <c r="N430" s="178">
        <f>IF(E430="",0,IF(AND(OR(OR(Dashboard!$E$5="All",Dashboard!$E$5=""),AG430=Dashboard!$E$5),OR(OR(Dashboard!$B$5="All",Dashboard!$B$5=""),C430=Dashboard!$B$5),OR(OR(Dashboard!$K$5="All",Dashboard!$K$5=""),A430=Dashboard!$K$5),OR(OR(Dashboard!$N$5="All",Dashboard!$N$5=""),B430=Dashboard!$N$5),OR(OR(Dashboard!$Q$5="All",Dashboard!$Q$5=""),D430=Dashboard!$Q$5),OR(OR(Dashboard!$U$5="All",Dashboard!$U$5=""),E430=Dashboard!$U$5)),1,0))</f>
        <v>1</v>
      </c>
      <c r="O430" s="165">
        <f t="shared" si="54"/>
        <v>81</v>
      </c>
      <c r="AG430" s="178" t="str">
        <f>IF(E430="","",IFERROR(IF(INDEX('Item Purchases'!$AM$4:$AM$30,MATCH(E430,'Item Purchases'!$B$4:$B$30,0))="","Uncategorised",INDEX('Item Purchases'!$AM$4:$AM$30,MATCH(E430,'Item Purchases'!$B$4:$B$30,0))),"Uncategorised"))</f>
        <v>Beverages</v>
      </c>
      <c r="AH430" s="165">
        <f>IF(AND(E430&lt;&gt;"",L430=1),COUNTIFS($E$2:E430,E430,$L$2:L430,1),0)</f>
        <v>16</v>
      </c>
      <c r="AI430" s="165">
        <f t="shared" si="55"/>
        <v>9</v>
      </c>
      <c r="AJ430" s="165">
        <f t="shared" si="56"/>
        <v>1</v>
      </c>
    </row>
    <row r="431" spans="1:36" x14ac:dyDescent="0.25">
      <c r="A431" s="177">
        <f t="shared" si="57"/>
        <v>46287</v>
      </c>
      <c r="B431" s="178" t="str">
        <f t="shared" si="51"/>
        <v>Tue</v>
      </c>
      <c r="C431" s="178" t="str">
        <f>'Pantry Inventory'!$A$98</f>
        <v>Sep Week 4</v>
      </c>
      <c r="D431" s="178" t="str">
        <f>IF('Pantry Inventory'!A125="","",'Pantry Inventory'!A125)</f>
        <v>Spritzer</v>
      </c>
      <c r="E431" s="178" t="str">
        <f>IF('Pantry Inventory'!B125="","",'Pantry Inventory'!B125)</f>
        <v>Spritzer sparkling water (original) 400ml</v>
      </c>
      <c r="F431" s="178" t="str">
        <f>IF(E431="","",IFERROR(IF(INDEX('Item Purchases'!$S$4:$S$30,MATCH(E431,'Item Purchases'!$B$4:$B$30,0))="","Uncategorised",INDEX('Item Purchases'!$S$4:$S$30,MATCH(E431,'Item Purchases'!$B$4:$B$30,0))),"Uncategorised"))</f>
        <v>Other</v>
      </c>
      <c r="G431" s="178">
        <f>IF(E431="",0,'Pantry Inventory'!D125)</f>
        <v>48</v>
      </c>
      <c r="H431" s="178">
        <f>IF(E431="","",IF('Pantry Inventory'!E125="","",'Pantry Inventory'!E125))</f>
        <v>48</v>
      </c>
      <c r="I431" s="178">
        <f>IF(H431="","",'Pantry Inventory'!F125)</f>
        <v>6</v>
      </c>
      <c r="J431" s="179">
        <f>IF(E431="",0,IFERROR(INDEX('Item Purchases'!$Q$4:$Q$30,MATCH(E431,'Item Purchases'!$B$4:$B$30,0)),0))</f>
        <v>1.616666666666666</v>
      </c>
      <c r="K431" s="180">
        <f t="shared" si="52"/>
        <v>9.6999999999999957</v>
      </c>
      <c r="L431" s="178">
        <f t="shared" si="53"/>
        <v>1</v>
      </c>
      <c r="M431" s="178">
        <f>IF(E431="",0,IF(AND(OR(OR(Dashboard!$E$5="All",Dashboard!$E$5=""),AG431=Dashboard!$E$5),OR(OR(Dashboard!$H$5="All",Dashboard!$H$5=""),F431=Dashboard!$H$5),OR(OR(Dashboard!$B$5="All",Dashboard!$B$5=""),C431=Dashboard!$B$5),OR(OR(Dashboard!$K$5="All",Dashboard!$K$5=""),A431=Dashboard!$K$5),OR(OR(Dashboard!$N$5="All",Dashboard!$N$5=""),B431=Dashboard!$N$5),OR(OR(Dashboard!$Q$5="All",Dashboard!$Q$5=""),D431=Dashboard!$Q$5),OR(OR(Dashboard!$U$5="All",Dashboard!$U$5=""),E431=Dashboard!$U$5)),1,0))</f>
        <v>1</v>
      </c>
      <c r="N431" s="178">
        <f>IF(E431="",0,IF(AND(OR(OR(Dashboard!$E$5="All",Dashboard!$E$5=""),AG431=Dashboard!$E$5),OR(OR(Dashboard!$B$5="All",Dashboard!$B$5=""),C431=Dashboard!$B$5),OR(OR(Dashboard!$K$5="All",Dashboard!$K$5=""),A431=Dashboard!$K$5),OR(OR(Dashboard!$N$5="All",Dashboard!$N$5=""),B431=Dashboard!$N$5),OR(OR(Dashboard!$Q$5="All",Dashboard!$Q$5=""),D431=Dashboard!$Q$5),OR(OR(Dashboard!$U$5="All",Dashboard!$U$5=""),E431=Dashboard!$U$5)),1,0))</f>
        <v>1</v>
      </c>
      <c r="O431" s="165">
        <f t="shared" si="54"/>
        <v>36</v>
      </c>
      <c r="AG431" s="178" t="str">
        <f>IF(E431="","",IFERROR(IF(INDEX('Item Purchases'!$AM$4:$AM$30,MATCH(E431,'Item Purchases'!$B$4:$B$30,0))="","Uncategorised",INDEX('Item Purchases'!$AM$4:$AM$30,MATCH(E431,'Item Purchases'!$B$4:$B$30,0))),"Uncategorised"))</f>
        <v>Beverages</v>
      </c>
      <c r="AH431" s="165">
        <f>IF(AND(E431&lt;&gt;"",L431=1),COUNTIFS($E$2:E431,E431,$L$2:L431,1),0)</f>
        <v>16</v>
      </c>
      <c r="AI431" s="165">
        <f t="shared" si="55"/>
        <v>6</v>
      </c>
      <c r="AJ431" s="165">
        <f t="shared" si="56"/>
        <v>1</v>
      </c>
    </row>
    <row r="432" spans="1:36" x14ac:dyDescent="0.25">
      <c r="A432" s="177">
        <f t="shared" si="57"/>
        <v>46287</v>
      </c>
      <c r="B432" s="178" t="str">
        <f t="shared" si="51"/>
        <v>Tue</v>
      </c>
      <c r="C432" s="178" t="str">
        <f>'Pantry Inventory'!$A$98</f>
        <v>Sep Week 4</v>
      </c>
      <c r="D432" s="178" t="str">
        <f>IF('Pantry Inventory'!A126="","",'Pantry Inventory'!A126)</f>
        <v>Oat Side</v>
      </c>
      <c r="E432" s="178" t="str">
        <f>IF('Pantry Inventory'!B126="","",'Pantry Inventory'!B126)</f>
        <v>Oat Side Original 200ml</v>
      </c>
      <c r="F432" s="178" t="str">
        <f>IF(E432="","",IFERROR(IF(INDEX('Item Purchases'!$S$4:$S$30,MATCH(E432,'Item Purchases'!$B$4:$B$30,0))="","Uncategorised",INDEX('Item Purchases'!$S$4:$S$30,MATCH(E432,'Item Purchases'!$B$4:$B$30,0))),"Uncategorised"))</f>
        <v>Other</v>
      </c>
      <c r="G432" s="178">
        <f>IF(E432="",0,'Pantry Inventory'!D126)</f>
        <v>24</v>
      </c>
      <c r="H432" s="178">
        <f>IF(E432="","",IF('Pantry Inventory'!E126="","",'Pantry Inventory'!E126))</f>
        <v>39</v>
      </c>
      <c r="I432" s="178">
        <f>IF(H432="","",'Pantry Inventory'!F126)</f>
        <v>18</v>
      </c>
      <c r="J432" s="179">
        <f>IF(E432="",0,IFERROR(INDEX('Item Purchases'!$Q$4:$Q$30,MATCH(E432,'Item Purchases'!$B$4:$B$30,0)),0))</f>
        <v>3</v>
      </c>
      <c r="K432" s="180">
        <f t="shared" si="52"/>
        <v>54</v>
      </c>
      <c r="L432" s="178">
        <f t="shared" si="53"/>
        <v>1</v>
      </c>
      <c r="M432" s="178">
        <f>IF(E432="",0,IF(AND(OR(OR(Dashboard!$E$5="All",Dashboard!$E$5=""),AG432=Dashboard!$E$5),OR(OR(Dashboard!$H$5="All",Dashboard!$H$5=""),F432=Dashboard!$H$5),OR(OR(Dashboard!$B$5="All",Dashboard!$B$5=""),C432=Dashboard!$B$5),OR(OR(Dashboard!$K$5="All",Dashboard!$K$5=""),A432=Dashboard!$K$5),OR(OR(Dashboard!$N$5="All",Dashboard!$N$5=""),B432=Dashboard!$N$5),OR(OR(Dashboard!$Q$5="All",Dashboard!$Q$5=""),D432=Dashboard!$Q$5),OR(OR(Dashboard!$U$5="All",Dashboard!$U$5=""),E432=Dashboard!$U$5)),1,0))</f>
        <v>1</v>
      </c>
      <c r="N432" s="178">
        <f>IF(E432="",0,IF(AND(OR(OR(Dashboard!$E$5="All",Dashboard!$E$5=""),AG432=Dashboard!$E$5),OR(OR(Dashboard!$B$5="All",Dashboard!$B$5=""),C432=Dashboard!$B$5),OR(OR(Dashboard!$K$5="All",Dashboard!$K$5=""),A432=Dashboard!$K$5),OR(OR(Dashboard!$N$5="All",Dashboard!$N$5=""),B432=Dashboard!$N$5),OR(OR(Dashboard!$Q$5="All",Dashboard!$Q$5=""),D432=Dashboard!$Q$5),OR(OR(Dashboard!$U$5="All",Dashboard!$U$5=""),E432=Dashboard!$U$5)),1,0))</f>
        <v>1</v>
      </c>
      <c r="O432" s="165">
        <f t="shared" si="54"/>
        <v>324</v>
      </c>
      <c r="AG432" s="178" t="str">
        <f>IF(E432="","",IFERROR(IF(INDEX('Item Purchases'!$AM$4:$AM$30,MATCH(E432,'Item Purchases'!$B$4:$B$30,0))="","Uncategorised",INDEX('Item Purchases'!$AM$4:$AM$30,MATCH(E432,'Item Purchases'!$B$4:$B$30,0))),"Uncategorised"))</f>
        <v>Beverages</v>
      </c>
      <c r="AH432" s="165">
        <f>IF(AND(E432&lt;&gt;"",L432=1),COUNTIFS($E$2:E432,E432,$L$2:L432,1),0)</f>
        <v>16</v>
      </c>
      <c r="AI432" s="165">
        <f t="shared" si="55"/>
        <v>18</v>
      </c>
      <c r="AJ432" s="165">
        <f t="shared" si="56"/>
        <v>1</v>
      </c>
    </row>
    <row r="433" spans="1:36" x14ac:dyDescent="0.25">
      <c r="A433" s="177">
        <f t="shared" si="57"/>
        <v>46287</v>
      </c>
      <c r="B433" s="178" t="str">
        <f t="shared" si="51"/>
        <v>Tue</v>
      </c>
      <c r="C433" s="178" t="str">
        <f>'Pantry Inventory'!$A$98</f>
        <v>Sep Week 4</v>
      </c>
      <c r="D433" s="178" t="str">
        <f>IF('Pantry Inventory'!A127="","",'Pantry Inventory'!A127)</f>
        <v>Oat Side</v>
      </c>
      <c r="E433" s="178" t="str">
        <f>IF('Pantry Inventory'!B127="","",'Pantry Inventory'!B127)</f>
        <v>Oat Side Chocolate 200ml</v>
      </c>
      <c r="F433" s="178" t="str">
        <f>IF(E433="","",IFERROR(IF(INDEX('Item Purchases'!$S$4:$S$30,MATCH(E433,'Item Purchases'!$B$4:$B$30,0))="","Uncategorised",INDEX('Item Purchases'!$S$4:$S$30,MATCH(E433,'Item Purchases'!$B$4:$B$30,0))),"Uncategorised"))</f>
        <v>Other</v>
      </c>
      <c r="G433" s="178">
        <f>IF(E433="",0,'Pantry Inventory'!D127)</f>
        <v>24</v>
      </c>
      <c r="H433" s="178">
        <f>IF(E433="","",IF('Pantry Inventory'!E127="","",'Pantry Inventory'!E127))</f>
        <v>58</v>
      </c>
      <c r="I433" s="178">
        <f>IF(H433="","",'Pantry Inventory'!F127)</f>
        <v>14</v>
      </c>
      <c r="J433" s="179">
        <f>IF(E433="",0,IFERROR(INDEX('Item Purchases'!$Q$4:$Q$30,MATCH(E433,'Item Purchases'!$B$4:$B$30,0)),0))</f>
        <v>3</v>
      </c>
      <c r="K433" s="180">
        <f t="shared" si="52"/>
        <v>42</v>
      </c>
      <c r="L433" s="178">
        <f t="shared" si="53"/>
        <v>1</v>
      </c>
      <c r="M433" s="178">
        <f>IF(E433="",0,IF(AND(OR(OR(Dashboard!$E$5="All",Dashboard!$E$5=""),AG433=Dashboard!$E$5),OR(OR(Dashboard!$H$5="All",Dashboard!$H$5=""),F433=Dashboard!$H$5),OR(OR(Dashboard!$B$5="All",Dashboard!$B$5=""),C433=Dashboard!$B$5),OR(OR(Dashboard!$K$5="All",Dashboard!$K$5=""),A433=Dashboard!$K$5),OR(OR(Dashboard!$N$5="All",Dashboard!$N$5=""),B433=Dashboard!$N$5),OR(OR(Dashboard!$Q$5="All",Dashboard!$Q$5=""),D433=Dashboard!$Q$5),OR(OR(Dashboard!$U$5="All",Dashboard!$U$5=""),E433=Dashboard!$U$5)),1,0))</f>
        <v>1</v>
      </c>
      <c r="N433" s="178">
        <f>IF(E433="",0,IF(AND(OR(OR(Dashboard!$E$5="All",Dashboard!$E$5=""),AG433=Dashboard!$E$5),OR(OR(Dashboard!$B$5="All",Dashboard!$B$5=""),C433=Dashboard!$B$5),OR(OR(Dashboard!$K$5="All",Dashboard!$K$5=""),A433=Dashboard!$K$5),OR(OR(Dashboard!$N$5="All",Dashboard!$N$5=""),B433=Dashboard!$N$5),OR(OR(Dashboard!$Q$5="All",Dashboard!$Q$5=""),D433=Dashboard!$Q$5),OR(OR(Dashboard!$U$5="All",Dashboard!$U$5=""),E433=Dashboard!$U$5)),1,0))</f>
        <v>1</v>
      </c>
      <c r="O433" s="165">
        <f t="shared" si="54"/>
        <v>196</v>
      </c>
      <c r="AG433" s="178" t="str">
        <f>IF(E433="","",IFERROR(IF(INDEX('Item Purchases'!$AM$4:$AM$30,MATCH(E433,'Item Purchases'!$B$4:$B$30,0))="","Uncategorised",INDEX('Item Purchases'!$AM$4:$AM$30,MATCH(E433,'Item Purchases'!$B$4:$B$30,0))),"Uncategorised"))</f>
        <v>Beverages</v>
      </c>
      <c r="AH433" s="165">
        <f>IF(AND(E433&lt;&gt;"",L433=1),COUNTIFS($E$2:E433,E433,$L$2:L433,1),0)</f>
        <v>16</v>
      </c>
      <c r="AI433" s="165">
        <f t="shared" si="55"/>
        <v>14</v>
      </c>
      <c r="AJ433" s="165">
        <f t="shared" si="56"/>
        <v>1</v>
      </c>
    </row>
    <row r="434" spans="1:36" x14ac:dyDescent="0.25">
      <c r="A434" s="177">
        <f t="shared" ref="A434:A460" si="58">IF($Z$18="",0,$Z$18)</f>
        <v>46288</v>
      </c>
      <c r="B434" s="178" t="str">
        <f t="shared" si="51"/>
        <v>Wed</v>
      </c>
      <c r="C434" s="178" t="str">
        <f>'Pantry Inventory'!$A$98</f>
        <v>Sep Week 4</v>
      </c>
      <c r="D434" s="178" t="str">
        <f>IF('Pantry Inventory'!A101="","",'Pantry Inventory'!A101)</f>
        <v>Julie's</v>
      </c>
      <c r="E434" s="178" t="str">
        <f>IF('Pantry Inventory'!B101="","",'Pantry Inventory'!B101)</f>
        <v>Julie's Peanut Butter Sandwich 360g (12pkts x 30g)</v>
      </c>
      <c r="F434" s="178" t="str">
        <f>IF(E434="","",IFERROR(IF(INDEX('Item Purchases'!$S$4:$S$30,MATCH(E434,'Item Purchases'!$B$4:$B$30,0))="","Uncategorised",INDEX('Item Purchases'!$S$4:$S$30,MATCH(E434,'Item Purchases'!$B$4:$B$30,0))),"Uncategorised"))</f>
        <v>Sweet</v>
      </c>
      <c r="G434" s="178">
        <f>IF(E434="",0,'Pantry Inventory'!G101)</f>
        <v>24</v>
      </c>
      <c r="H434" s="178">
        <f>IF(E434="","",IF('Pantry Inventory'!H101="","",'Pantry Inventory'!H101))</f>
        <v>46</v>
      </c>
      <c r="I434" s="178">
        <f>IF(H434="","",'Pantry Inventory'!I101)</f>
        <v>8</v>
      </c>
      <c r="J434" s="179">
        <f>IF(E434="",0,IFERROR(INDEX('Item Purchases'!$Q$4:$Q$30,MATCH(E434,'Item Purchases'!$B$4:$B$30,0)),0))</f>
        <v>1.083</v>
      </c>
      <c r="K434" s="180">
        <f t="shared" si="52"/>
        <v>8.6639999999999997</v>
      </c>
      <c r="L434" s="178">
        <f t="shared" si="53"/>
        <v>1</v>
      </c>
      <c r="M434" s="178">
        <f>IF(E434="",0,IF(AND(OR(OR(Dashboard!$E$5="All",Dashboard!$E$5=""),AG434=Dashboard!$E$5),OR(OR(Dashboard!$H$5="All",Dashboard!$H$5=""),F434=Dashboard!$H$5),OR(OR(Dashboard!$B$5="All",Dashboard!$B$5=""),C434=Dashboard!$B$5),OR(OR(Dashboard!$K$5="All",Dashboard!$K$5=""),A434=Dashboard!$K$5),OR(OR(Dashboard!$N$5="All",Dashboard!$N$5=""),B434=Dashboard!$N$5),OR(OR(Dashboard!$Q$5="All",Dashboard!$Q$5=""),D434=Dashboard!$Q$5),OR(OR(Dashboard!$U$5="All",Dashboard!$U$5=""),E434=Dashboard!$U$5)),1,0))</f>
        <v>1</v>
      </c>
      <c r="N434" s="178">
        <f>IF(E434="",0,IF(AND(OR(OR(Dashboard!$E$5="All",Dashboard!$E$5=""),AG434=Dashboard!$E$5),OR(OR(Dashboard!$B$5="All",Dashboard!$B$5=""),C434=Dashboard!$B$5),OR(OR(Dashboard!$K$5="All",Dashboard!$K$5=""),A434=Dashboard!$K$5),OR(OR(Dashboard!$N$5="All",Dashboard!$N$5=""),B434=Dashboard!$N$5),OR(OR(Dashboard!$Q$5="All",Dashboard!$Q$5=""),D434=Dashboard!$Q$5),OR(OR(Dashboard!$U$5="All",Dashboard!$U$5=""),E434=Dashboard!$U$5)),1,0))</f>
        <v>1</v>
      </c>
      <c r="O434" s="165">
        <f t="shared" si="54"/>
        <v>64</v>
      </c>
      <c r="AG434" s="178" t="str">
        <f>IF(E434="","",IFERROR(IF(INDEX('Item Purchases'!$AM$4:$AM$30,MATCH(E434,'Item Purchases'!$B$4:$B$30,0))="","Uncategorised",INDEX('Item Purchases'!$AM$4:$AM$30,MATCH(E434,'Item Purchases'!$B$4:$B$30,0))),"Uncategorised"))</f>
        <v>Snacks</v>
      </c>
      <c r="AH434" s="165">
        <f>IF(AND(E434&lt;&gt;"",L434=1),COUNTIFS($E$2:E434,E434,$L$2:L434,1),0)</f>
        <v>17</v>
      </c>
      <c r="AI434" s="165">
        <f t="shared" si="55"/>
        <v>8</v>
      </c>
      <c r="AJ434" s="165">
        <f t="shared" si="56"/>
        <v>1</v>
      </c>
    </row>
    <row r="435" spans="1:36" x14ac:dyDescent="0.25">
      <c r="A435" s="177">
        <f t="shared" si="58"/>
        <v>46288</v>
      </c>
      <c r="B435" s="178" t="str">
        <f t="shared" si="51"/>
        <v>Wed</v>
      </c>
      <c r="C435" s="178" t="str">
        <f>'Pantry Inventory'!$A$98</f>
        <v>Sep Week 4</v>
      </c>
      <c r="D435" s="178" t="str">
        <f>IF('Pantry Inventory'!A102="","",'Pantry Inventory'!A102)</f>
        <v>Julie's</v>
      </c>
      <c r="E435" s="178" t="str">
        <f>IF('Pantry Inventory'!B102="","",'Pantry Inventory'!B102)</f>
        <v>Julies Butter Waffles</v>
      </c>
      <c r="F435" s="178" t="str">
        <f>IF(E435="","",IFERROR(IF(INDEX('Item Purchases'!$S$4:$S$30,MATCH(E435,'Item Purchases'!$B$4:$B$30,0))="","Uncategorised",INDEX('Item Purchases'!$S$4:$S$30,MATCH(E435,'Item Purchases'!$B$4:$B$30,0))),"Uncategorised"))</f>
        <v>Sweet</v>
      </c>
      <c r="G435" s="178">
        <f>IF(E435="",0,'Pantry Inventory'!G102)</f>
        <v>0</v>
      </c>
      <c r="H435" s="178">
        <f>IF(E435="","",IF('Pantry Inventory'!H102="","",'Pantry Inventory'!H102))</f>
        <v>8</v>
      </c>
      <c r="I435" s="178">
        <f>IF(H435="","",'Pantry Inventory'!I102)</f>
        <v>1</v>
      </c>
      <c r="J435" s="179">
        <f>IF(E435="",0,IFERROR(INDEX('Item Purchases'!$Q$4:$Q$30,MATCH(E435,'Item Purchases'!$B$4:$B$30,0)),0))</f>
        <v>5.15</v>
      </c>
      <c r="K435" s="180">
        <f t="shared" si="52"/>
        <v>5.15</v>
      </c>
      <c r="L435" s="178">
        <f t="shared" si="53"/>
        <v>1</v>
      </c>
      <c r="M435" s="178">
        <f>IF(E435="",0,IF(AND(OR(OR(Dashboard!$E$5="All",Dashboard!$E$5=""),AG435=Dashboard!$E$5),OR(OR(Dashboard!$H$5="All",Dashboard!$H$5=""),F435=Dashboard!$H$5),OR(OR(Dashboard!$B$5="All",Dashboard!$B$5=""),C435=Dashboard!$B$5),OR(OR(Dashboard!$K$5="All",Dashboard!$K$5=""),A435=Dashboard!$K$5),OR(OR(Dashboard!$N$5="All",Dashboard!$N$5=""),B435=Dashboard!$N$5),OR(OR(Dashboard!$Q$5="All",Dashboard!$Q$5=""),D435=Dashboard!$Q$5),OR(OR(Dashboard!$U$5="All",Dashboard!$U$5=""),E435=Dashboard!$U$5)),1,0))</f>
        <v>1</v>
      </c>
      <c r="N435" s="178">
        <f>IF(E435="",0,IF(AND(OR(OR(Dashboard!$E$5="All",Dashboard!$E$5=""),AG435=Dashboard!$E$5),OR(OR(Dashboard!$B$5="All",Dashboard!$B$5=""),C435=Dashboard!$B$5),OR(OR(Dashboard!$K$5="All",Dashboard!$K$5=""),A435=Dashboard!$K$5),OR(OR(Dashboard!$N$5="All",Dashboard!$N$5=""),B435=Dashboard!$N$5),OR(OR(Dashboard!$Q$5="All",Dashboard!$Q$5=""),D435=Dashboard!$Q$5),OR(OR(Dashboard!$U$5="All",Dashboard!$U$5=""),E435=Dashboard!$U$5)),1,0))</f>
        <v>1</v>
      </c>
      <c r="O435" s="165">
        <f t="shared" si="54"/>
        <v>1</v>
      </c>
      <c r="AG435" s="178" t="str">
        <f>IF(E435="","",IFERROR(IF(INDEX('Item Purchases'!$AM$4:$AM$30,MATCH(E435,'Item Purchases'!$B$4:$B$30,0))="","Uncategorised",INDEX('Item Purchases'!$AM$4:$AM$30,MATCH(E435,'Item Purchases'!$B$4:$B$30,0))),"Uncategorised"))</f>
        <v>Snacks</v>
      </c>
      <c r="AH435" s="165">
        <f>IF(AND(E435&lt;&gt;"",L435=1),COUNTIFS($E$2:E435,E435,$L$2:L435,1),0)</f>
        <v>17</v>
      </c>
      <c r="AI435" s="165">
        <f t="shared" si="55"/>
        <v>1</v>
      </c>
      <c r="AJ435" s="165">
        <f t="shared" si="56"/>
        <v>1</v>
      </c>
    </row>
    <row r="436" spans="1:36" x14ac:dyDescent="0.25">
      <c r="A436" s="177">
        <f t="shared" si="58"/>
        <v>46288</v>
      </c>
      <c r="B436" s="178" t="str">
        <f t="shared" si="51"/>
        <v>Wed</v>
      </c>
      <c r="C436" s="178" t="str">
        <f>'Pantry Inventory'!$A$98</f>
        <v>Sep Week 4</v>
      </c>
      <c r="D436" s="178" t="str">
        <f>IF('Pantry Inventory'!A103="","",'Pantry Inventory'!A103)</f>
        <v>Julie's</v>
      </c>
      <c r="E436" s="178" t="str">
        <f>IF('Pantry Inventory'!B103="","",'Pantry Inventory'!B103)</f>
        <v>Julies Choco More Sandwich (44G)</v>
      </c>
      <c r="F436" s="178" t="str">
        <f>IF(E436="","",IFERROR(IF(INDEX('Item Purchases'!$S$4:$S$30,MATCH(E436,'Item Purchases'!$B$4:$B$30,0))="","Uncategorised",INDEX('Item Purchases'!$S$4:$S$30,MATCH(E436,'Item Purchases'!$B$4:$B$30,0))),"Uncategorised"))</f>
        <v>Sweet</v>
      </c>
      <c r="G436" s="178">
        <f>IF(E436="",0,'Pantry Inventory'!G103)</f>
        <v>16</v>
      </c>
      <c r="H436" s="178">
        <f>IF(E436="","",IF('Pantry Inventory'!H103="","",'Pantry Inventory'!H103))</f>
        <v>17</v>
      </c>
      <c r="I436" s="178">
        <f>IF(H436="","",'Pantry Inventory'!I103)</f>
        <v>14</v>
      </c>
      <c r="J436" s="179">
        <f>IF(E436="",0,IFERROR(INDEX('Item Purchases'!$Q$4:$Q$30,MATCH(E436,'Item Purchases'!$B$4:$B$30,0)),0))</f>
        <v>1.2</v>
      </c>
      <c r="K436" s="180">
        <f t="shared" si="52"/>
        <v>16.8</v>
      </c>
      <c r="L436" s="178">
        <f t="shared" si="53"/>
        <v>1</v>
      </c>
      <c r="M436" s="178">
        <f>IF(E436="",0,IF(AND(OR(OR(Dashboard!$E$5="All",Dashboard!$E$5=""),AG436=Dashboard!$E$5),OR(OR(Dashboard!$H$5="All",Dashboard!$H$5=""),F436=Dashboard!$H$5),OR(OR(Dashboard!$B$5="All",Dashboard!$B$5=""),C436=Dashboard!$B$5),OR(OR(Dashboard!$K$5="All",Dashboard!$K$5=""),A436=Dashboard!$K$5),OR(OR(Dashboard!$N$5="All",Dashboard!$N$5=""),B436=Dashboard!$N$5),OR(OR(Dashboard!$Q$5="All",Dashboard!$Q$5=""),D436=Dashboard!$Q$5),OR(OR(Dashboard!$U$5="All",Dashboard!$U$5=""),E436=Dashboard!$U$5)),1,0))</f>
        <v>1</v>
      </c>
      <c r="N436" s="178">
        <f>IF(E436="",0,IF(AND(OR(OR(Dashboard!$E$5="All",Dashboard!$E$5=""),AG436=Dashboard!$E$5),OR(OR(Dashboard!$B$5="All",Dashboard!$B$5=""),C436=Dashboard!$B$5),OR(OR(Dashboard!$K$5="All",Dashboard!$K$5=""),A436=Dashboard!$K$5),OR(OR(Dashboard!$N$5="All",Dashboard!$N$5=""),B436=Dashboard!$N$5),OR(OR(Dashboard!$Q$5="All",Dashboard!$Q$5=""),D436=Dashboard!$Q$5),OR(OR(Dashboard!$U$5="All",Dashboard!$U$5=""),E436=Dashboard!$U$5)),1,0))</f>
        <v>1</v>
      </c>
      <c r="O436" s="165">
        <f t="shared" si="54"/>
        <v>196</v>
      </c>
      <c r="AG436" s="178" t="str">
        <f>IF(E436="","",IFERROR(IF(INDEX('Item Purchases'!$AM$4:$AM$30,MATCH(E436,'Item Purchases'!$B$4:$B$30,0))="","Uncategorised",INDEX('Item Purchases'!$AM$4:$AM$30,MATCH(E436,'Item Purchases'!$B$4:$B$30,0))),"Uncategorised"))</f>
        <v>Snacks</v>
      </c>
      <c r="AH436" s="165">
        <f>IF(AND(E436&lt;&gt;"",L436=1),COUNTIFS($E$2:E436,E436,$L$2:L436,1),0)</f>
        <v>17</v>
      </c>
      <c r="AI436" s="165">
        <f t="shared" si="55"/>
        <v>14</v>
      </c>
      <c r="AJ436" s="165">
        <f t="shared" si="56"/>
        <v>1</v>
      </c>
    </row>
    <row r="437" spans="1:36" x14ac:dyDescent="0.25">
      <c r="A437" s="177">
        <f t="shared" si="58"/>
        <v>46288</v>
      </c>
      <c r="B437" s="178" t="str">
        <f t="shared" si="51"/>
        <v>Wed</v>
      </c>
      <c r="C437" s="178" t="str">
        <f>'Pantry Inventory'!$A$98</f>
        <v>Sep Week 4</v>
      </c>
      <c r="D437" s="178" t="str">
        <f>IF('Pantry Inventory'!A104="","",'Pantry Inventory'!A104)</f>
        <v>Julie's</v>
      </c>
      <c r="E437" s="178" t="str">
        <f>IF('Pantry Inventory'!B104="","",'Pantry Inventory'!B104)</f>
        <v>Julies Cheese Sandwich (28G)</v>
      </c>
      <c r="F437" s="178" t="str">
        <f>IF(E437="","",IFERROR(IF(INDEX('Item Purchases'!$S$4:$S$30,MATCH(E437,'Item Purchases'!$B$4:$B$30,0))="","Uncategorised",INDEX('Item Purchases'!$S$4:$S$30,MATCH(E437,'Item Purchases'!$B$4:$B$30,0))),"Uncategorised"))</f>
        <v>Savoury</v>
      </c>
      <c r="G437" s="178">
        <f>IF(E437="",0,'Pantry Inventory'!G104)</f>
        <v>0</v>
      </c>
      <c r="H437" s="178">
        <f>IF(E437="","",IF('Pantry Inventory'!H104="","",'Pantry Inventory'!H104))</f>
        <v>7</v>
      </c>
      <c r="I437" s="178">
        <f>IF(H437="","",'Pantry Inventory'!I104)</f>
        <v>11</v>
      </c>
      <c r="J437" s="179">
        <f>IF(E437="",0,IFERROR(INDEX('Item Purchases'!$Q$4:$Q$30,MATCH(E437,'Item Purchases'!$B$4:$B$30,0)),0))</f>
        <v>1.1000000000000001</v>
      </c>
      <c r="K437" s="180">
        <f t="shared" si="52"/>
        <v>12.100000000000001</v>
      </c>
      <c r="L437" s="178">
        <f t="shared" si="53"/>
        <v>1</v>
      </c>
      <c r="M437" s="178">
        <f>IF(E437="",0,IF(AND(OR(OR(Dashboard!$E$5="All",Dashboard!$E$5=""),AG437=Dashboard!$E$5),OR(OR(Dashboard!$H$5="All",Dashboard!$H$5=""),F437=Dashboard!$H$5),OR(OR(Dashboard!$B$5="All",Dashboard!$B$5=""),C437=Dashboard!$B$5),OR(OR(Dashboard!$K$5="All",Dashboard!$K$5=""),A437=Dashboard!$K$5),OR(OR(Dashboard!$N$5="All",Dashboard!$N$5=""),B437=Dashboard!$N$5),OR(OR(Dashboard!$Q$5="All",Dashboard!$Q$5=""),D437=Dashboard!$Q$5),OR(OR(Dashboard!$U$5="All",Dashboard!$U$5=""),E437=Dashboard!$U$5)),1,0))</f>
        <v>1</v>
      </c>
      <c r="N437" s="178">
        <f>IF(E437="",0,IF(AND(OR(OR(Dashboard!$E$5="All",Dashboard!$E$5=""),AG437=Dashboard!$E$5),OR(OR(Dashboard!$B$5="All",Dashboard!$B$5=""),C437=Dashboard!$B$5),OR(OR(Dashboard!$K$5="All",Dashboard!$K$5=""),A437=Dashboard!$K$5),OR(OR(Dashboard!$N$5="All",Dashboard!$N$5=""),B437=Dashboard!$N$5),OR(OR(Dashboard!$Q$5="All",Dashboard!$Q$5=""),D437=Dashboard!$Q$5),OR(OR(Dashboard!$U$5="All",Dashboard!$U$5=""),E437=Dashboard!$U$5)),1,0))</f>
        <v>1</v>
      </c>
      <c r="O437" s="165">
        <f t="shared" si="54"/>
        <v>121</v>
      </c>
      <c r="AG437" s="178" t="str">
        <f>IF(E437="","",IFERROR(IF(INDEX('Item Purchases'!$AM$4:$AM$30,MATCH(E437,'Item Purchases'!$B$4:$B$30,0))="","Uncategorised",INDEX('Item Purchases'!$AM$4:$AM$30,MATCH(E437,'Item Purchases'!$B$4:$B$30,0))),"Uncategorised"))</f>
        <v>Snacks</v>
      </c>
      <c r="AH437" s="165">
        <f>IF(AND(E437&lt;&gt;"",L437=1),COUNTIFS($E$2:E437,E437,$L$2:L437,1),0)</f>
        <v>17</v>
      </c>
      <c r="AI437" s="165">
        <f t="shared" si="55"/>
        <v>11</v>
      </c>
      <c r="AJ437" s="165">
        <f t="shared" si="56"/>
        <v>1</v>
      </c>
    </row>
    <row r="438" spans="1:36" x14ac:dyDescent="0.25">
      <c r="A438" s="177">
        <f t="shared" si="58"/>
        <v>46288</v>
      </c>
      <c r="B438" s="178" t="str">
        <f t="shared" si="51"/>
        <v>Wed</v>
      </c>
      <c r="C438" s="178" t="str">
        <f>'Pantry Inventory'!$A$98</f>
        <v>Sep Week 4</v>
      </c>
      <c r="D438" s="178" t="str">
        <f>IF('Pantry Inventory'!A105="","",'Pantry Inventory'!A105)</f>
        <v>Nature Valley</v>
      </c>
      <c r="E438" s="178" t="str">
        <f>IF('Pantry Inventory'!B105="","",'Pantry Inventory'!B105)</f>
        <v>NV OATS &amp; DARK CHOC 42GX5</v>
      </c>
      <c r="F438" s="178" t="str">
        <f>IF(E438="","",IFERROR(IF(INDEX('Item Purchases'!$S$4:$S$30,MATCH(E438,'Item Purchases'!$B$4:$B$30,0))="","Uncategorised",INDEX('Item Purchases'!$S$4:$S$30,MATCH(E438,'Item Purchases'!$B$4:$B$30,0))),"Uncategorised"))</f>
        <v>Sweet</v>
      </c>
      <c r="G438" s="178">
        <f>IF(E438="",0,'Pantry Inventory'!G105)</f>
        <v>0</v>
      </c>
      <c r="H438" s="178">
        <f>IF(E438="","",IF('Pantry Inventory'!H105="","",'Pantry Inventory'!H105))</f>
        <v>0</v>
      </c>
      <c r="I438" s="178">
        <f>IF(H438="","",'Pantry Inventory'!I105)</f>
        <v>0</v>
      </c>
      <c r="J438" s="179">
        <f>IF(E438="",0,IFERROR(INDEX('Item Purchases'!$Q$4:$Q$30,MATCH(E438,'Item Purchases'!$B$4:$B$30,0)),0))</f>
        <v>2.78</v>
      </c>
      <c r="K438" s="180">
        <f t="shared" si="52"/>
        <v>0</v>
      </c>
      <c r="L438" s="178">
        <f t="shared" si="53"/>
        <v>1</v>
      </c>
      <c r="M438" s="178">
        <f>IF(E438="",0,IF(AND(OR(OR(Dashboard!$E$5="All",Dashboard!$E$5=""),AG438=Dashboard!$E$5),OR(OR(Dashboard!$H$5="All",Dashboard!$H$5=""),F438=Dashboard!$H$5),OR(OR(Dashboard!$B$5="All",Dashboard!$B$5=""),C438=Dashboard!$B$5),OR(OR(Dashboard!$K$5="All",Dashboard!$K$5=""),A438=Dashboard!$K$5),OR(OR(Dashboard!$N$5="All",Dashboard!$N$5=""),B438=Dashboard!$N$5),OR(OR(Dashboard!$Q$5="All",Dashboard!$Q$5=""),D438=Dashboard!$Q$5),OR(OR(Dashboard!$U$5="All",Dashboard!$U$5=""),E438=Dashboard!$U$5)),1,0))</f>
        <v>1</v>
      </c>
      <c r="N438" s="178">
        <f>IF(E438="",0,IF(AND(OR(OR(Dashboard!$E$5="All",Dashboard!$E$5=""),AG438=Dashboard!$E$5),OR(OR(Dashboard!$B$5="All",Dashboard!$B$5=""),C438=Dashboard!$B$5),OR(OR(Dashboard!$K$5="All",Dashboard!$K$5=""),A438=Dashboard!$K$5),OR(OR(Dashboard!$N$5="All",Dashboard!$N$5=""),B438=Dashboard!$N$5),OR(OR(Dashboard!$Q$5="All",Dashboard!$Q$5=""),D438=Dashboard!$Q$5),OR(OR(Dashboard!$U$5="All",Dashboard!$U$5=""),E438=Dashboard!$U$5)),1,0))</f>
        <v>1</v>
      </c>
      <c r="O438" s="165">
        <f t="shared" si="54"/>
        <v>0</v>
      </c>
      <c r="AG438" s="178" t="str">
        <f>IF(E438="","",IFERROR(IF(INDEX('Item Purchases'!$AM$4:$AM$30,MATCH(E438,'Item Purchases'!$B$4:$B$30,0))="","Uncategorised",INDEX('Item Purchases'!$AM$4:$AM$30,MATCH(E438,'Item Purchases'!$B$4:$B$30,0))),"Uncategorised"))</f>
        <v>Snacks</v>
      </c>
      <c r="AH438" s="165">
        <f>IF(AND(E438&lt;&gt;"",L438=1),COUNTIFS($E$2:E438,E438,$L$2:L438,1),0)</f>
        <v>17</v>
      </c>
      <c r="AI438" s="165">
        <f t="shared" si="55"/>
        <v>0</v>
      </c>
      <c r="AJ438" s="165">
        <f t="shared" si="56"/>
        <v>0</v>
      </c>
    </row>
    <row r="439" spans="1:36" x14ac:dyDescent="0.25">
      <c r="A439" s="177">
        <f t="shared" si="58"/>
        <v>46288</v>
      </c>
      <c r="B439" s="178" t="str">
        <f t="shared" si="51"/>
        <v>Wed</v>
      </c>
      <c r="C439" s="178" t="str">
        <f>'Pantry Inventory'!$A$98</f>
        <v>Sep Week 4</v>
      </c>
      <c r="D439" s="178" t="str">
        <f>IF('Pantry Inventory'!A106="","",'Pantry Inventory'!A106)</f>
        <v>Nature Valley</v>
      </c>
      <c r="E439" s="178" t="str">
        <f>IF('Pantry Inventory'!B106="","",'Pantry Inventory'!B106)</f>
        <v xml:space="preserve">NV PROTEIN - SALTED CARAMEL 40G </v>
      </c>
      <c r="F439" s="178" t="str">
        <f>IF(E439="","",IFERROR(IF(INDEX('Item Purchases'!$S$4:$S$30,MATCH(E439,'Item Purchases'!$B$4:$B$30,0))="","Uncategorised",INDEX('Item Purchases'!$S$4:$S$30,MATCH(E439,'Item Purchases'!$B$4:$B$30,0))),"Uncategorised"))</f>
        <v>Sweet</v>
      </c>
      <c r="G439" s="178">
        <f>IF(E439="",0,'Pantry Inventory'!G106)</f>
        <v>0</v>
      </c>
      <c r="H439" s="178">
        <f>IF(E439="","",IF('Pantry Inventory'!H106="","",'Pantry Inventory'!H106))</f>
        <v>0</v>
      </c>
      <c r="I439" s="178">
        <f>IF(H439="","",'Pantry Inventory'!I106)</f>
        <v>0</v>
      </c>
      <c r="J439" s="179">
        <f>IF(E439="",0,IFERROR(INDEX('Item Purchases'!$Q$4:$Q$30,MATCH(E439,'Item Purchases'!$B$4:$B$30,0)),0))</f>
        <v>4.9000000000000004</v>
      </c>
      <c r="K439" s="180">
        <f t="shared" si="52"/>
        <v>0</v>
      </c>
      <c r="L439" s="178">
        <f t="shared" si="53"/>
        <v>1</v>
      </c>
      <c r="M439" s="178">
        <f>IF(E439="",0,IF(AND(OR(OR(Dashboard!$E$5="All",Dashboard!$E$5=""),AG439=Dashboard!$E$5),OR(OR(Dashboard!$H$5="All",Dashboard!$H$5=""),F439=Dashboard!$H$5),OR(OR(Dashboard!$B$5="All",Dashboard!$B$5=""),C439=Dashboard!$B$5),OR(OR(Dashboard!$K$5="All",Dashboard!$K$5=""),A439=Dashboard!$K$5),OR(OR(Dashboard!$N$5="All",Dashboard!$N$5=""),B439=Dashboard!$N$5),OR(OR(Dashboard!$Q$5="All",Dashboard!$Q$5=""),D439=Dashboard!$Q$5),OR(OR(Dashboard!$U$5="All",Dashboard!$U$5=""),E439=Dashboard!$U$5)),1,0))</f>
        <v>1</v>
      </c>
      <c r="N439" s="178">
        <f>IF(E439="",0,IF(AND(OR(OR(Dashboard!$E$5="All",Dashboard!$E$5=""),AG439=Dashboard!$E$5),OR(OR(Dashboard!$B$5="All",Dashboard!$B$5=""),C439=Dashboard!$B$5),OR(OR(Dashboard!$K$5="All",Dashboard!$K$5=""),A439=Dashboard!$K$5),OR(OR(Dashboard!$N$5="All",Dashboard!$N$5=""),B439=Dashboard!$N$5),OR(OR(Dashboard!$Q$5="All",Dashboard!$Q$5=""),D439=Dashboard!$Q$5),OR(OR(Dashboard!$U$5="All",Dashboard!$U$5=""),E439=Dashboard!$U$5)),1,0))</f>
        <v>1</v>
      </c>
      <c r="O439" s="165">
        <f t="shared" si="54"/>
        <v>0</v>
      </c>
      <c r="AG439" s="178" t="str">
        <f>IF(E439="","",IFERROR(IF(INDEX('Item Purchases'!$AM$4:$AM$30,MATCH(E439,'Item Purchases'!$B$4:$B$30,0))="","Uncategorised",INDEX('Item Purchases'!$AM$4:$AM$30,MATCH(E439,'Item Purchases'!$B$4:$B$30,0))),"Uncategorised"))</f>
        <v>Snacks</v>
      </c>
      <c r="AH439" s="165">
        <f>IF(AND(E439&lt;&gt;"",L439=1),COUNTIFS($E$2:E439,E439,$L$2:L439,1),0)</f>
        <v>17</v>
      </c>
      <c r="AI439" s="165">
        <f t="shared" si="55"/>
        <v>0</v>
      </c>
      <c r="AJ439" s="165">
        <f t="shared" si="56"/>
        <v>0</v>
      </c>
    </row>
    <row r="440" spans="1:36" x14ac:dyDescent="0.25">
      <c r="A440" s="177">
        <f t="shared" si="58"/>
        <v>46288</v>
      </c>
      <c r="B440" s="178" t="str">
        <f t="shared" si="51"/>
        <v>Wed</v>
      </c>
      <c r="C440" s="178" t="str">
        <f>'Pantry Inventory'!$A$98</f>
        <v>Sep Week 4</v>
      </c>
      <c r="D440" s="178" t="str">
        <f>IF('Pantry Inventory'!A107="","",'Pantry Inventory'!A107)</f>
        <v>BBMG</v>
      </c>
      <c r="E440" s="178" t="str">
        <f>IF('Pantry Inventory'!B107="","",'Pantry Inventory'!B107)</f>
        <v>BBMG 90G</v>
      </c>
      <c r="F440" s="178" t="str">
        <f>IF(E440="","",IFERROR(IF(INDEX('Item Purchases'!$S$4:$S$30,MATCH(E440,'Item Purchases'!$B$4:$B$30,0))="","Uncategorised",INDEX('Item Purchases'!$S$4:$S$30,MATCH(E440,'Item Purchases'!$B$4:$B$30,0))),"Uncategorised"))</f>
        <v>Savoury</v>
      </c>
      <c r="G440" s="178">
        <f>IF(E440="",0,'Pantry Inventory'!G107)</f>
        <v>0</v>
      </c>
      <c r="H440" s="178">
        <f>IF(E440="","",IF('Pantry Inventory'!H107="","",'Pantry Inventory'!H107))</f>
        <v>130</v>
      </c>
      <c r="I440" s="178">
        <f>IF(H440="","",'Pantry Inventory'!I107)</f>
        <v>70</v>
      </c>
      <c r="J440" s="179">
        <f>IF(E440="",0,IFERROR(INDEX('Item Purchases'!$Q$4:$Q$30,MATCH(E440,'Item Purchases'!$B$4:$B$30,0)),0))</f>
        <v>0.34300000000000003</v>
      </c>
      <c r="K440" s="180">
        <f t="shared" si="52"/>
        <v>24.01</v>
      </c>
      <c r="L440" s="178">
        <f t="shared" si="53"/>
        <v>1</v>
      </c>
      <c r="M440" s="178">
        <f>IF(E440="",0,IF(AND(OR(OR(Dashboard!$E$5="All",Dashboard!$E$5=""),AG440=Dashboard!$E$5),OR(OR(Dashboard!$H$5="All",Dashboard!$H$5=""),F440=Dashboard!$H$5),OR(OR(Dashboard!$B$5="All",Dashboard!$B$5=""),C440=Dashboard!$B$5),OR(OR(Dashboard!$K$5="All",Dashboard!$K$5=""),A440=Dashboard!$K$5),OR(OR(Dashboard!$N$5="All",Dashboard!$N$5=""),B440=Dashboard!$N$5),OR(OR(Dashboard!$Q$5="All",Dashboard!$Q$5=""),D440=Dashboard!$Q$5),OR(OR(Dashboard!$U$5="All",Dashboard!$U$5=""),E440=Dashboard!$U$5)),1,0))</f>
        <v>1</v>
      </c>
      <c r="N440" s="178">
        <f>IF(E440="",0,IF(AND(OR(OR(Dashboard!$E$5="All",Dashboard!$E$5=""),AG440=Dashboard!$E$5),OR(OR(Dashboard!$B$5="All",Dashboard!$B$5=""),C440=Dashboard!$B$5),OR(OR(Dashboard!$K$5="All",Dashboard!$K$5=""),A440=Dashboard!$K$5),OR(OR(Dashboard!$N$5="All",Dashboard!$N$5=""),B440=Dashboard!$N$5),OR(OR(Dashboard!$Q$5="All",Dashboard!$Q$5=""),D440=Dashboard!$Q$5),OR(OR(Dashboard!$U$5="All",Dashboard!$U$5=""),E440=Dashboard!$U$5)),1,0))</f>
        <v>1</v>
      </c>
      <c r="O440" s="165">
        <f t="shared" si="54"/>
        <v>4900</v>
      </c>
      <c r="AG440" s="178" t="str">
        <f>IF(E440="","",IFERROR(IF(INDEX('Item Purchases'!$AM$4:$AM$30,MATCH(E440,'Item Purchases'!$B$4:$B$30,0))="","Uncategorised",INDEX('Item Purchases'!$AM$4:$AM$30,MATCH(E440,'Item Purchases'!$B$4:$B$30,0))),"Uncategorised"))</f>
        <v>Snacks</v>
      </c>
      <c r="AH440" s="165">
        <f>IF(AND(E440&lt;&gt;"",L440=1),COUNTIFS($E$2:E440,E440,$L$2:L440,1),0)</f>
        <v>17</v>
      </c>
      <c r="AI440" s="165">
        <f t="shared" si="55"/>
        <v>70</v>
      </c>
      <c r="AJ440" s="165">
        <f t="shared" si="56"/>
        <v>1</v>
      </c>
    </row>
    <row r="441" spans="1:36" x14ac:dyDescent="0.25">
      <c r="A441" s="177">
        <f t="shared" si="58"/>
        <v>46288</v>
      </c>
      <c r="B441" s="178" t="str">
        <f t="shared" si="51"/>
        <v>Wed</v>
      </c>
      <c r="C441" s="178" t="str">
        <f>'Pantry Inventory'!$A$98</f>
        <v>Sep Week 4</v>
      </c>
      <c r="D441" s="178" t="str">
        <f>IF('Pantry Inventory'!A108="","",'Pantry Inventory'!A108)</f>
        <v>Lays</v>
      </c>
      <c r="E441" s="178" t="str">
        <f>IF('Pantry Inventory'!B108="","",'Pantry Inventory'!B108)</f>
        <v>Lays Potato Chips (Original) 50g</v>
      </c>
      <c r="F441" s="178" t="str">
        <f>IF(E441="","",IFERROR(IF(INDEX('Item Purchases'!$S$4:$S$30,MATCH(E441,'Item Purchases'!$B$4:$B$30,0))="","Uncategorised",INDEX('Item Purchases'!$S$4:$S$30,MATCH(E441,'Item Purchases'!$B$4:$B$30,0))),"Uncategorised"))</f>
        <v>Savoury</v>
      </c>
      <c r="G441" s="178">
        <f>IF(E441="",0,'Pantry Inventory'!G108)</f>
        <v>0</v>
      </c>
      <c r="H441" s="178">
        <f>IF(E441="","",IF('Pantry Inventory'!H108="","",'Pantry Inventory'!H108))</f>
        <v>20</v>
      </c>
      <c r="I441" s="178">
        <f>IF(H441="","",'Pantry Inventory'!I108)</f>
        <v>2</v>
      </c>
      <c r="J441" s="179">
        <f>IF(E441="",0,IFERROR(INDEX('Item Purchases'!$Q$4:$Q$30,MATCH(E441,'Item Purchases'!$B$4:$B$30,0)),0))</f>
        <v>3.4580000000000002</v>
      </c>
      <c r="K441" s="180">
        <f t="shared" si="52"/>
        <v>6.9160000000000004</v>
      </c>
      <c r="L441" s="178">
        <f t="shared" si="53"/>
        <v>1</v>
      </c>
      <c r="M441" s="178">
        <f>IF(E441="",0,IF(AND(OR(OR(Dashboard!$E$5="All",Dashboard!$E$5=""),AG441=Dashboard!$E$5),OR(OR(Dashboard!$H$5="All",Dashboard!$H$5=""),F441=Dashboard!$H$5),OR(OR(Dashboard!$B$5="All",Dashboard!$B$5=""),C441=Dashboard!$B$5),OR(OR(Dashboard!$K$5="All",Dashboard!$K$5=""),A441=Dashboard!$K$5),OR(OR(Dashboard!$N$5="All",Dashboard!$N$5=""),B441=Dashboard!$N$5),OR(OR(Dashboard!$Q$5="All",Dashboard!$Q$5=""),D441=Dashboard!$Q$5),OR(OR(Dashboard!$U$5="All",Dashboard!$U$5=""),E441=Dashboard!$U$5)),1,0))</f>
        <v>1</v>
      </c>
      <c r="N441" s="178">
        <f>IF(E441="",0,IF(AND(OR(OR(Dashboard!$E$5="All",Dashboard!$E$5=""),AG441=Dashboard!$E$5),OR(OR(Dashboard!$B$5="All",Dashboard!$B$5=""),C441=Dashboard!$B$5),OR(OR(Dashboard!$K$5="All",Dashboard!$K$5=""),A441=Dashboard!$K$5),OR(OR(Dashboard!$N$5="All",Dashboard!$N$5=""),B441=Dashboard!$N$5),OR(OR(Dashboard!$Q$5="All",Dashboard!$Q$5=""),D441=Dashboard!$Q$5),OR(OR(Dashboard!$U$5="All",Dashboard!$U$5=""),E441=Dashboard!$U$5)),1,0))</f>
        <v>1</v>
      </c>
      <c r="O441" s="165">
        <f t="shared" si="54"/>
        <v>4</v>
      </c>
      <c r="AG441" s="178" t="str">
        <f>IF(E441="","",IFERROR(IF(INDEX('Item Purchases'!$AM$4:$AM$30,MATCH(E441,'Item Purchases'!$B$4:$B$30,0))="","Uncategorised",INDEX('Item Purchases'!$AM$4:$AM$30,MATCH(E441,'Item Purchases'!$B$4:$B$30,0))),"Uncategorised"))</f>
        <v>Snacks</v>
      </c>
      <c r="AH441" s="165">
        <f>IF(AND(E441&lt;&gt;"",L441=1),COUNTIFS($E$2:E441,E441,$L$2:L441,1),0)</f>
        <v>17</v>
      </c>
      <c r="AI441" s="165">
        <f t="shared" si="55"/>
        <v>2</v>
      </c>
      <c r="AJ441" s="165">
        <f t="shared" si="56"/>
        <v>1</v>
      </c>
    </row>
    <row r="442" spans="1:36" x14ac:dyDescent="0.25">
      <c r="A442" s="177">
        <f t="shared" si="58"/>
        <v>46288</v>
      </c>
      <c r="B442" s="178" t="str">
        <f t="shared" si="51"/>
        <v>Wed</v>
      </c>
      <c r="C442" s="178" t="str">
        <f>'Pantry Inventory'!$A$98</f>
        <v>Sep Week 4</v>
      </c>
      <c r="D442" s="178" t="str">
        <f>IF('Pantry Inventory'!A109="","",'Pantry Inventory'!A109)</f>
        <v>Lays</v>
      </c>
      <c r="E442" s="178" t="str">
        <f>IF('Pantry Inventory'!B109="","",'Pantry Inventory'!B109)</f>
        <v xml:space="preserve">Lays Double Crunch - Seaweed Flav (50g) </v>
      </c>
      <c r="F442" s="178" t="str">
        <f>IF(E442="","",IFERROR(IF(INDEX('Item Purchases'!$S$4:$S$30,MATCH(E442,'Item Purchases'!$B$4:$B$30,0))="","Uncategorised",INDEX('Item Purchases'!$S$4:$S$30,MATCH(E442,'Item Purchases'!$B$4:$B$30,0))),"Uncategorised"))</f>
        <v>Savoury</v>
      </c>
      <c r="G442" s="178">
        <f>IF(E442="",0,'Pantry Inventory'!G109)</f>
        <v>27</v>
      </c>
      <c r="H442" s="178">
        <f>IF(E442="","",IF('Pantry Inventory'!H109="","",'Pantry Inventory'!H109))</f>
        <v>32</v>
      </c>
      <c r="I442" s="178">
        <f>IF(H442="","",'Pantry Inventory'!I109)</f>
        <v>10</v>
      </c>
      <c r="J442" s="179">
        <f>IF(E442="",0,IFERROR(INDEX('Item Purchases'!$Q$4:$Q$30,MATCH(E442,'Item Purchases'!$B$4:$B$30,0)),0))</f>
        <v>4</v>
      </c>
      <c r="K442" s="180">
        <f t="shared" si="52"/>
        <v>40</v>
      </c>
      <c r="L442" s="178">
        <f t="shared" si="53"/>
        <v>1</v>
      </c>
      <c r="M442" s="178">
        <f>IF(E442="",0,IF(AND(OR(OR(Dashboard!$E$5="All",Dashboard!$E$5=""),AG442=Dashboard!$E$5),OR(OR(Dashboard!$H$5="All",Dashboard!$H$5=""),F442=Dashboard!$H$5),OR(OR(Dashboard!$B$5="All",Dashboard!$B$5=""),C442=Dashboard!$B$5),OR(OR(Dashboard!$K$5="All",Dashboard!$K$5=""),A442=Dashboard!$K$5),OR(OR(Dashboard!$N$5="All",Dashboard!$N$5=""),B442=Dashboard!$N$5),OR(OR(Dashboard!$Q$5="All",Dashboard!$Q$5=""),D442=Dashboard!$Q$5),OR(OR(Dashboard!$U$5="All",Dashboard!$U$5=""),E442=Dashboard!$U$5)),1,0))</f>
        <v>1</v>
      </c>
      <c r="N442" s="178">
        <f>IF(E442="",0,IF(AND(OR(OR(Dashboard!$E$5="All",Dashboard!$E$5=""),AG442=Dashboard!$E$5),OR(OR(Dashboard!$B$5="All",Dashboard!$B$5=""),C442=Dashboard!$B$5),OR(OR(Dashboard!$K$5="All",Dashboard!$K$5=""),A442=Dashboard!$K$5),OR(OR(Dashboard!$N$5="All",Dashboard!$N$5=""),B442=Dashboard!$N$5),OR(OR(Dashboard!$Q$5="All",Dashboard!$Q$5=""),D442=Dashboard!$Q$5),OR(OR(Dashboard!$U$5="All",Dashboard!$U$5=""),E442=Dashboard!$U$5)),1,0))</f>
        <v>1</v>
      </c>
      <c r="O442" s="165">
        <f t="shared" si="54"/>
        <v>100</v>
      </c>
      <c r="AG442" s="178" t="str">
        <f>IF(E442="","",IFERROR(IF(INDEX('Item Purchases'!$AM$4:$AM$30,MATCH(E442,'Item Purchases'!$B$4:$B$30,0))="","Uncategorised",INDEX('Item Purchases'!$AM$4:$AM$30,MATCH(E442,'Item Purchases'!$B$4:$B$30,0))),"Uncategorised"))</f>
        <v>Snacks</v>
      </c>
      <c r="AH442" s="165">
        <f>IF(AND(E442&lt;&gt;"",L442=1),COUNTIFS($E$2:E442,E442,$L$2:L442,1),0)</f>
        <v>17</v>
      </c>
      <c r="AI442" s="165">
        <f t="shared" si="55"/>
        <v>10</v>
      </c>
      <c r="AJ442" s="165">
        <f t="shared" si="56"/>
        <v>1</v>
      </c>
    </row>
    <row r="443" spans="1:36" x14ac:dyDescent="0.25">
      <c r="A443" s="177">
        <f t="shared" si="58"/>
        <v>46288</v>
      </c>
      <c r="B443" s="178" t="str">
        <f t="shared" si="51"/>
        <v>Wed</v>
      </c>
      <c r="C443" s="178" t="str">
        <f>'Pantry Inventory'!$A$98</f>
        <v>Sep Week 4</v>
      </c>
      <c r="D443" s="178" t="str">
        <f>IF('Pantry Inventory'!A110="","",'Pantry Inventory'!A110)</f>
        <v>Munchy</v>
      </c>
      <c r="E443" s="178" t="str">
        <f>IF('Pantry Inventory'!B110="","",'Pantry Inventory'!B110)</f>
        <v>Munchy Oat Krunch - Dark Choco</v>
      </c>
      <c r="F443" s="178" t="str">
        <f>IF(E443="","",IFERROR(IF(INDEX('Item Purchases'!$S$4:$S$30,MATCH(E443,'Item Purchases'!$B$4:$B$30,0))="","Uncategorised",INDEX('Item Purchases'!$S$4:$S$30,MATCH(E443,'Item Purchases'!$B$4:$B$30,0))),"Uncategorised"))</f>
        <v>Sweet</v>
      </c>
      <c r="G443" s="178">
        <f>IF(E443="",0,'Pantry Inventory'!G110)</f>
        <v>30</v>
      </c>
      <c r="H443" s="178">
        <f>IF(E443="","",IF('Pantry Inventory'!H110="","",'Pantry Inventory'!H110))</f>
        <v>42</v>
      </c>
      <c r="I443" s="178">
        <f>IF(H443="","",'Pantry Inventory'!I110)</f>
        <v>0</v>
      </c>
      <c r="J443" s="179">
        <f>IF(E443="",0,IFERROR(INDEX('Item Purchases'!$Q$4:$Q$30,MATCH(E443,'Item Purchases'!$B$4:$B$30,0)),0))</f>
        <v>0.73</v>
      </c>
      <c r="K443" s="180">
        <f t="shared" si="52"/>
        <v>0</v>
      </c>
      <c r="L443" s="178">
        <f t="shared" si="53"/>
        <v>1</v>
      </c>
      <c r="M443" s="178">
        <f>IF(E443="",0,IF(AND(OR(OR(Dashboard!$E$5="All",Dashboard!$E$5=""),AG443=Dashboard!$E$5),OR(OR(Dashboard!$H$5="All",Dashboard!$H$5=""),F443=Dashboard!$H$5),OR(OR(Dashboard!$B$5="All",Dashboard!$B$5=""),C443=Dashboard!$B$5),OR(OR(Dashboard!$K$5="All",Dashboard!$K$5=""),A443=Dashboard!$K$5),OR(OR(Dashboard!$N$5="All",Dashboard!$N$5=""),B443=Dashboard!$N$5),OR(OR(Dashboard!$Q$5="All",Dashboard!$Q$5=""),D443=Dashboard!$Q$5),OR(OR(Dashboard!$U$5="All",Dashboard!$U$5=""),E443=Dashboard!$U$5)),1,0))</f>
        <v>1</v>
      </c>
      <c r="N443" s="178">
        <f>IF(E443="",0,IF(AND(OR(OR(Dashboard!$E$5="All",Dashboard!$E$5=""),AG443=Dashboard!$E$5),OR(OR(Dashboard!$B$5="All",Dashboard!$B$5=""),C443=Dashboard!$B$5),OR(OR(Dashboard!$K$5="All",Dashboard!$K$5=""),A443=Dashboard!$K$5),OR(OR(Dashboard!$N$5="All",Dashboard!$N$5=""),B443=Dashboard!$N$5),OR(OR(Dashboard!$Q$5="All",Dashboard!$Q$5=""),D443=Dashboard!$Q$5),OR(OR(Dashboard!$U$5="All",Dashboard!$U$5=""),E443=Dashboard!$U$5)),1,0))</f>
        <v>1</v>
      </c>
      <c r="O443" s="165">
        <f t="shared" si="54"/>
        <v>0</v>
      </c>
      <c r="AG443" s="178" t="str">
        <f>IF(E443="","",IFERROR(IF(INDEX('Item Purchases'!$AM$4:$AM$30,MATCH(E443,'Item Purchases'!$B$4:$B$30,0))="","Uncategorised",INDEX('Item Purchases'!$AM$4:$AM$30,MATCH(E443,'Item Purchases'!$B$4:$B$30,0))),"Uncategorised"))</f>
        <v>Snacks</v>
      </c>
      <c r="AH443" s="165">
        <f>IF(AND(E443&lt;&gt;"",L443=1),COUNTIFS($E$2:E443,E443,$L$2:L443,1),0)</f>
        <v>17</v>
      </c>
      <c r="AI443" s="165">
        <f t="shared" si="55"/>
        <v>0</v>
      </c>
      <c r="AJ443" s="165">
        <f t="shared" si="56"/>
        <v>1</v>
      </c>
    </row>
    <row r="444" spans="1:36" x14ac:dyDescent="0.25">
      <c r="A444" s="177">
        <f t="shared" si="58"/>
        <v>46288</v>
      </c>
      <c r="B444" s="178" t="str">
        <f t="shared" si="51"/>
        <v>Wed</v>
      </c>
      <c r="C444" s="178" t="str">
        <f>'Pantry Inventory'!$A$98</f>
        <v>Sep Week 4</v>
      </c>
      <c r="D444" s="178" t="str">
        <f>IF('Pantry Inventory'!A111="","",'Pantry Inventory'!A111)</f>
        <v>Munchy</v>
      </c>
      <c r="E444" s="178" t="str">
        <f>IF('Pantry Inventory'!B111="","",'Pantry Inventory'!B111)</f>
        <v>Munchy Oat Krunch - Strawberry &amp; Blackcurrant</v>
      </c>
      <c r="F444" s="178" t="str">
        <f>IF(E444="","",IFERROR(IF(INDEX('Item Purchases'!$S$4:$S$30,MATCH(E444,'Item Purchases'!$B$4:$B$30,0))="","Uncategorised",INDEX('Item Purchases'!$S$4:$S$30,MATCH(E444,'Item Purchases'!$B$4:$B$30,0))),"Uncategorised"))</f>
        <v>Sweet</v>
      </c>
      <c r="G444" s="178">
        <f>IF(E444="",0,'Pantry Inventory'!G111)</f>
        <v>30</v>
      </c>
      <c r="H444" s="178">
        <f>IF(E444="","",IF('Pantry Inventory'!H111="","",'Pantry Inventory'!H111))</f>
        <v>42</v>
      </c>
      <c r="I444" s="178">
        <f>IF(H444="","",'Pantry Inventory'!I111)</f>
        <v>0</v>
      </c>
      <c r="J444" s="179">
        <f>IF(E444="",0,IFERROR(INDEX('Item Purchases'!$Q$4:$Q$30,MATCH(E444,'Item Purchases'!$B$4:$B$30,0)),0))</f>
        <v>0.73</v>
      </c>
      <c r="K444" s="180">
        <f t="shared" si="52"/>
        <v>0</v>
      </c>
      <c r="L444" s="178">
        <f t="shared" si="53"/>
        <v>1</v>
      </c>
      <c r="M444" s="178">
        <f>IF(E444="",0,IF(AND(OR(OR(Dashboard!$E$5="All",Dashboard!$E$5=""),AG444=Dashboard!$E$5),OR(OR(Dashboard!$H$5="All",Dashboard!$H$5=""),F444=Dashboard!$H$5),OR(OR(Dashboard!$B$5="All",Dashboard!$B$5=""),C444=Dashboard!$B$5),OR(OR(Dashboard!$K$5="All",Dashboard!$K$5=""),A444=Dashboard!$K$5),OR(OR(Dashboard!$N$5="All",Dashboard!$N$5=""),B444=Dashboard!$N$5),OR(OR(Dashboard!$Q$5="All",Dashboard!$Q$5=""),D444=Dashboard!$Q$5),OR(OR(Dashboard!$U$5="All",Dashboard!$U$5=""),E444=Dashboard!$U$5)),1,0))</f>
        <v>1</v>
      </c>
      <c r="N444" s="178">
        <f>IF(E444="",0,IF(AND(OR(OR(Dashboard!$E$5="All",Dashboard!$E$5=""),AG444=Dashboard!$E$5),OR(OR(Dashboard!$B$5="All",Dashboard!$B$5=""),C444=Dashboard!$B$5),OR(OR(Dashboard!$K$5="All",Dashboard!$K$5=""),A444=Dashboard!$K$5),OR(OR(Dashboard!$N$5="All",Dashboard!$N$5=""),B444=Dashboard!$N$5),OR(OR(Dashboard!$Q$5="All",Dashboard!$Q$5=""),D444=Dashboard!$Q$5),OR(OR(Dashboard!$U$5="All",Dashboard!$U$5=""),E444=Dashboard!$U$5)),1,0))</f>
        <v>1</v>
      </c>
      <c r="O444" s="165">
        <f t="shared" si="54"/>
        <v>0</v>
      </c>
      <c r="AG444" s="178" t="str">
        <f>IF(E444="","",IFERROR(IF(INDEX('Item Purchases'!$AM$4:$AM$30,MATCH(E444,'Item Purchases'!$B$4:$B$30,0))="","Uncategorised",INDEX('Item Purchases'!$AM$4:$AM$30,MATCH(E444,'Item Purchases'!$B$4:$B$30,0))),"Uncategorised"))</f>
        <v>Snacks</v>
      </c>
      <c r="AH444" s="165">
        <f>IF(AND(E444&lt;&gt;"",L444=1),COUNTIFS($E$2:E444,E444,$L$2:L444,1),0)</f>
        <v>17</v>
      </c>
      <c r="AI444" s="165">
        <f t="shared" si="55"/>
        <v>0</v>
      </c>
      <c r="AJ444" s="165">
        <f t="shared" si="56"/>
        <v>1</v>
      </c>
    </row>
    <row r="445" spans="1:36" x14ac:dyDescent="0.25">
      <c r="A445" s="177">
        <f t="shared" si="58"/>
        <v>46288</v>
      </c>
      <c r="B445" s="178" t="str">
        <f t="shared" si="51"/>
        <v>Wed</v>
      </c>
      <c r="C445" s="178" t="str">
        <f>'Pantry Inventory'!$A$98</f>
        <v>Sep Week 4</v>
      </c>
      <c r="D445" s="178" t="str">
        <f>IF('Pantry Inventory'!A112="","",'Pantry Inventory'!A112)</f>
        <v/>
      </c>
      <c r="E445" s="178" t="str">
        <f>IF('Pantry Inventory'!B112="","",'Pantry Inventory'!B112)</f>
        <v/>
      </c>
      <c r="F445" s="178" t="str">
        <f>IF(E445="","",IFERROR(IF(INDEX('Item Purchases'!$S$4:$S$30,MATCH(E445,'Item Purchases'!$B$4:$B$30,0))="","Uncategorised",INDEX('Item Purchases'!$S$4:$S$30,MATCH(E445,'Item Purchases'!$B$4:$B$30,0))),"Uncategorised"))</f>
        <v/>
      </c>
      <c r="G445" s="178">
        <f>IF(E445="",0,'Pantry Inventory'!G112)</f>
        <v>0</v>
      </c>
      <c r="H445" s="178" t="str">
        <f>IF(E445="","",IF('Pantry Inventory'!H112="","",'Pantry Inventory'!H112))</f>
        <v/>
      </c>
      <c r="I445" s="178" t="str">
        <f>IF(H445="","",'Pantry Inventory'!I112)</f>
        <v/>
      </c>
      <c r="J445" s="179">
        <f>IF(E445="",0,IFERROR(INDEX('Item Purchases'!$Q$4:$Q$30,MATCH(E445,'Item Purchases'!$B$4:$B$30,0)),0))</f>
        <v>0</v>
      </c>
      <c r="K445" s="180" t="str">
        <f t="shared" si="52"/>
        <v/>
      </c>
      <c r="L445" s="178">
        <f t="shared" si="53"/>
        <v>0</v>
      </c>
      <c r="M445" s="178">
        <f>IF(E445="",0,IF(AND(OR(OR(Dashboard!$E$5="All",Dashboard!$E$5=""),AG445=Dashboard!$E$5),OR(OR(Dashboard!$H$5="All",Dashboard!$H$5=""),F445=Dashboard!$H$5),OR(OR(Dashboard!$B$5="All",Dashboard!$B$5=""),C445=Dashboard!$B$5),OR(OR(Dashboard!$K$5="All",Dashboard!$K$5=""),A445=Dashboard!$K$5),OR(OR(Dashboard!$N$5="All",Dashboard!$N$5=""),B445=Dashboard!$N$5),OR(OR(Dashboard!$Q$5="All",Dashboard!$Q$5=""),D445=Dashboard!$Q$5),OR(OR(Dashboard!$U$5="All",Dashboard!$U$5=""),E445=Dashboard!$U$5)),1,0))</f>
        <v>0</v>
      </c>
      <c r="N445" s="178">
        <f>IF(E445="",0,IF(AND(OR(OR(Dashboard!$E$5="All",Dashboard!$E$5=""),AG445=Dashboard!$E$5),OR(OR(Dashboard!$B$5="All",Dashboard!$B$5=""),C445=Dashboard!$B$5),OR(OR(Dashboard!$K$5="All",Dashboard!$K$5=""),A445=Dashboard!$K$5),OR(OR(Dashboard!$N$5="All",Dashboard!$N$5=""),B445=Dashboard!$N$5),OR(OR(Dashboard!$Q$5="All",Dashboard!$Q$5=""),D445=Dashboard!$Q$5),OR(OR(Dashboard!$U$5="All",Dashboard!$U$5=""),E445=Dashboard!$U$5)),1,0))</f>
        <v>0</v>
      </c>
      <c r="O445" s="165">
        <f t="shared" si="54"/>
        <v>0</v>
      </c>
      <c r="AG445" s="178" t="str">
        <f>IF(E445="","",IFERROR(IF(INDEX('Item Purchases'!$AM$4:$AM$30,MATCH(E445,'Item Purchases'!$B$4:$B$30,0))="","Uncategorised",INDEX('Item Purchases'!$AM$4:$AM$30,MATCH(E445,'Item Purchases'!$B$4:$B$30,0))),"Uncategorised"))</f>
        <v/>
      </c>
      <c r="AH445" s="165">
        <f>IF(AND(E445&lt;&gt;"",L445=1),COUNTIFS($E$2:E445,E445,$L$2:L445,1),0)</f>
        <v>0</v>
      </c>
      <c r="AI445" s="165">
        <f t="shared" si="55"/>
        <v>0</v>
      </c>
      <c r="AJ445" s="165">
        <f t="shared" si="56"/>
        <v>0</v>
      </c>
    </row>
    <row r="446" spans="1:36" x14ac:dyDescent="0.25">
      <c r="A446" s="177">
        <f t="shared" si="58"/>
        <v>46288</v>
      </c>
      <c r="B446" s="178" t="str">
        <f t="shared" si="51"/>
        <v>Wed</v>
      </c>
      <c r="C446" s="178" t="str">
        <f>'Pantry Inventory'!$A$98</f>
        <v>Sep Week 4</v>
      </c>
      <c r="D446" s="178" t="str">
        <f>IF('Pantry Inventory'!A113="","",'Pantry Inventory'!A113)</f>
        <v>Nestle</v>
      </c>
      <c r="E446" s="178" t="str">
        <f>IF('Pantry Inventory'!B113="","",'Pantry Inventory'!B113)</f>
        <v>Milo 200ml</v>
      </c>
      <c r="F446" s="178" t="str">
        <f>IF(E446="","",IFERROR(IF(INDEX('Item Purchases'!$S$4:$S$30,MATCH(E446,'Item Purchases'!$B$4:$B$30,0))="","Uncategorised",INDEX('Item Purchases'!$S$4:$S$30,MATCH(E446,'Item Purchases'!$B$4:$B$30,0))),"Uncategorised"))</f>
        <v>Other</v>
      </c>
      <c r="G446" s="178">
        <f>IF(E446="",0,'Pantry Inventory'!G113)</f>
        <v>0</v>
      </c>
      <c r="H446" s="178">
        <f>IF(E446="","",IF('Pantry Inventory'!H113="","",'Pantry Inventory'!H113))</f>
        <v>0</v>
      </c>
      <c r="I446" s="178">
        <f>IF(H446="","",'Pantry Inventory'!I113)</f>
        <v>0</v>
      </c>
      <c r="J446" s="179">
        <f>IF(E446="",0,IFERROR(INDEX('Item Purchases'!$Q$4:$Q$30,MATCH(E446,'Item Purchases'!$B$4:$B$30,0)),0))</f>
        <v>2.37</v>
      </c>
      <c r="K446" s="180">
        <f t="shared" si="52"/>
        <v>0</v>
      </c>
      <c r="L446" s="178">
        <f t="shared" si="53"/>
        <v>1</v>
      </c>
      <c r="M446" s="178">
        <f>IF(E446="",0,IF(AND(OR(OR(Dashboard!$E$5="All",Dashboard!$E$5=""),AG446=Dashboard!$E$5),OR(OR(Dashboard!$H$5="All",Dashboard!$H$5=""),F446=Dashboard!$H$5),OR(OR(Dashboard!$B$5="All",Dashboard!$B$5=""),C446=Dashboard!$B$5),OR(OR(Dashboard!$K$5="All",Dashboard!$K$5=""),A446=Dashboard!$K$5),OR(OR(Dashboard!$N$5="All",Dashboard!$N$5=""),B446=Dashboard!$N$5),OR(OR(Dashboard!$Q$5="All",Dashboard!$Q$5=""),D446=Dashboard!$Q$5),OR(OR(Dashboard!$U$5="All",Dashboard!$U$5=""),E446=Dashboard!$U$5)),1,0))</f>
        <v>1</v>
      </c>
      <c r="N446" s="178">
        <f>IF(E446="",0,IF(AND(OR(OR(Dashboard!$E$5="All",Dashboard!$E$5=""),AG446=Dashboard!$E$5),OR(OR(Dashboard!$B$5="All",Dashboard!$B$5=""),C446=Dashboard!$B$5),OR(OR(Dashboard!$K$5="All",Dashboard!$K$5=""),A446=Dashboard!$K$5),OR(OR(Dashboard!$N$5="All",Dashboard!$N$5=""),B446=Dashboard!$N$5),OR(OR(Dashboard!$Q$5="All",Dashboard!$Q$5=""),D446=Dashboard!$Q$5),OR(OR(Dashboard!$U$5="All",Dashboard!$U$5=""),E446=Dashboard!$U$5)),1,0))</f>
        <v>1</v>
      </c>
      <c r="O446" s="165">
        <f t="shared" si="54"/>
        <v>0</v>
      </c>
      <c r="AG446" s="178" t="str">
        <f>IF(E446="","",IFERROR(IF(INDEX('Item Purchases'!$AM$4:$AM$30,MATCH(E446,'Item Purchases'!$B$4:$B$30,0))="","Uncategorised",INDEX('Item Purchases'!$AM$4:$AM$30,MATCH(E446,'Item Purchases'!$B$4:$B$30,0))),"Uncategorised"))</f>
        <v>Beverages</v>
      </c>
      <c r="AH446" s="165">
        <f>IF(AND(E446&lt;&gt;"",L446=1),COUNTIFS($E$2:E446,E446,$L$2:L446,1),0)</f>
        <v>17</v>
      </c>
      <c r="AI446" s="165">
        <f t="shared" si="55"/>
        <v>0</v>
      </c>
      <c r="AJ446" s="165">
        <f t="shared" si="56"/>
        <v>0</v>
      </c>
    </row>
    <row r="447" spans="1:36" x14ac:dyDescent="0.25">
      <c r="A447" s="177">
        <f t="shared" si="58"/>
        <v>46288</v>
      </c>
      <c r="B447" s="178" t="str">
        <f t="shared" si="51"/>
        <v>Wed</v>
      </c>
      <c r="C447" s="178" t="str">
        <f>'Pantry Inventory'!$A$98</f>
        <v>Sep Week 4</v>
      </c>
      <c r="D447" s="178" t="str">
        <f>IF('Pantry Inventory'!A114="","",'Pantry Inventory'!A114)</f>
        <v>Nestle</v>
      </c>
      <c r="E447" s="178" t="str">
        <f>IF('Pantry Inventory'!B114="","",'Pantry Inventory'!B114)</f>
        <v>Nescafe Latte 240ml</v>
      </c>
      <c r="F447" s="178" t="str">
        <f>IF(E447="","",IFERROR(IF(INDEX('Item Purchases'!$S$4:$S$30,MATCH(E447,'Item Purchases'!$B$4:$B$30,0))="","Uncategorised",INDEX('Item Purchases'!$S$4:$S$30,MATCH(E447,'Item Purchases'!$B$4:$B$30,0))),"Uncategorised"))</f>
        <v>Coffee</v>
      </c>
      <c r="G447" s="178">
        <f>IF(E447="",0,'Pantry Inventory'!G114)</f>
        <v>0</v>
      </c>
      <c r="H447" s="178">
        <f>IF(E447="","",IF('Pantry Inventory'!H114="","",'Pantry Inventory'!H114))</f>
        <v>46</v>
      </c>
      <c r="I447" s="178">
        <f>IF(H447="","",'Pantry Inventory'!I114)</f>
        <v>0</v>
      </c>
      <c r="J447" s="179">
        <f>IF(E447="",0,IFERROR(INDEX('Item Purchases'!$Q$4:$Q$30,MATCH(E447,'Item Purchases'!$B$4:$B$30,0)),0))</f>
        <v>2.1875</v>
      </c>
      <c r="K447" s="180">
        <f t="shared" si="52"/>
        <v>0</v>
      </c>
      <c r="L447" s="178">
        <f t="shared" si="53"/>
        <v>1</v>
      </c>
      <c r="M447" s="178">
        <f>IF(E447="",0,IF(AND(OR(OR(Dashboard!$E$5="All",Dashboard!$E$5=""),AG447=Dashboard!$E$5),OR(OR(Dashboard!$H$5="All",Dashboard!$H$5=""),F447=Dashboard!$H$5),OR(OR(Dashboard!$B$5="All",Dashboard!$B$5=""),C447=Dashboard!$B$5),OR(OR(Dashboard!$K$5="All",Dashboard!$K$5=""),A447=Dashboard!$K$5),OR(OR(Dashboard!$N$5="All",Dashboard!$N$5=""),B447=Dashboard!$N$5),OR(OR(Dashboard!$Q$5="All",Dashboard!$Q$5=""),D447=Dashboard!$Q$5),OR(OR(Dashboard!$U$5="All",Dashboard!$U$5=""),E447=Dashboard!$U$5)),1,0))</f>
        <v>1</v>
      </c>
      <c r="N447" s="178">
        <f>IF(E447="",0,IF(AND(OR(OR(Dashboard!$E$5="All",Dashboard!$E$5=""),AG447=Dashboard!$E$5),OR(OR(Dashboard!$B$5="All",Dashboard!$B$5=""),C447=Dashboard!$B$5),OR(OR(Dashboard!$K$5="All",Dashboard!$K$5=""),A447=Dashboard!$K$5),OR(OR(Dashboard!$N$5="All",Dashboard!$N$5=""),B447=Dashboard!$N$5),OR(OR(Dashboard!$Q$5="All",Dashboard!$Q$5=""),D447=Dashboard!$Q$5),OR(OR(Dashboard!$U$5="All",Dashboard!$U$5=""),E447=Dashboard!$U$5)),1,0))</f>
        <v>1</v>
      </c>
      <c r="O447" s="165">
        <f t="shared" si="54"/>
        <v>0</v>
      </c>
      <c r="AG447" s="178" t="str">
        <f>IF(E447="","",IFERROR(IF(INDEX('Item Purchases'!$AM$4:$AM$30,MATCH(E447,'Item Purchases'!$B$4:$B$30,0))="","Uncategorised",INDEX('Item Purchases'!$AM$4:$AM$30,MATCH(E447,'Item Purchases'!$B$4:$B$30,0))),"Uncategorised"))</f>
        <v>Beverages</v>
      </c>
      <c r="AH447" s="165">
        <f>IF(AND(E447&lt;&gt;"",L447=1),COUNTIFS($E$2:E447,E447,$L$2:L447,1),0)</f>
        <v>17</v>
      </c>
      <c r="AI447" s="165">
        <f t="shared" si="55"/>
        <v>0</v>
      </c>
      <c r="AJ447" s="165">
        <f t="shared" si="56"/>
        <v>1</v>
      </c>
    </row>
    <row r="448" spans="1:36" x14ac:dyDescent="0.25">
      <c r="A448" s="177">
        <f t="shared" si="58"/>
        <v>46288</v>
      </c>
      <c r="B448" s="178" t="str">
        <f t="shared" si="51"/>
        <v>Wed</v>
      </c>
      <c r="C448" s="178" t="str">
        <f>'Pantry Inventory'!$A$98</f>
        <v>Sep Week 4</v>
      </c>
      <c r="D448" s="178" t="str">
        <f>IF('Pantry Inventory'!A115="","",'Pantry Inventory'!A115)</f>
        <v>Nestle</v>
      </c>
      <c r="E448" s="178" t="str">
        <f>IF('Pantry Inventory'!B115="","",'Pantry Inventory'!B115)</f>
        <v>Nescafe original 240ml</v>
      </c>
      <c r="F448" s="178" t="str">
        <f>IF(E448="","",IFERROR(IF(INDEX('Item Purchases'!$S$4:$S$30,MATCH(E448,'Item Purchases'!$B$4:$B$30,0))="","Uncategorised",INDEX('Item Purchases'!$S$4:$S$30,MATCH(E448,'Item Purchases'!$B$4:$B$30,0))),"Uncategorised"))</f>
        <v>Coffee</v>
      </c>
      <c r="G448" s="178">
        <f>IF(E448="",0,'Pantry Inventory'!G115)</f>
        <v>0</v>
      </c>
      <c r="H448" s="178">
        <f>IF(E448="","",IF('Pantry Inventory'!H115="","",'Pantry Inventory'!H115))</f>
        <v>30</v>
      </c>
      <c r="I448" s="178">
        <f>IF(H448="","",'Pantry Inventory'!I115)</f>
        <v>4</v>
      </c>
      <c r="J448" s="179">
        <f>IF(E448="",0,IFERROR(INDEX('Item Purchases'!$Q$4:$Q$30,MATCH(E448,'Item Purchases'!$B$4:$B$30,0)),0))</f>
        <v>2.1875</v>
      </c>
      <c r="K448" s="180">
        <f t="shared" si="52"/>
        <v>8.75</v>
      </c>
      <c r="L448" s="178">
        <f t="shared" si="53"/>
        <v>1</v>
      </c>
      <c r="M448" s="178">
        <f>IF(E448="",0,IF(AND(OR(OR(Dashboard!$E$5="All",Dashboard!$E$5=""),AG448=Dashboard!$E$5),OR(OR(Dashboard!$H$5="All",Dashboard!$H$5=""),F448=Dashboard!$H$5),OR(OR(Dashboard!$B$5="All",Dashboard!$B$5=""),C448=Dashboard!$B$5),OR(OR(Dashboard!$K$5="All",Dashboard!$K$5=""),A448=Dashboard!$K$5),OR(OR(Dashboard!$N$5="All",Dashboard!$N$5=""),B448=Dashboard!$N$5),OR(OR(Dashboard!$Q$5="All",Dashboard!$Q$5=""),D448=Dashboard!$Q$5),OR(OR(Dashboard!$U$5="All",Dashboard!$U$5=""),E448=Dashboard!$U$5)),1,0))</f>
        <v>1</v>
      </c>
      <c r="N448" s="178">
        <f>IF(E448="",0,IF(AND(OR(OR(Dashboard!$E$5="All",Dashboard!$E$5=""),AG448=Dashboard!$E$5),OR(OR(Dashboard!$B$5="All",Dashboard!$B$5=""),C448=Dashboard!$B$5),OR(OR(Dashboard!$K$5="All",Dashboard!$K$5=""),A448=Dashboard!$K$5),OR(OR(Dashboard!$N$5="All",Dashboard!$N$5=""),B448=Dashboard!$N$5),OR(OR(Dashboard!$Q$5="All",Dashboard!$Q$5=""),D448=Dashboard!$Q$5),OR(OR(Dashboard!$U$5="All",Dashboard!$U$5=""),E448=Dashboard!$U$5)),1,0))</f>
        <v>1</v>
      </c>
      <c r="O448" s="165">
        <f t="shared" si="54"/>
        <v>16</v>
      </c>
      <c r="AG448" s="178" t="str">
        <f>IF(E448="","",IFERROR(IF(INDEX('Item Purchases'!$AM$4:$AM$30,MATCH(E448,'Item Purchases'!$B$4:$B$30,0))="","Uncategorised",INDEX('Item Purchases'!$AM$4:$AM$30,MATCH(E448,'Item Purchases'!$B$4:$B$30,0))),"Uncategorised"))</f>
        <v>Beverages</v>
      </c>
      <c r="AH448" s="165">
        <f>IF(AND(E448&lt;&gt;"",L448=1),COUNTIFS($E$2:E448,E448,$L$2:L448,1),0)</f>
        <v>17</v>
      </c>
      <c r="AI448" s="165">
        <f t="shared" si="55"/>
        <v>4</v>
      </c>
      <c r="AJ448" s="165">
        <f t="shared" si="56"/>
        <v>1</v>
      </c>
    </row>
    <row r="449" spans="1:36" x14ac:dyDescent="0.25">
      <c r="A449" s="177">
        <f t="shared" si="58"/>
        <v>46288</v>
      </c>
      <c r="B449" s="178" t="str">
        <f t="shared" si="51"/>
        <v>Wed</v>
      </c>
      <c r="C449" s="178" t="str">
        <f>'Pantry Inventory'!$A$98</f>
        <v>Sep Week 4</v>
      </c>
      <c r="D449" s="178" t="str">
        <f>IF('Pantry Inventory'!A116="","",'Pantry Inventory'!A116)</f>
        <v>COWA</v>
      </c>
      <c r="E449" s="178" t="str">
        <f>IF('Pantry Inventory'!B116="","",'Pantry Inventory'!B116)</f>
        <v>COWA Coconut Water 330 ml</v>
      </c>
      <c r="F449" s="178" t="str">
        <f>IF(E449="","",IFERROR(IF(INDEX('Item Purchases'!$S$4:$S$30,MATCH(E449,'Item Purchases'!$B$4:$B$30,0))="","Uncategorised",INDEX('Item Purchases'!$S$4:$S$30,MATCH(E449,'Item Purchases'!$B$4:$B$30,0))),"Uncategorised"))</f>
        <v>Other</v>
      </c>
      <c r="G449" s="178">
        <f>IF(E449="",0,'Pantry Inventory'!G116)</f>
        <v>72</v>
      </c>
      <c r="H449" s="178">
        <f>IF(E449="","",IF('Pantry Inventory'!H116="","",'Pantry Inventory'!H116))</f>
        <v>157</v>
      </c>
      <c r="I449" s="178">
        <f>IF(H449="","",'Pantry Inventory'!I116)</f>
        <v>23</v>
      </c>
      <c r="J449" s="179">
        <f>IF(E449="",0,IFERROR(INDEX('Item Purchases'!$Q$4:$Q$30,MATCH(E449,'Item Purchases'!$B$4:$B$30,0)),0))</f>
        <v>3</v>
      </c>
      <c r="K449" s="180">
        <f t="shared" si="52"/>
        <v>69</v>
      </c>
      <c r="L449" s="178">
        <f t="shared" si="53"/>
        <v>1</v>
      </c>
      <c r="M449" s="178">
        <f>IF(E449="",0,IF(AND(OR(OR(Dashboard!$E$5="All",Dashboard!$E$5=""),AG449=Dashboard!$E$5),OR(OR(Dashboard!$H$5="All",Dashboard!$H$5=""),F449=Dashboard!$H$5),OR(OR(Dashboard!$B$5="All",Dashboard!$B$5=""),C449=Dashboard!$B$5),OR(OR(Dashboard!$K$5="All",Dashboard!$K$5=""),A449=Dashboard!$K$5),OR(OR(Dashboard!$N$5="All",Dashboard!$N$5=""),B449=Dashboard!$N$5),OR(OR(Dashboard!$Q$5="All",Dashboard!$Q$5=""),D449=Dashboard!$Q$5),OR(OR(Dashboard!$U$5="All",Dashboard!$U$5=""),E449=Dashboard!$U$5)),1,0))</f>
        <v>1</v>
      </c>
      <c r="N449" s="178">
        <f>IF(E449="",0,IF(AND(OR(OR(Dashboard!$E$5="All",Dashboard!$E$5=""),AG449=Dashboard!$E$5),OR(OR(Dashboard!$B$5="All",Dashboard!$B$5=""),C449=Dashboard!$B$5),OR(OR(Dashboard!$K$5="All",Dashboard!$K$5=""),A449=Dashboard!$K$5),OR(OR(Dashboard!$N$5="All",Dashboard!$N$5=""),B449=Dashboard!$N$5),OR(OR(Dashboard!$Q$5="All",Dashboard!$Q$5=""),D449=Dashboard!$Q$5),OR(OR(Dashboard!$U$5="All",Dashboard!$U$5=""),E449=Dashboard!$U$5)),1,0))</f>
        <v>1</v>
      </c>
      <c r="O449" s="165">
        <f t="shared" si="54"/>
        <v>529</v>
      </c>
      <c r="AG449" s="178" t="str">
        <f>IF(E449="","",IFERROR(IF(INDEX('Item Purchases'!$AM$4:$AM$30,MATCH(E449,'Item Purchases'!$B$4:$B$30,0))="","Uncategorised",INDEX('Item Purchases'!$AM$4:$AM$30,MATCH(E449,'Item Purchases'!$B$4:$B$30,0))),"Uncategorised"))</f>
        <v>Beverages</v>
      </c>
      <c r="AH449" s="165">
        <f>IF(AND(E449&lt;&gt;"",L449=1),COUNTIFS($E$2:E449,E449,$L$2:L449,1),0)</f>
        <v>17</v>
      </c>
      <c r="AI449" s="165">
        <f t="shared" si="55"/>
        <v>23</v>
      </c>
      <c r="AJ449" s="165">
        <f t="shared" si="56"/>
        <v>1</v>
      </c>
    </row>
    <row r="450" spans="1:36" x14ac:dyDescent="0.25">
      <c r="A450" s="177">
        <f t="shared" si="58"/>
        <v>46288</v>
      </c>
      <c r="B450" s="178" t="str">
        <f t="shared" ref="B450:B513" si="59">IF(A450=0,"",CHOOSE(WEEKDAY(A450,2),"Mon","Tue","Wed","Thu","Fri","Sat","Sun"))</f>
        <v>Wed</v>
      </c>
      <c r="C450" s="178" t="str">
        <f>'Pantry Inventory'!$A$98</f>
        <v>Sep Week 4</v>
      </c>
      <c r="D450" s="178" t="str">
        <f>IF('Pantry Inventory'!A117="","",'Pantry Inventory'!A117)</f>
        <v>KARTA</v>
      </c>
      <c r="E450" s="178" t="str">
        <f>IF('Pantry Inventory'!B117="","",'Pantry Inventory'!B117)</f>
        <v>KARTA Coconut Water 330 ml</v>
      </c>
      <c r="F450" s="178" t="str">
        <f>IF(E450="","",IFERROR(IF(INDEX('Item Purchases'!$S$4:$S$30,MATCH(E450,'Item Purchases'!$B$4:$B$30,0))="","Uncategorised",INDEX('Item Purchases'!$S$4:$S$30,MATCH(E450,'Item Purchases'!$B$4:$B$30,0))),"Uncategorised"))</f>
        <v>Other</v>
      </c>
      <c r="G450" s="178">
        <f>IF(E450="",0,'Pantry Inventory'!G117)</f>
        <v>0</v>
      </c>
      <c r="H450" s="178">
        <f>IF(E450="","",IF('Pantry Inventory'!H117="","",'Pantry Inventory'!H117))</f>
        <v>0</v>
      </c>
      <c r="I450" s="178">
        <f>IF(H450="","",'Pantry Inventory'!I117)</f>
        <v>0</v>
      </c>
      <c r="J450" s="179">
        <f>IF(E450="",0,IFERROR(INDEX('Item Purchases'!$Q$4:$Q$30,MATCH(E450,'Item Purchases'!$B$4:$B$30,0)),0))</f>
        <v>2.2999999999999998</v>
      </c>
      <c r="K450" s="180">
        <f t="shared" ref="K450:K513" si="60">IF(I450="","",I450*J450)</f>
        <v>0</v>
      </c>
      <c r="L450" s="178">
        <f t="shared" ref="L450:L513" si="61">IF(H450="",0,1)</f>
        <v>1</v>
      </c>
      <c r="M450" s="178">
        <f>IF(E450="",0,IF(AND(OR(OR(Dashboard!$E$5="All",Dashboard!$E$5=""),AG450=Dashboard!$E$5),OR(OR(Dashboard!$H$5="All",Dashboard!$H$5=""),F450=Dashboard!$H$5),OR(OR(Dashboard!$B$5="All",Dashboard!$B$5=""),C450=Dashboard!$B$5),OR(OR(Dashboard!$K$5="All",Dashboard!$K$5=""),A450=Dashboard!$K$5),OR(OR(Dashboard!$N$5="All",Dashboard!$N$5=""),B450=Dashboard!$N$5),OR(OR(Dashboard!$Q$5="All",Dashboard!$Q$5=""),D450=Dashboard!$Q$5),OR(OR(Dashboard!$U$5="All",Dashboard!$U$5=""),E450=Dashboard!$U$5)),1,0))</f>
        <v>1</v>
      </c>
      <c r="N450" s="178">
        <f>IF(E450="",0,IF(AND(OR(OR(Dashboard!$E$5="All",Dashboard!$E$5=""),AG450=Dashboard!$E$5),OR(OR(Dashboard!$B$5="All",Dashboard!$B$5=""),C450=Dashboard!$B$5),OR(OR(Dashboard!$K$5="All",Dashboard!$K$5=""),A450=Dashboard!$K$5),OR(OR(Dashboard!$N$5="All",Dashboard!$N$5=""),B450=Dashboard!$N$5),OR(OR(Dashboard!$Q$5="All",Dashboard!$Q$5=""),D450=Dashboard!$Q$5),OR(OR(Dashboard!$U$5="All",Dashboard!$U$5=""),E450=Dashboard!$U$5)),1,0))</f>
        <v>1</v>
      </c>
      <c r="O450" s="165">
        <f t="shared" ref="O450:O513" si="62">IF(AND(N(H450)&gt;0,ISNUMBER(I450)),I450^2,0)</f>
        <v>0</v>
      </c>
      <c r="AG450" s="178" t="str">
        <f>IF(E450="","",IFERROR(IF(INDEX('Item Purchases'!$AM$4:$AM$30,MATCH(E450,'Item Purchases'!$B$4:$B$30,0))="","Uncategorised",INDEX('Item Purchases'!$AM$4:$AM$30,MATCH(E450,'Item Purchases'!$B$4:$B$30,0))),"Uncategorised"))</f>
        <v>Beverages</v>
      </c>
      <c r="AH450" s="165">
        <f>IF(AND(E450&lt;&gt;"",L450=1),COUNTIFS($E$2:E450,E450,$L$2:L450,1),0)</f>
        <v>1</v>
      </c>
      <c r="AI450" s="165">
        <f t="shared" ref="AI450:AI513" si="63">IF(ISNUMBER(I450),I450,0)</f>
        <v>0</v>
      </c>
      <c r="AJ450" s="165">
        <f t="shared" ref="AJ450:AJ513" si="64">IF(AND(L450=1,N(H450)&gt;0),1,0)</f>
        <v>0</v>
      </c>
    </row>
    <row r="451" spans="1:36" x14ac:dyDescent="0.25">
      <c r="A451" s="177">
        <f t="shared" si="58"/>
        <v>46288</v>
      </c>
      <c r="B451" s="178" t="str">
        <f t="shared" si="59"/>
        <v>Wed</v>
      </c>
      <c r="C451" s="178" t="str">
        <f>'Pantry Inventory'!$A$98</f>
        <v>Sep Week 4</v>
      </c>
      <c r="D451" s="178" t="str">
        <f>IF('Pantry Inventory'!A118="","",'Pantry Inventory'!A118)</f>
        <v>Coca Cola</v>
      </c>
      <c r="E451" s="178" t="str">
        <f>IF('Pantry Inventory'!B118="","",'Pantry Inventory'!B118)</f>
        <v>COKE ZERO  325ML</v>
      </c>
      <c r="F451" s="178" t="str">
        <f>IF(E451="","",IFERROR(IF(INDEX('Item Purchases'!$S$4:$S$30,MATCH(E451,'Item Purchases'!$B$4:$B$30,0))="","Uncategorised",INDEX('Item Purchases'!$S$4:$S$30,MATCH(E451,'Item Purchases'!$B$4:$B$30,0))),"Uncategorised"))</f>
        <v>Other</v>
      </c>
      <c r="G451" s="178">
        <f>IF(E451="",0,'Pantry Inventory'!G118)</f>
        <v>0</v>
      </c>
      <c r="H451" s="178">
        <f>IF(E451="","",IF('Pantry Inventory'!H118="","",'Pantry Inventory'!H118))</f>
        <v>34</v>
      </c>
      <c r="I451" s="178">
        <f>IF(H451="","",'Pantry Inventory'!I118)</f>
        <v>6</v>
      </c>
      <c r="J451" s="179">
        <f>IF(E451="",0,IFERROR(INDEX('Item Purchases'!$Q$4:$Q$30,MATCH(E451,'Item Purchases'!$B$4:$B$30,0)),0))</f>
        <v>1.83</v>
      </c>
      <c r="K451" s="180">
        <f t="shared" si="60"/>
        <v>10.98</v>
      </c>
      <c r="L451" s="178">
        <f t="shared" si="61"/>
        <v>1</v>
      </c>
      <c r="M451" s="178">
        <f>IF(E451="",0,IF(AND(OR(OR(Dashboard!$E$5="All",Dashboard!$E$5=""),AG451=Dashboard!$E$5),OR(OR(Dashboard!$H$5="All",Dashboard!$H$5=""),F451=Dashboard!$H$5),OR(OR(Dashboard!$B$5="All",Dashboard!$B$5=""),C451=Dashboard!$B$5),OR(OR(Dashboard!$K$5="All",Dashboard!$K$5=""),A451=Dashboard!$K$5),OR(OR(Dashboard!$N$5="All",Dashboard!$N$5=""),B451=Dashboard!$N$5),OR(OR(Dashboard!$Q$5="All",Dashboard!$Q$5=""),D451=Dashboard!$Q$5),OR(OR(Dashboard!$U$5="All",Dashboard!$U$5=""),E451=Dashboard!$U$5)),1,0))</f>
        <v>1</v>
      </c>
      <c r="N451" s="178">
        <f>IF(E451="",0,IF(AND(OR(OR(Dashboard!$E$5="All",Dashboard!$E$5=""),AG451=Dashboard!$E$5),OR(OR(Dashboard!$B$5="All",Dashboard!$B$5=""),C451=Dashboard!$B$5),OR(OR(Dashboard!$K$5="All",Dashboard!$K$5=""),A451=Dashboard!$K$5),OR(OR(Dashboard!$N$5="All",Dashboard!$N$5=""),B451=Dashboard!$N$5),OR(OR(Dashboard!$Q$5="All",Dashboard!$Q$5=""),D451=Dashboard!$Q$5),OR(OR(Dashboard!$U$5="All",Dashboard!$U$5=""),E451=Dashboard!$U$5)),1,0))</f>
        <v>1</v>
      </c>
      <c r="O451" s="165">
        <f t="shared" si="62"/>
        <v>36</v>
      </c>
      <c r="AG451" s="178" t="str">
        <f>IF(E451="","",IFERROR(IF(INDEX('Item Purchases'!$AM$4:$AM$30,MATCH(E451,'Item Purchases'!$B$4:$B$30,0))="","Uncategorised",INDEX('Item Purchases'!$AM$4:$AM$30,MATCH(E451,'Item Purchases'!$B$4:$B$30,0))),"Uncategorised"))</f>
        <v>Beverages</v>
      </c>
      <c r="AH451" s="165">
        <f>IF(AND(E451&lt;&gt;"",L451=1),COUNTIFS($E$2:E451,E451,$L$2:L451,1),0)</f>
        <v>17</v>
      </c>
      <c r="AI451" s="165">
        <f t="shared" si="63"/>
        <v>6</v>
      </c>
      <c r="AJ451" s="165">
        <f t="shared" si="64"/>
        <v>1</v>
      </c>
    </row>
    <row r="452" spans="1:36" x14ac:dyDescent="0.25">
      <c r="A452" s="177">
        <f t="shared" si="58"/>
        <v>46288</v>
      </c>
      <c r="B452" s="178" t="str">
        <f t="shared" si="59"/>
        <v>Wed</v>
      </c>
      <c r="C452" s="178" t="str">
        <f>'Pantry Inventory'!$A$98</f>
        <v>Sep Week 4</v>
      </c>
      <c r="D452" s="178" t="str">
        <f>IF('Pantry Inventory'!A119="","",'Pantry Inventory'!A119)</f>
        <v>Coca Cola</v>
      </c>
      <c r="E452" s="178" t="str">
        <f>IF('Pantry Inventory'!B119="","",'Pantry Inventory'!B119)</f>
        <v>Ayataka Tea 300ml</v>
      </c>
      <c r="F452" s="178" t="str">
        <f>IF(E452="","",IFERROR(IF(INDEX('Item Purchases'!$S$4:$S$30,MATCH(E452,'Item Purchases'!$B$4:$B$30,0))="","Uncategorised",INDEX('Item Purchases'!$S$4:$S$30,MATCH(E452,'Item Purchases'!$B$4:$B$30,0))),"Uncategorised"))</f>
        <v>Tea</v>
      </c>
      <c r="G452" s="178">
        <f>IF(E452="",0,'Pantry Inventory'!G119)</f>
        <v>24</v>
      </c>
      <c r="H452" s="178">
        <f>IF(E452="","",IF('Pantry Inventory'!H119="","",'Pantry Inventory'!H119))</f>
        <v>24</v>
      </c>
      <c r="I452" s="178">
        <f>IF(H452="","",'Pantry Inventory'!I119)</f>
        <v>24</v>
      </c>
      <c r="J452" s="179">
        <f>IF(E452="",0,IFERROR(INDEX('Item Purchases'!$Q$4:$Q$30,MATCH(E452,'Item Purchases'!$B$4:$B$30,0)),0))</f>
        <v>1.75</v>
      </c>
      <c r="K452" s="180">
        <f t="shared" si="60"/>
        <v>42</v>
      </c>
      <c r="L452" s="178">
        <f t="shared" si="61"/>
        <v>1</v>
      </c>
      <c r="M452" s="178">
        <f>IF(E452="",0,IF(AND(OR(OR(Dashboard!$E$5="All",Dashboard!$E$5=""),AG452=Dashboard!$E$5),OR(OR(Dashboard!$H$5="All",Dashboard!$H$5=""),F452=Dashboard!$H$5),OR(OR(Dashboard!$B$5="All",Dashboard!$B$5=""),C452=Dashboard!$B$5),OR(OR(Dashboard!$K$5="All",Dashboard!$K$5=""),A452=Dashboard!$K$5),OR(OR(Dashboard!$N$5="All",Dashboard!$N$5=""),B452=Dashboard!$N$5),OR(OR(Dashboard!$Q$5="All",Dashboard!$Q$5=""),D452=Dashboard!$Q$5),OR(OR(Dashboard!$U$5="All",Dashboard!$U$5=""),E452=Dashboard!$U$5)),1,0))</f>
        <v>1</v>
      </c>
      <c r="N452" s="178">
        <f>IF(E452="",0,IF(AND(OR(OR(Dashboard!$E$5="All",Dashboard!$E$5=""),AG452=Dashboard!$E$5),OR(OR(Dashboard!$B$5="All",Dashboard!$B$5=""),C452=Dashboard!$B$5),OR(OR(Dashboard!$K$5="All",Dashboard!$K$5=""),A452=Dashboard!$K$5),OR(OR(Dashboard!$N$5="All",Dashboard!$N$5=""),B452=Dashboard!$N$5),OR(OR(Dashboard!$Q$5="All",Dashboard!$Q$5=""),D452=Dashboard!$Q$5),OR(OR(Dashboard!$U$5="All",Dashboard!$U$5=""),E452=Dashboard!$U$5)),1,0))</f>
        <v>1</v>
      </c>
      <c r="O452" s="165">
        <f t="shared" si="62"/>
        <v>576</v>
      </c>
      <c r="AG452" s="178" t="str">
        <f>IF(E452="","",IFERROR(IF(INDEX('Item Purchases'!$AM$4:$AM$30,MATCH(E452,'Item Purchases'!$B$4:$B$30,0))="","Uncategorised",INDEX('Item Purchases'!$AM$4:$AM$30,MATCH(E452,'Item Purchases'!$B$4:$B$30,0))),"Uncategorised"))</f>
        <v>Beverages</v>
      </c>
      <c r="AH452" s="165">
        <f>IF(AND(E452&lt;&gt;"",L452=1),COUNTIFS($E$2:E452,E452,$L$2:L452,1),0)</f>
        <v>17</v>
      </c>
      <c r="AI452" s="165">
        <f t="shared" si="63"/>
        <v>24</v>
      </c>
      <c r="AJ452" s="165">
        <f t="shared" si="64"/>
        <v>1</v>
      </c>
    </row>
    <row r="453" spans="1:36" x14ac:dyDescent="0.25">
      <c r="A453" s="177">
        <f t="shared" si="58"/>
        <v>46288</v>
      </c>
      <c r="B453" s="178" t="str">
        <f t="shared" si="59"/>
        <v>Wed</v>
      </c>
      <c r="C453" s="178" t="str">
        <f>'Pantry Inventory'!$A$98</f>
        <v>Sep Week 4</v>
      </c>
      <c r="D453" s="178" t="str">
        <f>IF('Pantry Inventory'!A120="","",'Pantry Inventory'!A120)</f>
        <v>Coca Cola</v>
      </c>
      <c r="E453" s="178" t="str">
        <f>IF('Pantry Inventory'!B120="","",'Pantry Inventory'!B120)</f>
        <v>Oolong Tea 300ml</v>
      </c>
      <c r="F453" s="178" t="str">
        <f>IF(E453="","",IFERROR(IF(INDEX('Item Purchases'!$S$4:$S$30,MATCH(E453,'Item Purchases'!$B$4:$B$30,0))="","Uncategorised",INDEX('Item Purchases'!$S$4:$S$30,MATCH(E453,'Item Purchases'!$B$4:$B$30,0))),"Uncategorised"))</f>
        <v>Tea</v>
      </c>
      <c r="G453" s="178">
        <f>IF(E453="",0,'Pantry Inventory'!G120)</f>
        <v>24</v>
      </c>
      <c r="H453" s="178">
        <f>IF(E453="","",IF('Pantry Inventory'!H120="","",'Pantry Inventory'!H120))</f>
        <v>49</v>
      </c>
      <c r="I453" s="178">
        <f>IF(H453="","",'Pantry Inventory'!I120)</f>
        <v>13</v>
      </c>
      <c r="J453" s="179">
        <f>IF(E453="",0,IFERROR(INDEX('Item Purchases'!$Q$4:$Q$30,MATCH(E453,'Item Purchases'!$B$4:$B$30,0)),0))</f>
        <v>1.75</v>
      </c>
      <c r="K453" s="180">
        <f t="shared" si="60"/>
        <v>22.75</v>
      </c>
      <c r="L453" s="178">
        <f t="shared" si="61"/>
        <v>1</v>
      </c>
      <c r="M453" s="178">
        <f>IF(E453="",0,IF(AND(OR(OR(Dashboard!$E$5="All",Dashboard!$E$5=""),AG453=Dashboard!$E$5),OR(OR(Dashboard!$H$5="All",Dashboard!$H$5=""),F453=Dashboard!$H$5),OR(OR(Dashboard!$B$5="All",Dashboard!$B$5=""),C453=Dashboard!$B$5),OR(OR(Dashboard!$K$5="All",Dashboard!$K$5=""),A453=Dashboard!$K$5),OR(OR(Dashboard!$N$5="All",Dashboard!$N$5=""),B453=Dashboard!$N$5),OR(OR(Dashboard!$Q$5="All",Dashboard!$Q$5=""),D453=Dashboard!$Q$5),OR(OR(Dashboard!$U$5="All",Dashboard!$U$5=""),E453=Dashboard!$U$5)),1,0))</f>
        <v>1</v>
      </c>
      <c r="N453" s="178">
        <f>IF(E453="",0,IF(AND(OR(OR(Dashboard!$E$5="All",Dashboard!$E$5=""),AG453=Dashboard!$E$5),OR(OR(Dashboard!$B$5="All",Dashboard!$B$5=""),C453=Dashboard!$B$5),OR(OR(Dashboard!$K$5="All",Dashboard!$K$5=""),A453=Dashboard!$K$5),OR(OR(Dashboard!$N$5="All",Dashboard!$N$5=""),B453=Dashboard!$N$5),OR(OR(Dashboard!$Q$5="All",Dashboard!$Q$5=""),D453=Dashboard!$Q$5),OR(OR(Dashboard!$U$5="All",Dashboard!$U$5=""),E453=Dashboard!$U$5)),1,0))</f>
        <v>1</v>
      </c>
      <c r="O453" s="165">
        <f t="shared" si="62"/>
        <v>169</v>
      </c>
      <c r="AG453" s="178" t="str">
        <f>IF(E453="","",IFERROR(IF(INDEX('Item Purchases'!$AM$4:$AM$30,MATCH(E453,'Item Purchases'!$B$4:$B$30,0))="","Uncategorised",INDEX('Item Purchases'!$AM$4:$AM$30,MATCH(E453,'Item Purchases'!$B$4:$B$30,0))),"Uncategorised"))</f>
        <v>Beverages</v>
      </c>
      <c r="AH453" s="165">
        <f>IF(AND(E453&lt;&gt;"",L453=1),COUNTIFS($E$2:E453,E453,$L$2:L453,1),0)</f>
        <v>17</v>
      </c>
      <c r="AI453" s="165">
        <f t="shared" si="63"/>
        <v>13</v>
      </c>
      <c r="AJ453" s="165">
        <f t="shared" si="64"/>
        <v>1</v>
      </c>
    </row>
    <row r="454" spans="1:36" x14ac:dyDescent="0.25">
      <c r="A454" s="177">
        <f t="shared" si="58"/>
        <v>46288</v>
      </c>
      <c r="B454" s="178" t="str">
        <f t="shared" si="59"/>
        <v>Wed</v>
      </c>
      <c r="C454" s="178" t="str">
        <f>'Pantry Inventory'!$A$98</f>
        <v>Sep Week 4</v>
      </c>
      <c r="D454" s="178" t="str">
        <f>IF('Pantry Inventory'!A121="","",'Pantry Inventory'!A121)</f>
        <v>Vsoy</v>
      </c>
      <c r="E454" s="178" t="str">
        <f>IF('Pantry Inventory'!B121="","",'Pantry Inventory'!B121)</f>
        <v>Vsoy Soya Bean  250ml</v>
      </c>
      <c r="F454" s="178" t="str">
        <f>IF(E454="","",IFERROR(IF(INDEX('Item Purchases'!$S$4:$S$30,MATCH(E454,'Item Purchases'!$B$4:$B$30,0))="","Uncategorised",INDEX('Item Purchases'!$S$4:$S$30,MATCH(E454,'Item Purchases'!$B$4:$B$30,0))),"Uncategorised"))</f>
        <v>Other</v>
      </c>
      <c r="G454" s="178">
        <f>IF(E454="",0,'Pantry Inventory'!G121)</f>
        <v>48</v>
      </c>
      <c r="H454" s="178">
        <f>IF(E454="","",IF('Pantry Inventory'!H121="","",'Pantry Inventory'!H121))</f>
        <v>59</v>
      </c>
      <c r="I454" s="178">
        <f>IF(H454="","",'Pantry Inventory'!I121)</f>
        <v>13</v>
      </c>
      <c r="J454" s="179">
        <f>IF(E454="",0,IFERROR(INDEX('Item Purchases'!$Q$4:$Q$30,MATCH(E454,'Item Purchases'!$B$4:$B$30,0)),0))</f>
        <v>1.25</v>
      </c>
      <c r="K454" s="180">
        <f t="shared" si="60"/>
        <v>16.25</v>
      </c>
      <c r="L454" s="178">
        <f t="shared" si="61"/>
        <v>1</v>
      </c>
      <c r="M454" s="178">
        <f>IF(E454="",0,IF(AND(OR(OR(Dashboard!$E$5="All",Dashboard!$E$5=""),AG454=Dashboard!$E$5),OR(OR(Dashboard!$H$5="All",Dashboard!$H$5=""),F454=Dashboard!$H$5),OR(OR(Dashboard!$B$5="All",Dashboard!$B$5=""),C454=Dashboard!$B$5),OR(OR(Dashboard!$K$5="All",Dashboard!$K$5=""),A454=Dashboard!$K$5),OR(OR(Dashboard!$N$5="All",Dashboard!$N$5=""),B454=Dashboard!$N$5),OR(OR(Dashboard!$Q$5="All",Dashboard!$Q$5=""),D454=Dashboard!$Q$5),OR(OR(Dashboard!$U$5="All",Dashboard!$U$5=""),E454=Dashboard!$U$5)),1,0))</f>
        <v>1</v>
      </c>
      <c r="N454" s="178">
        <f>IF(E454="",0,IF(AND(OR(OR(Dashboard!$E$5="All",Dashboard!$E$5=""),AG454=Dashboard!$E$5),OR(OR(Dashboard!$B$5="All",Dashboard!$B$5=""),C454=Dashboard!$B$5),OR(OR(Dashboard!$K$5="All",Dashboard!$K$5=""),A454=Dashboard!$K$5),OR(OR(Dashboard!$N$5="All",Dashboard!$N$5=""),B454=Dashboard!$N$5),OR(OR(Dashboard!$Q$5="All",Dashboard!$Q$5=""),D454=Dashboard!$Q$5),OR(OR(Dashboard!$U$5="All",Dashboard!$U$5=""),E454=Dashboard!$U$5)),1,0))</f>
        <v>1</v>
      </c>
      <c r="O454" s="165">
        <f t="shared" si="62"/>
        <v>169</v>
      </c>
      <c r="AG454" s="178" t="str">
        <f>IF(E454="","",IFERROR(IF(INDEX('Item Purchases'!$AM$4:$AM$30,MATCH(E454,'Item Purchases'!$B$4:$B$30,0))="","Uncategorised",INDEX('Item Purchases'!$AM$4:$AM$30,MATCH(E454,'Item Purchases'!$B$4:$B$30,0))),"Uncategorised"))</f>
        <v>Beverages</v>
      </c>
      <c r="AH454" s="165">
        <f>IF(AND(E454&lt;&gt;"",L454=1),COUNTIFS($E$2:E454,E454,$L$2:L454,1),0)</f>
        <v>17</v>
      </c>
      <c r="AI454" s="165">
        <f t="shared" si="63"/>
        <v>13</v>
      </c>
      <c r="AJ454" s="165">
        <f t="shared" si="64"/>
        <v>1</v>
      </c>
    </row>
    <row r="455" spans="1:36" x14ac:dyDescent="0.25">
      <c r="A455" s="177">
        <f t="shared" si="58"/>
        <v>46288</v>
      </c>
      <c r="B455" s="178" t="str">
        <f t="shared" si="59"/>
        <v>Wed</v>
      </c>
      <c r="C455" s="178" t="str">
        <f>'Pantry Inventory'!$A$98</f>
        <v>Sep Week 4</v>
      </c>
      <c r="D455" s="178" t="str">
        <f>IF('Pantry Inventory'!A122="","",'Pantry Inventory'!A122)</f>
        <v>BingRae</v>
      </c>
      <c r="E455" s="178" t="str">
        <f>IF('Pantry Inventory'!B122="","",'Pantry Inventory'!B122)</f>
        <v>BingRae Banana Milk 200ml</v>
      </c>
      <c r="F455" s="178" t="str">
        <f>IF(E455="","",IFERROR(IF(INDEX('Item Purchases'!$S$4:$S$30,MATCH(E455,'Item Purchases'!$B$4:$B$30,0))="","Uncategorised",INDEX('Item Purchases'!$S$4:$S$30,MATCH(E455,'Item Purchases'!$B$4:$B$30,0))),"Uncategorised"))</f>
        <v>Other</v>
      </c>
      <c r="G455" s="178">
        <f>IF(E455="",0,'Pantry Inventory'!G122)</f>
        <v>0</v>
      </c>
      <c r="H455" s="178">
        <f>IF(E455="","",IF('Pantry Inventory'!H122="","",'Pantry Inventory'!H122))</f>
        <v>0</v>
      </c>
      <c r="I455" s="178">
        <f>IF(H455="","",'Pantry Inventory'!I122)</f>
        <v>3</v>
      </c>
      <c r="J455" s="179">
        <f>IF(E455="",0,IFERROR(INDEX('Item Purchases'!$Q$4:$Q$30,MATCH(E455,'Item Purchases'!$B$4:$B$30,0)),0))</f>
        <v>3.3159999999999998</v>
      </c>
      <c r="K455" s="180">
        <f t="shared" si="60"/>
        <v>9.9480000000000004</v>
      </c>
      <c r="L455" s="178">
        <f t="shared" si="61"/>
        <v>1</v>
      </c>
      <c r="M455" s="178">
        <f>IF(E455="",0,IF(AND(OR(OR(Dashboard!$E$5="All",Dashboard!$E$5=""),AG455=Dashboard!$E$5),OR(OR(Dashboard!$H$5="All",Dashboard!$H$5=""),F455=Dashboard!$H$5),OR(OR(Dashboard!$B$5="All",Dashboard!$B$5=""),C455=Dashboard!$B$5),OR(OR(Dashboard!$K$5="All",Dashboard!$K$5=""),A455=Dashboard!$K$5),OR(OR(Dashboard!$N$5="All",Dashboard!$N$5=""),B455=Dashboard!$N$5),OR(OR(Dashboard!$Q$5="All",Dashboard!$Q$5=""),D455=Dashboard!$Q$5),OR(OR(Dashboard!$U$5="All",Dashboard!$U$5=""),E455=Dashboard!$U$5)),1,0))</f>
        <v>1</v>
      </c>
      <c r="N455" s="178">
        <f>IF(E455="",0,IF(AND(OR(OR(Dashboard!$E$5="All",Dashboard!$E$5=""),AG455=Dashboard!$E$5),OR(OR(Dashboard!$B$5="All",Dashboard!$B$5=""),C455=Dashboard!$B$5),OR(OR(Dashboard!$K$5="All",Dashboard!$K$5=""),A455=Dashboard!$K$5),OR(OR(Dashboard!$N$5="All",Dashboard!$N$5=""),B455=Dashboard!$N$5),OR(OR(Dashboard!$Q$5="All",Dashboard!$Q$5=""),D455=Dashboard!$Q$5),OR(OR(Dashboard!$U$5="All",Dashboard!$U$5=""),E455=Dashboard!$U$5)),1,0))</f>
        <v>1</v>
      </c>
      <c r="O455" s="165">
        <f t="shared" si="62"/>
        <v>0</v>
      </c>
      <c r="AG455" s="178" t="str">
        <f>IF(E455="","",IFERROR(IF(INDEX('Item Purchases'!$AM$4:$AM$30,MATCH(E455,'Item Purchases'!$B$4:$B$30,0))="","Uncategorised",INDEX('Item Purchases'!$AM$4:$AM$30,MATCH(E455,'Item Purchases'!$B$4:$B$30,0))),"Uncategorised"))</f>
        <v>Beverages</v>
      </c>
      <c r="AH455" s="165">
        <f>IF(AND(E455&lt;&gt;"",L455=1),COUNTIFS($E$2:E455,E455,$L$2:L455,1),0)</f>
        <v>17</v>
      </c>
      <c r="AI455" s="165">
        <f t="shared" si="63"/>
        <v>3</v>
      </c>
      <c r="AJ455" s="165">
        <f t="shared" si="64"/>
        <v>0</v>
      </c>
    </row>
    <row r="456" spans="1:36" x14ac:dyDescent="0.25">
      <c r="A456" s="177">
        <f t="shared" si="58"/>
        <v>46288</v>
      </c>
      <c r="B456" s="178" t="str">
        <f t="shared" si="59"/>
        <v>Wed</v>
      </c>
      <c r="C456" s="178" t="str">
        <f>'Pantry Inventory'!$A$98</f>
        <v>Sep Week 4</v>
      </c>
      <c r="D456" s="178" t="str">
        <f>IF('Pantry Inventory'!A123="","",'Pantry Inventory'!A123)</f>
        <v>Fuze Tea</v>
      </c>
      <c r="E456" s="178" t="str">
        <f>IF('Pantry Inventory'!B123="","",'Pantry Inventory'!B123)</f>
        <v>Fuze Tea by Heaven and Earth Jasmine Tea</v>
      </c>
      <c r="F456" s="178" t="str">
        <f>IF(E456="","",IFERROR(IF(INDEX('Item Purchases'!$S$4:$S$30,MATCH(E456,'Item Purchases'!$B$4:$B$30,0))="","Uncategorised",INDEX('Item Purchases'!$S$4:$S$30,MATCH(E456,'Item Purchases'!$B$4:$B$30,0))),"Uncategorised"))</f>
        <v>Tea</v>
      </c>
      <c r="G456" s="178">
        <f>IF(E456="",0,'Pantry Inventory'!G123)</f>
        <v>0</v>
      </c>
      <c r="H456" s="178">
        <f>IF(E456="","",IF('Pantry Inventory'!H123="","",'Pantry Inventory'!H123))</f>
        <v>0</v>
      </c>
      <c r="I456" s="178">
        <f>IF(H456="","",'Pantry Inventory'!I123)</f>
        <v>0</v>
      </c>
      <c r="J456" s="179">
        <f>IF(E456="",0,IFERROR(INDEX('Item Purchases'!$Q$4:$Q$30,MATCH(E456,'Item Purchases'!$B$4:$B$30,0)),0))</f>
        <v>1.167</v>
      </c>
      <c r="K456" s="180">
        <f t="shared" si="60"/>
        <v>0</v>
      </c>
      <c r="L456" s="178">
        <f t="shared" si="61"/>
        <v>1</v>
      </c>
      <c r="M456" s="178">
        <f>IF(E456="",0,IF(AND(OR(OR(Dashboard!$E$5="All",Dashboard!$E$5=""),AG456=Dashboard!$E$5),OR(OR(Dashboard!$H$5="All",Dashboard!$H$5=""),F456=Dashboard!$H$5),OR(OR(Dashboard!$B$5="All",Dashboard!$B$5=""),C456=Dashboard!$B$5),OR(OR(Dashboard!$K$5="All",Dashboard!$K$5=""),A456=Dashboard!$K$5),OR(OR(Dashboard!$N$5="All",Dashboard!$N$5=""),B456=Dashboard!$N$5),OR(OR(Dashboard!$Q$5="All",Dashboard!$Q$5=""),D456=Dashboard!$Q$5),OR(OR(Dashboard!$U$5="All",Dashboard!$U$5=""),E456=Dashboard!$U$5)),1,0))</f>
        <v>1</v>
      </c>
      <c r="N456" s="178">
        <f>IF(E456="",0,IF(AND(OR(OR(Dashboard!$E$5="All",Dashboard!$E$5=""),AG456=Dashboard!$E$5),OR(OR(Dashboard!$B$5="All",Dashboard!$B$5=""),C456=Dashboard!$B$5),OR(OR(Dashboard!$K$5="All",Dashboard!$K$5=""),A456=Dashboard!$K$5),OR(OR(Dashboard!$N$5="All",Dashboard!$N$5=""),B456=Dashboard!$N$5),OR(OR(Dashboard!$Q$5="All",Dashboard!$Q$5=""),D456=Dashboard!$Q$5),OR(OR(Dashboard!$U$5="All",Dashboard!$U$5=""),E456=Dashboard!$U$5)),1,0))</f>
        <v>1</v>
      </c>
      <c r="O456" s="165">
        <f t="shared" si="62"/>
        <v>0</v>
      </c>
      <c r="AG456" s="178" t="str">
        <f>IF(E456="","",IFERROR(IF(INDEX('Item Purchases'!$AM$4:$AM$30,MATCH(E456,'Item Purchases'!$B$4:$B$30,0))="","Uncategorised",INDEX('Item Purchases'!$AM$4:$AM$30,MATCH(E456,'Item Purchases'!$B$4:$B$30,0))),"Uncategorised"))</f>
        <v>Beverages</v>
      </c>
      <c r="AH456" s="165">
        <f>IF(AND(E456&lt;&gt;"",L456=1),COUNTIFS($E$2:E456,E456,$L$2:L456,1),0)</f>
        <v>17</v>
      </c>
      <c r="AI456" s="165">
        <f t="shared" si="63"/>
        <v>0</v>
      </c>
      <c r="AJ456" s="165">
        <f t="shared" si="64"/>
        <v>0</v>
      </c>
    </row>
    <row r="457" spans="1:36" x14ac:dyDescent="0.25">
      <c r="A457" s="177">
        <f t="shared" si="58"/>
        <v>46288</v>
      </c>
      <c r="B457" s="178" t="str">
        <f t="shared" si="59"/>
        <v>Wed</v>
      </c>
      <c r="C457" s="178" t="str">
        <f>'Pantry Inventory'!$A$98</f>
        <v>Sep Week 4</v>
      </c>
      <c r="D457" s="178" t="str">
        <f>IF('Pantry Inventory'!A124="","",'Pantry Inventory'!A124)</f>
        <v>F&amp;N</v>
      </c>
      <c r="E457" s="178" t="str">
        <f>IF('Pantry Inventory'!B124="","",'Pantry Inventory'!B124)</f>
        <v>FN 100 plus (original) 325ml</v>
      </c>
      <c r="F457" s="178" t="str">
        <f>IF(E457="","",IFERROR(IF(INDEX('Item Purchases'!$S$4:$S$30,MATCH(E457,'Item Purchases'!$B$4:$B$30,0))="","Uncategorised",INDEX('Item Purchases'!$S$4:$S$30,MATCH(E457,'Item Purchases'!$B$4:$B$30,0))),"Uncategorised"))</f>
        <v>Other</v>
      </c>
      <c r="G457" s="178">
        <f>IF(E457="",0,'Pantry Inventory'!G124)</f>
        <v>0</v>
      </c>
      <c r="H457" s="178">
        <f>IF(E457="","",IF('Pantry Inventory'!H124="","",'Pantry Inventory'!H124))</f>
        <v>24</v>
      </c>
      <c r="I457" s="178">
        <f>IF(H457="","",'Pantry Inventory'!I124)</f>
        <v>18</v>
      </c>
      <c r="J457" s="179">
        <f>IF(E457="",0,IFERROR(INDEX('Item Purchases'!$Q$4:$Q$30,MATCH(E457,'Item Purchases'!$B$4:$B$30,0)),0))</f>
        <v>1.58</v>
      </c>
      <c r="K457" s="180">
        <f t="shared" si="60"/>
        <v>28.44</v>
      </c>
      <c r="L457" s="178">
        <f t="shared" si="61"/>
        <v>1</v>
      </c>
      <c r="M457" s="178">
        <f>IF(E457="",0,IF(AND(OR(OR(Dashboard!$E$5="All",Dashboard!$E$5=""),AG457=Dashboard!$E$5),OR(OR(Dashboard!$H$5="All",Dashboard!$H$5=""),F457=Dashboard!$H$5),OR(OR(Dashboard!$B$5="All",Dashboard!$B$5=""),C457=Dashboard!$B$5),OR(OR(Dashboard!$K$5="All",Dashboard!$K$5=""),A457=Dashboard!$K$5),OR(OR(Dashboard!$N$5="All",Dashboard!$N$5=""),B457=Dashboard!$N$5),OR(OR(Dashboard!$Q$5="All",Dashboard!$Q$5=""),D457=Dashboard!$Q$5),OR(OR(Dashboard!$U$5="All",Dashboard!$U$5=""),E457=Dashboard!$U$5)),1,0))</f>
        <v>1</v>
      </c>
      <c r="N457" s="178">
        <f>IF(E457="",0,IF(AND(OR(OR(Dashboard!$E$5="All",Dashboard!$E$5=""),AG457=Dashboard!$E$5),OR(OR(Dashboard!$B$5="All",Dashboard!$B$5=""),C457=Dashboard!$B$5),OR(OR(Dashboard!$K$5="All",Dashboard!$K$5=""),A457=Dashboard!$K$5),OR(OR(Dashboard!$N$5="All",Dashboard!$N$5=""),B457=Dashboard!$N$5),OR(OR(Dashboard!$Q$5="All",Dashboard!$Q$5=""),D457=Dashboard!$Q$5),OR(OR(Dashboard!$U$5="All",Dashboard!$U$5=""),E457=Dashboard!$U$5)),1,0))</f>
        <v>1</v>
      </c>
      <c r="O457" s="165">
        <f t="shared" si="62"/>
        <v>324</v>
      </c>
      <c r="AG457" s="178" t="str">
        <f>IF(E457="","",IFERROR(IF(INDEX('Item Purchases'!$AM$4:$AM$30,MATCH(E457,'Item Purchases'!$B$4:$B$30,0))="","Uncategorised",INDEX('Item Purchases'!$AM$4:$AM$30,MATCH(E457,'Item Purchases'!$B$4:$B$30,0))),"Uncategorised"))</f>
        <v>Beverages</v>
      </c>
      <c r="AH457" s="165">
        <f>IF(AND(E457&lt;&gt;"",L457=1),COUNTIFS($E$2:E457,E457,$L$2:L457,1),0)</f>
        <v>17</v>
      </c>
      <c r="AI457" s="165">
        <f t="shared" si="63"/>
        <v>18</v>
      </c>
      <c r="AJ457" s="165">
        <f t="shared" si="64"/>
        <v>1</v>
      </c>
    </row>
    <row r="458" spans="1:36" x14ac:dyDescent="0.25">
      <c r="A458" s="177">
        <f t="shared" si="58"/>
        <v>46288</v>
      </c>
      <c r="B458" s="178" t="str">
        <f t="shared" si="59"/>
        <v>Wed</v>
      </c>
      <c r="C458" s="178" t="str">
        <f>'Pantry Inventory'!$A$98</f>
        <v>Sep Week 4</v>
      </c>
      <c r="D458" s="178" t="str">
        <f>IF('Pantry Inventory'!A125="","",'Pantry Inventory'!A125)</f>
        <v>Spritzer</v>
      </c>
      <c r="E458" s="178" t="str">
        <f>IF('Pantry Inventory'!B125="","",'Pantry Inventory'!B125)</f>
        <v>Spritzer sparkling water (original) 400ml</v>
      </c>
      <c r="F458" s="178" t="str">
        <f>IF(E458="","",IFERROR(IF(INDEX('Item Purchases'!$S$4:$S$30,MATCH(E458,'Item Purchases'!$B$4:$B$30,0))="","Uncategorised",INDEX('Item Purchases'!$S$4:$S$30,MATCH(E458,'Item Purchases'!$B$4:$B$30,0))),"Uncategorised"))</f>
        <v>Other</v>
      </c>
      <c r="G458" s="178">
        <f>IF(E458="",0,'Pantry Inventory'!G125)</f>
        <v>24</v>
      </c>
      <c r="H458" s="178">
        <f>IF(E458="","",IF('Pantry Inventory'!H125="","",'Pantry Inventory'!H125))</f>
        <v>37</v>
      </c>
      <c r="I458" s="178">
        <f>IF(H458="","",'Pantry Inventory'!I125)</f>
        <v>35</v>
      </c>
      <c r="J458" s="179">
        <f>IF(E458="",0,IFERROR(INDEX('Item Purchases'!$Q$4:$Q$30,MATCH(E458,'Item Purchases'!$B$4:$B$30,0)),0))</f>
        <v>1.616666666666666</v>
      </c>
      <c r="K458" s="180">
        <f t="shared" si="60"/>
        <v>56.583333333333314</v>
      </c>
      <c r="L458" s="178">
        <f t="shared" si="61"/>
        <v>1</v>
      </c>
      <c r="M458" s="178">
        <f>IF(E458="",0,IF(AND(OR(OR(Dashboard!$E$5="All",Dashboard!$E$5=""),AG458=Dashboard!$E$5),OR(OR(Dashboard!$H$5="All",Dashboard!$H$5=""),F458=Dashboard!$H$5),OR(OR(Dashboard!$B$5="All",Dashboard!$B$5=""),C458=Dashboard!$B$5),OR(OR(Dashboard!$K$5="All",Dashboard!$K$5=""),A458=Dashboard!$K$5),OR(OR(Dashboard!$N$5="All",Dashboard!$N$5=""),B458=Dashboard!$N$5),OR(OR(Dashboard!$Q$5="All",Dashboard!$Q$5=""),D458=Dashboard!$Q$5),OR(OR(Dashboard!$U$5="All",Dashboard!$U$5=""),E458=Dashboard!$U$5)),1,0))</f>
        <v>1</v>
      </c>
      <c r="N458" s="178">
        <f>IF(E458="",0,IF(AND(OR(OR(Dashboard!$E$5="All",Dashboard!$E$5=""),AG458=Dashboard!$E$5),OR(OR(Dashboard!$B$5="All",Dashboard!$B$5=""),C458=Dashboard!$B$5),OR(OR(Dashboard!$K$5="All",Dashboard!$K$5=""),A458=Dashboard!$K$5),OR(OR(Dashboard!$N$5="All",Dashboard!$N$5=""),B458=Dashboard!$N$5),OR(OR(Dashboard!$Q$5="All",Dashboard!$Q$5=""),D458=Dashboard!$Q$5),OR(OR(Dashboard!$U$5="All",Dashboard!$U$5=""),E458=Dashboard!$U$5)),1,0))</f>
        <v>1</v>
      </c>
      <c r="O458" s="165">
        <f t="shared" si="62"/>
        <v>1225</v>
      </c>
      <c r="AG458" s="178" t="str">
        <f>IF(E458="","",IFERROR(IF(INDEX('Item Purchases'!$AM$4:$AM$30,MATCH(E458,'Item Purchases'!$B$4:$B$30,0))="","Uncategorised",INDEX('Item Purchases'!$AM$4:$AM$30,MATCH(E458,'Item Purchases'!$B$4:$B$30,0))),"Uncategorised"))</f>
        <v>Beverages</v>
      </c>
      <c r="AH458" s="165">
        <f>IF(AND(E458&lt;&gt;"",L458=1),COUNTIFS($E$2:E458,E458,$L$2:L458,1),0)</f>
        <v>17</v>
      </c>
      <c r="AI458" s="165">
        <f t="shared" si="63"/>
        <v>35</v>
      </c>
      <c r="AJ458" s="165">
        <f t="shared" si="64"/>
        <v>1</v>
      </c>
    </row>
    <row r="459" spans="1:36" x14ac:dyDescent="0.25">
      <c r="A459" s="177">
        <f t="shared" si="58"/>
        <v>46288</v>
      </c>
      <c r="B459" s="178" t="str">
        <f t="shared" si="59"/>
        <v>Wed</v>
      </c>
      <c r="C459" s="178" t="str">
        <f>'Pantry Inventory'!$A$98</f>
        <v>Sep Week 4</v>
      </c>
      <c r="D459" s="178" t="str">
        <f>IF('Pantry Inventory'!A126="","",'Pantry Inventory'!A126)</f>
        <v>Oat Side</v>
      </c>
      <c r="E459" s="178" t="str">
        <f>IF('Pantry Inventory'!B126="","",'Pantry Inventory'!B126)</f>
        <v>Oat Side Original 200ml</v>
      </c>
      <c r="F459" s="178" t="str">
        <f>IF(E459="","",IFERROR(IF(INDEX('Item Purchases'!$S$4:$S$30,MATCH(E459,'Item Purchases'!$B$4:$B$30,0))="","Uncategorised",INDEX('Item Purchases'!$S$4:$S$30,MATCH(E459,'Item Purchases'!$B$4:$B$30,0))),"Uncategorised"))</f>
        <v>Other</v>
      </c>
      <c r="G459" s="178">
        <f>IF(E459="",0,'Pantry Inventory'!G126)</f>
        <v>0</v>
      </c>
      <c r="H459" s="178">
        <f>IF(E459="","",IF('Pantry Inventory'!H126="","",'Pantry Inventory'!H126))</f>
        <v>25</v>
      </c>
      <c r="I459" s="178">
        <f>IF(H459="","",'Pantry Inventory'!I126)</f>
        <v>14</v>
      </c>
      <c r="J459" s="179">
        <f>IF(E459="",0,IFERROR(INDEX('Item Purchases'!$Q$4:$Q$30,MATCH(E459,'Item Purchases'!$B$4:$B$30,0)),0))</f>
        <v>3</v>
      </c>
      <c r="K459" s="180">
        <f t="shared" si="60"/>
        <v>42</v>
      </c>
      <c r="L459" s="178">
        <f t="shared" si="61"/>
        <v>1</v>
      </c>
      <c r="M459" s="178">
        <f>IF(E459="",0,IF(AND(OR(OR(Dashboard!$E$5="All",Dashboard!$E$5=""),AG459=Dashboard!$E$5),OR(OR(Dashboard!$H$5="All",Dashboard!$H$5=""),F459=Dashboard!$H$5),OR(OR(Dashboard!$B$5="All",Dashboard!$B$5=""),C459=Dashboard!$B$5),OR(OR(Dashboard!$K$5="All",Dashboard!$K$5=""),A459=Dashboard!$K$5),OR(OR(Dashboard!$N$5="All",Dashboard!$N$5=""),B459=Dashboard!$N$5),OR(OR(Dashboard!$Q$5="All",Dashboard!$Q$5=""),D459=Dashboard!$Q$5),OR(OR(Dashboard!$U$5="All",Dashboard!$U$5=""),E459=Dashboard!$U$5)),1,0))</f>
        <v>1</v>
      </c>
      <c r="N459" s="178">
        <f>IF(E459="",0,IF(AND(OR(OR(Dashboard!$E$5="All",Dashboard!$E$5=""),AG459=Dashboard!$E$5),OR(OR(Dashboard!$B$5="All",Dashboard!$B$5=""),C459=Dashboard!$B$5),OR(OR(Dashboard!$K$5="All",Dashboard!$K$5=""),A459=Dashboard!$K$5),OR(OR(Dashboard!$N$5="All",Dashboard!$N$5=""),B459=Dashboard!$N$5),OR(OR(Dashboard!$Q$5="All",Dashboard!$Q$5=""),D459=Dashboard!$Q$5),OR(OR(Dashboard!$U$5="All",Dashboard!$U$5=""),E459=Dashboard!$U$5)),1,0))</f>
        <v>1</v>
      </c>
      <c r="O459" s="165">
        <f t="shared" si="62"/>
        <v>196</v>
      </c>
      <c r="AG459" s="178" t="str">
        <f>IF(E459="","",IFERROR(IF(INDEX('Item Purchases'!$AM$4:$AM$30,MATCH(E459,'Item Purchases'!$B$4:$B$30,0))="","Uncategorised",INDEX('Item Purchases'!$AM$4:$AM$30,MATCH(E459,'Item Purchases'!$B$4:$B$30,0))),"Uncategorised"))</f>
        <v>Beverages</v>
      </c>
      <c r="AH459" s="165">
        <f>IF(AND(E459&lt;&gt;"",L459=1),COUNTIFS($E$2:E459,E459,$L$2:L459,1),0)</f>
        <v>17</v>
      </c>
      <c r="AI459" s="165">
        <f t="shared" si="63"/>
        <v>14</v>
      </c>
      <c r="AJ459" s="165">
        <f t="shared" si="64"/>
        <v>1</v>
      </c>
    </row>
    <row r="460" spans="1:36" x14ac:dyDescent="0.25">
      <c r="A460" s="177">
        <f t="shared" si="58"/>
        <v>46288</v>
      </c>
      <c r="B460" s="178" t="str">
        <f t="shared" si="59"/>
        <v>Wed</v>
      </c>
      <c r="C460" s="178" t="str">
        <f>'Pantry Inventory'!$A$98</f>
        <v>Sep Week 4</v>
      </c>
      <c r="D460" s="178" t="str">
        <f>IF('Pantry Inventory'!A127="","",'Pantry Inventory'!A127)</f>
        <v>Oat Side</v>
      </c>
      <c r="E460" s="178" t="str">
        <f>IF('Pantry Inventory'!B127="","",'Pantry Inventory'!B127)</f>
        <v>Oat Side Chocolate 200ml</v>
      </c>
      <c r="F460" s="178" t="str">
        <f>IF(E460="","",IFERROR(IF(INDEX('Item Purchases'!$S$4:$S$30,MATCH(E460,'Item Purchases'!$B$4:$B$30,0))="","Uncategorised",INDEX('Item Purchases'!$S$4:$S$30,MATCH(E460,'Item Purchases'!$B$4:$B$30,0))),"Uncategorised"))</f>
        <v>Other</v>
      </c>
      <c r="G460" s="178">
        <f>IF(E460="",0,'Pantry Inventory'!G127)</f>
        <v>0</v>
      </c>
      <c r="H460" s="178">
        <f>IF(E460="","",IF('Pantry Inventory'!H127="","",'Pantry Inventory'!H127))</f>
        <v>40</v>
      </c>
      <c r="I460" s="178">
        <f>IF(H460="","",'Pantry Inventory'!I127)</f>
        <v>18</v>
      </c>
      <c r="J460" s="179">
        <f>IF(E460="",0,IFERROR(INDEX('Item Purchases'!$Q$4:$Q$30,MATCH(E460,'Item Purchases'!$B$4:$B$30,0)),0))</f>
        <v>3</v>
      </c>
      <c r="K460" s="180">
        <f t="shared" si="60"/>
        <v>54</v>
      </c>
      <c r="L460" s="178">
        <f t="shared" si="61"/>
        <v>1</v>
      </c>
      <c r="M460" s="178">
        <f>IF(E460="",0,IF(AND(OR(OR(Dashboard!$E$5="All",Dashboard!$E$5=""),AG460=Dashboard!$E$5),OR(OR(Dashboard!$H$5="All",Dashboard!$H$5=""),F460=Dashboard!$H$5),OR(OR(Dashboard!$B$5="All",Dashboard!$B$5=""),C460=Dashboard!$B$5),OR(OR(Dashboard!$K$5="All",Dashboard!$K$5=""),A460=Dashboard!$K$5),OR(OR(Dashboard!$N$5="All",Dashboard!$N$5=""),B460=Dashboard!$N$5),OR(OR(Dashboard!$Q$5="All",Dashboard!$Q$5=""),D460=Dashboard!$Q$5),OR(OR(Dashboard!$U$5="All",Dashboard!$U$5=""),E460=Dashboard!$U$5)),1,0))</f>
        <v>1</v>
      </c>
      <c r="N460" s="178">
        <f>IF(E460="",0,IF(AND(OR(OR(Dashboard!$E$5="All",Dashboard!$E$5=""),AG460=Dashboard!$E$5),OR(OR(Dashboard!$B$5="All",Dashboard!$B$5=""),C460=Dashboard!$B$5),OR(OR(Dashboard!$K$5="All",Dashboard!$K$5=""),A460=Dashboard!$K$5),OR(OR(Dashboard!$N$5="All",Dashboard!$N$5=""),B460=Dashboard!$N$5),OR(OR(Dashboard!$Q$5="All",Dashboard!$Q$5=""),D460=Dashboard!$Q$5),OR(OR(Dashboard!$U$5="All",Dashboard!$U$5=""),E460=Dashboard!$U$5)),1,0))</f>
        <v>1</v>
      </c>
      <c r="O460" s="165">
        <f t="shared" si="62"/>
        <v>324</v>
      </c>
      <c r="AG460" s="178" t="str">
        <f>IF(E460="","",IFERROR(IF(INDEX('Item Purchases'!$AM$4:$AM$30,MATCH(E460,'Item Purchases'!$B$4:$B$30,0))="","Uncategorised",INDEX('Item Purchases'!$AM$4:$AM$30,MATCH(E460,'Item Purchases'!$B$4:$B$30,0))),"Uncategorised"))</f>
        <v>Beverages</v>
      </c>
      <c r="AH460" s="165">
        <f>IF(AND(E460&lt;&gt;"",L460=1),COUNTIFS($E$2:E460,E460,$L$2:L460,1),0)</f>
        <v>17</v>
      </c>
      <c r="AI460" s="165">
        <f t="shared" si="63"/>
        <v>18</v>
      </c>
      <c r="AJ460" s="165">
        <f t="shared" si="64"/>
        <v>1</v>
      </c>
    </row>
    <row r="461" spans="1:36" x14ac:dyDescent="0.25">
      <c r="A461" s="177">
        <f t="shared" ref="A461:A487" si="65">IF($Z$19="",0,$Z$19)</f>
        <v>46289</v>
      </c>
      <c r="B461" s="178" t="str">
        <f t="shared" si="59"/>
        <v>Thu</v>
      </c>
      <c r="C461" s="178" t="str">
        <f>'Pantry Inventory'!$A$98</f>
        <v>Sep Week 4</v>
      </c>
      <c r="D461" s="178" t="str">
        <f>IF('Pantry Inventory'!A101="","",'Pantry Inventory'!A101)</f>
        <v>Julie's</v>
      </c>
      <c r="E461" s="178" t="str">
        <f>IF('Pantry Inventory'!B101="","",'Pantry Inventory'!B101)</f>
        <v>Julie's Peanut Butter Sandwich 360g (12pkts x 30g)</v>
      </c>
      <c r="F461" s="178" t="str">
        <f>IF(E461="","",IFERROR(IF(INDEX('Item Purchases'!$S$4:$S$30,MATCH(E461,'Item Purchases'!$B$4:$B$30,0))="","Uncategorised",INDEX('Item Purchases'!$S$4:$S$30,MATCH(E461,'Item Purchases'!$B$4:$B$30,0))),"Uncategorised"))</f>
        <v>Sweet</v>
      </c>
      <c r="G461" s="178">
        <f>IF(E461="",0,'Pantry Inventory'!J101)</f>
        <v>0</v>
      </c>
      <c r="H461" s="178">
        <f>IF(E461="","",IF('Pantry Inventory'!K101="","",'Pantry Inventory'!K101))</f>
        <v>41</v>
      </c>
      <c r="I461" s="178">
        <f>IF(H461="","",'Pantry Inventory'!L101)</f>
        <v>5</v>
      </c>
      <c r="J461" s="179">
        <f>IF(E461="",0,IFERROR(INDEX('Item Purchases'!$Q$4:$Q$30,MATCH(E461,'Item Purchases'!$B$4:$B$30,0)),0))</f>
        <v>1.083</v>
      </c>
      <c r="K461" s="180">
        <f t="shared" si="60"/>
        <v>5.415</v>
      </c>
      <c r="L461" s="178">
        <f t="shared" si="61"/>
        <v>1</v>
      </c>
      <c r="M461" s="178">
        <f>IF(E461="",0,IF(AND(OR(OR(Dashboard!$E$5="All",Dashboard!$E$5=""),AG461=Dashboard!$E$5),OR(OR(Dashboard!$H$5="All",Dashboard!$H$5=""),F461=Dashboard!$H$5),OR(OR(Dashboard!$B$5="All",Dashboard!$B$5=""),C461=Dashboard!$B$5),OR(OR(Dashboard!$K$5="All",Dashboard!$K$5=""),A461=Dashboard!$K$5),OR(OR(Dashboard!$N$5="All",Dashboard!$N$5=""),B461=Dashboard!$N$5),OR(OR(Dashboard!$Q$5="All",Dashboard!$Q$5=""),D461=Dashboard!$Q$5),OR(OR(Dashboard!$U$5="All",Dashboard!$U$5=""),E461=Dashboard!$U$5)),1,0))</f>
        <v>1</v>
      </c>
      <c r="N461" s="178">
        <f>IF(E461="",0,IF(AND(OR(OR(Dashboard!$E$5="All",Dashboard!$E$5=""),AG461=Dashboard!$E$5),OR(OR(Dashboard!$B$5="All",Dashboard!$B$5=""),C461=Dashboard!$B$5),OR(OR(Dashboard!$K$5="All",Dashboard!$K$5=""),A461=Dashboard!$K$5),OR(OR(Dashboard!$N$5="All",Dashboard!$N$5=""),B461=Dashboard!$N$5),OR(OR(Dashboard!$Q$5="All",Dashboard!$Q$5=""),D461=Dashboard!$Q$5),OR(OR(Dashboard!$U$5="All",Dashboard!$U$5=""),E461=Dashboard!$U$5)),1,0))</f>
        <v>1</v>
      </c>
      <c r="O461" s="165">
        <f t="shared" si="62"/>
        <v>25</v>
      </c>
      <c r="AG461" s="178" t="str">
        <f>IF(E461="","",IFERROR(IF(INDEX('Item Purchases'!$AM$4:$AM$30,MATCH(E461,'Item Purchases'!$B$4:$B$30,0))="","Uncategorised",INDEX('Item Purchases'!$AM$4:$AM$30,MATCH(E461,'Item Purchases'!$B$4:$B$30,0))),"Uncategorised"))</f>
        <v>Snacks</v>
      </c>
      <c r="AH461" s="165">
        <f>IF(AND(E461&lt;&gt;"",L461=1),COUNTIFS($E$2:E461,E461,$L$2:L461,1),0)</f>
        <v>18</v>
      </c>
      <c r="AI461" s="165">
        <f t="shared" si="63"/>
        <v>5</v>
      </c>
      <c r="AJ461" s="165">
        <f t="shared" si="64"/>
        <v>1</v>
      </c>
    </row>
    <row r="462" spans="1:36" x14ac:dyDescent="0.25">
      <c r="A462" s="177">
        <f t="shared" si="65"/>
        <v>46289</v>
      </c>
      <c r="B462" s="178" t="str">
        <f t="shared" si="59"/>
        <v>Thu</v>
      </c>
      <c r="C462" s="178" t="str">
        <f>'Pantry Inventory'!$A$98</f>
        <v>Sep Week 4</v>
      </c>
      <c r="D462" s="178" t="str">
        <f>IF('Pantry Inventory'!A102="","",'Pantry Inventory'!A102)</f>
        <v>Julie's</v>
      </c>
      <c r="E462" s="178" t="str">
        <f>IF('Pantry Inventory'!B102="","",'Pantry Inventory'!B102)</f>
        <v>Julies Butter Waffles</v>
      </c>
      <c r="F462" s="178" t="str">
        <f>IF(E462="","",IFERROR(IF(INDEX('Item Purchases'!$S$4:$S$30,MATCH(E462,'Item Purchases'!$B$4:$B$30,0))="","Uncategorised",INDEX('Item Purchases'!$S$4:$S$30,MATCH(E462,'Item Purchases'!$B$4:$B$30,0))),"Uncategorised"))</f>
        <v>Sweet</v>
      </c>
      <c r="G462" s="178">
        <f>IF(E462="",0,'Pantry Inventory'!J102)</f>
        <v>0</v>
      </c>
      <c r="H462" s="178">
        <f>IF(E462="","",IF('Pantry Inventory'!K102="","",'Pantry Inventory'!K102))</f>
        <v>6</v>
      </c>
      <c r="I462" s="178">
        <f>IF(H462="","",'Pantry Inventory'!L102)</f>
        <v>2</v>
      </c>
      <c r="J462" s="179">
        <f>IF(E462="",0,IFERROR(INDEX('Item Purchases'!$Q$4:$Q$30,MATCH(E462,'Item Purchases'!$B$4:$B$30,0)),0))</f>
        <v>5.15</v>
      </c>
      <c r="K462" s="180">
        <f t="shared" si="60"/>
        <v>10.3</v>
      </c>
      <c r="L462" s="178">
        <f t="shared" si="61"/>
        <v>1</v>
      </c>
      <c r="M462" s="178">
        <f>IF(E462="",0,IF(AND(OR(OR(Dashboard!$E$5="All",Dashboard!$E$5=""),AG462=Dashboard!$E$5),OR(OR(Dashboard!$H$5="All",Dashboard!$H$5=""),F462=Dashboard!$H$5),OR(OR(Dashboard!$B$5="All",Dashboard!$B$5=""),C462=Dashboard!$B$5),OR(OR(Dashboard!$K$5="All",Dashboard!$K$5=""),A462=Dashboard!$K$5),OR(OR(Dashboard!$N$5="All",Dashboard!$N$5=""),B462=Dashboard!$N$5),OR(OR(Dashboard!$Q$5="All",Dashboard!$Q$5=""),D462=Dashboard!$Q$5),OR(OR(Dashboard!$U$5="All",Dashboard!$U$5=""),E462=Dashboard!$U$5)),1,0))</f>
        <v>1</v>
      </c>
      <c r="N462" s="178">
        <f>IF(E462="",0,IF(AND(OR(OR(Dashboard!$E$5="All",Dashboard!$E$5=""),AG462=Dashboard!$E$5),OR(OR(Dashboard!$B$5="All",Dashboard!$B$5=""),C462=Dashboard!$B$5),OR(OR(Dashboard!$K$5="All",Dashboard!$K$5=""),A462=Dashboard!$K$5),OR(OR(Dashboard!$N$5="All",Dashboard!$N$5=""),B462=Dashboard!$N$5),OR(OR(Dashboard!$Q$5="All",Dashboard!$Q$5=""),D462=Dashboard!$Q$5),OR(OR(Dashboard!$U$5="All",Dashboard!$U$5=""),E462=Dashboard!$U$5)),1,0))</f>
        <v>1</v>
      </c>
      <c r="O462" s="165">
        <f t="shared" si="62"/>
        <v>4</v>
      </c>
      <c r="AG462" s="178" t="str">
        <f>IF(E462="","",IFERROR(IF(INDEX('Item Purchases'!$AM$4:$AM$30,MATCH(E462,'Item Purchases'!$B$4:$B$30,0))="","Uncategorised",INDEX('Item Purchases'!$AM$4:$AM$30,MATCH(E462,'Item Purchases'!$B$4:$B$30,0))),"Uncategorised"))</f>
        <v>Snacks</v>
      </c>
      <c r="AH462" s="165">
        <f>IF(AND(E462&lt;&gt;"",L462=1),COUNTIFS($E$2:E462,E462,$L$2:L462,1),0)</f>
        <v>18</v>
      </c>
      <c r="AI462" s="165">
        <f t="shared" si="63"/>
        <v>2</v>
      </c>
      <c r="AJ462" s="165">
        <f t="shared" si="64"/>
        <v>1</v>
      </c>
    </row>
    <row r="463" spans="1:36" x14ac:dyDescent="0.25">
      <c r="A463" s="177">
        <f t="shared" si="65"/>
        <v>46289</v>
      </c>
      <c r="B463" s="178" t="str">
        <f t="shared" si="59"/>
        <v>Thu</v>
      </c>
      <c r="C463" s="178" t="str">
        <f>'Pantry Inventory'!$A$98</f>
        <v>Sep Week 4</v>
      </c>
      <c r="D463" s="178" t="str">
        <f>IF('Pantry Inventory'!A103="","",'Pantry Inventory'!A103)</f>
        <v>Julie's</v>
      </c>
      <c r="E463" s="178" t="str">
        <f>IF('Pantry Inventory'!B103="","",'Pantry Inventory'!B103)</f>
        <v>Julies Choco More Sandwich (44G)</v>
      </c>
      <c r="F463" s="178" t="str">
        <f>IF(E463="","",IFERROR(IF(INDEX('Item Purchases'!$S$4:$S$30,MATCH(E463,'Item Purchases'!$B$4:$B$30,0))="","Uncategorised",INDEX('Item Purchases'!$S$4:$S$30,MATCH(E463,'Item Purchases'!$B$4:$B$30,0))),"Uncategorised"))</f>
        <v>Sweet</v>
      </c>
      <c r="G463" s="178">
        <f>IF(E463="",0,'Pantry Inventory'!J103)</f>
        <v>0</v>
      </c>
      <c r="H463" s="178">
        <f>IF(E463="","",IF('Pantry Inventory'!K103="","",'Pantry Inventory'!K103))</f>
        <v>5</v>
      </c>
      <c r="I463" s="178">
        <f>IF(H463="","",'Pantry Inventory'!L103)</f>
        <v>12</v>
      </c>
      <c r="J463" s="179">
        <f>IF(E463="",0,IFERROR(INDEX('Item Purchases'!$Q$4:$Q$30,MATCH(E463,'Item Purchases'!$B$4:$B$30,0)),0))</f>
        <v>1.2</v>
      </c>
      <c r="K463" s="180">
        <f t="shared" si="60"/>
        <v>14.399999999999999</v>
      </c>
      <c r="L463" s="178">
        <f t="shared" si="61"/>
        <v>1</v>
      </c>
      <c r="M463" s="178">
        <f>IF(E463="",0,IF(AND(OR(OR(Dashboard!$E$5="All",Dashboard!$E$5=""),AG463=Dashboard!$E$5),OR(OR(Dashboard!$H$5="All",Dashboard!$H$5=""),F463=Dashboard!$H$5),OR(OR(Dashboard!$B$5="All",Dashboard!$B$5=""),C463=Dashboard!$B$5),OR(OR(Dashboard!$K$5="All",Dashboard!$K$5=""),A463=Dashboard!$K$5),OR(OR(Dashboard!$N$5="All",Dashboard!$N$5=""),B463=Dashboard!$N$5),OR(OR(Dashboard!$Q$5="All",Dashboard!$Q$5=""),D463=Dashboard!$Q$5),OR(OR(Dashboard!$U$5="All",Dashboard!$U$5=""),E463=Dashboard!$U$5)),1,0))</f>
        <v>1</v>
      </c>
      <c r="N463" s="178">
        <f>IF(E463="",0,IF(AND(OR(OR(Dashboard!$E$5="All",Dashboard!$E$5=""),AG463=Dashboard!$E$5),OR(OR(Dashboard!$B$5="All",Dashboard!$B$5=""),C463=Dashboard!$B$5),OR(OR(Dashboard!$K$5="All",Dashboard!$K$5=""),A463=Dashboard!$K$5),OR(OR(Dashboard!$N$5="All",Dashboard!$N$5=""),B463=Dashboard!$N$5),OR(OR(Dashboard!$Q$5="All",Dashboard!$Q$5=""),D463=Dashboard!$Q$5),OR(OR(Dashboard!$U$5="All",Dashboard!$U$5=""),E463=Dashboard!$U$5)),1,0))</f>
        <v>1</v>
      </c>
      <c r="O463" s="165">
        <f t="shared" si="62"/>
        <v>144</v>
      </c>
      <c r="AG463" s="178" t="str">
        <f>IF(E463="","",IFERROR(IF(INDEX('Item Purchases'!$AM$4:$AM$30,MATCH(E463,'Item Purchases'!$B$4:$B$30,0))="","Uncategorised",INDEX('Item Purchases'!$AM$4:$AM$30,MATCH(E463,'Item Purchases'!$B$4:$B$30,0))),"Uncategorised"))</f>
        <v>Snacks</v>
      </c>
      <c r="AH463" s="165">
        <f>IF(AND(E463&lt;&gt;"",L463=1),COUNTIFS($E$2:E463,E463,$L$2:L463,1),0)</f>
        <v>18</v>
      </c>
      <c r="AI463" s="165">
        <f t="shared" si="63"/>
        <v>12</v>
      </c>
      <c r="AJ463" s="165">
        <f t="shared" si="64"/>
        <v>1</v>
      </c>
    </row>
    <row r="464" spans="1:36" x14ac:dyDescent="0.25">
      <c r="A464" s="177">
        <f t="shared" si="65"/>
        <v>46289</v>
      </c>
      <c r="B464" s="178" t="str">
        <f t="shared" si="59"/>
        <v>Thu</v>
      </c>
      <c r="C464" s="178" t="str">
        <f>'Pantry Inventory'!$A$98</f>
        <v>Sep Week 4</v>
      </c>
      <c r="D464" s="178" t="str">
        <f>IF('Pantry Inventory'!A104="","",'Pantry Inventory'!A104)</f>
        <v>Julie's</v>
      </c>
      <c r="E464" s="178" t="str">
        <f>IF('Pantry Inventory'!B104="","",'Pantry Inventory'!B104)</f>
        <v>Julies Cheese Sandwich (28G)</v>
      </c>
      <c r="F464" s="178" t="str">
        <f>IF(E464="","",IFERROR(IF(INDEX('Item Purchases'!$S$4:$S$30,MATCH(E464,'Item Purchases'!$B$4:$B$30,0))="","Uncategorised",INDEX('Item Purchases'!$S$4:$S$30,MATCH(E464,'Item Purchases'!$B$4:$B$30,0))),"Uncategorised"))</f>
        <v>Savoury</v>
      </c>
      <c r="G464" s="178">
        <f>IF(E464="",0,'Pantry Inventory'!J104)</f>
        <v>0</v>
      </c>
      <c r="H464" s="178">
        <f>IF(E464="","",IF('Pantry Inventory'!K104="","",'Pantry Inventory'!K104))</f>
        <v>0</v>
      </c>
      <c r="I464" s="178">
        <f>IF(H464="","",'Pantry Inventory'!L104)</f>
        <v>7</v>
      </c>
      <c r="J464" s="179">
        <f>IF(E464="",0,IFERROR(INDEX('Item Purchases'!$Q$4:$Q$30,MATCH(E464,'Item Purchases'!$B$4:$B$30,0)),0))</f>
        <v>1.1000000000000001</v>
      </c>
      <c r="K464" s="180">
        <f t="shared" si="60"/>
        <v>7.7000000000000011</v>
      </c>
      <c r="L464" s="178">
        <f t="shared" si="61"/>
        <v>1</v>
      </c>
      <c r="M464" s="178">
        <f>IF(E464="",0,IF(AND(OR(OR(Dashboard!$E$5="All",Dashboard!$E$5=""),AG464=Dashboard!$E$5),OR(OR(Dashboard!$H$5="All",Dashboard!$H$5=""),F464=Dashboard!$H$5),OR(OR(Dashboard!$B$5="All",Dashboard!$B$5=""),C464=Dashboard!$B$5),OR(OR(Dashboard!$K$5="All",Dashboard!$K$5=""),A464=Dashboard!$K$5),OR(OR(Dashboard!$N$5="All",Dashboard!$N$5=""),B464=Dashboard!$N$5),OR(OR(Dashboard!$Q$5="All",Dashboard!$Q$5=""),D464=Dashboard!$Q$5),OR(OR(Dashboard!$U$5="All",Dashboard!$U$5=""),E464=Dashboard!$U$5)),1,0))</f>
        <v>1</v>
      </c>
      <c r="N464" s="178">
        <f>IF(E464="",0,IF(AND(OR(OR(Dashboard!$E$5="All",Dashboard!$E$5=""),AG464=Dashboard!$E$5),OR(OR(Dashboard!$B$5="All",Dashboard!$B$5=""),C464=Dashboard!$B$5),OR(OR(Dashboard!$K$5="All",Dashboard!$K$5=""),A464=Dashboard!$K$5),OR(OR(Dashboard!$N$5="All",Dashboard!$N$5=""),B464=Dashboard!$N$5),OR(OR(Dashboard!$Q$5="All",Dashboard!$Q$5=""),D464=Dashboard!$Q$5),OR(OR(Dashboard!$U$5="All",Dashboard!$U$5=""),E464=Dashboard!$U$5)),1,0))</f>
        <v>1</v>
      </c>
      <c r="O464" s="165">
        <f t="shared" si="62"/>
        <v>0</v>
      </c>
      <c r="AG464" s="178" t="str">
        <f>IF(E464="","",IFERROR(IF(INDEX('Item Purchases'!$AM$4:$AM$30,MATCH(E464,'Item Purchases'!$B$4:$B$30,0))="","Uncategorised",INDEX('Item Purchases'!$AM$4:$AM$30,MATCH(E464,'Item Purchases'!$B$4:$B$30,0))),"Uncategorised"))</f>
        <v>Snacks</v>
      </c>
      <c r="AH464" s="165">
        <f>IF(AND(E464&lt;&gt;"",L464=1),COUNTIFS($E$2:E464,E464,$L$2:L464,1),0)</f>
        <v>18</v>
      </c>
      <c r="AI464" s="165">
        <f t="shared" si="63"/>
        <v>7</v>
      </c>
      <c r="AJ464" s="165">
        <f t="shared" si="64"/>
        <v>0</v>
      </c>
    </row>
    <row r="465" spans="1:36" x14ac:dyDescent="0.25">
      <c r="A465" s="177">
        <f t="shared" si="65"/>
        <v>46289</v>
      </c>
      <c r="B465" s="178" t="str">
        <f t="shared" si="59"/>
        <v>Thu</v>
      </c>
      <c r="C465" s="178" t="str">
        <f>'Pantry Inventory'!$A$98</f>
        <v>Sep Week 4</v>
      </c>
      <c r="D465" s="178" t="str">
        <f>IF('Pantry Inventory'!A105="","",'Pantry Inventory'!A105)</f>
        <v>Nature Valley</v>
      </c>
      <c r="E465" s="178" t="str">
        <f>IF('Pantry Inventory'!B105="","",'Pantry Inventory'!B105)</f>
        <v>NV OATS &amp; DARK CHOC 42GX5</v>
      </c>
      <c r="F465" s="178" t="str">
        <f>IF(E465="","",IFERROR(IF(INDEX('Item Purchases'!$S$4:$S$30,MATCH(E465,'Item Purchases'!$B$4:$B$30,0))="","Uncategorised",INDEX('Item Purchases'!$S$4:$S$30,MATCH(E465,'Item Purchases'!$B$4:$B$30,0))),"Uncategorised"))</f>
        <v>Sweet</v>
      </c>
      <c r="G465" s="178">
        <f>IF(E465="",0,'Pantry Inventory'!J105)</f>
        <v>0</v>
      </c>
      <c r="H465" s="178">
        <f>IF(E465="","",IF('Pantry Inventory'!K105="","",'Pantry Inventory'!K105))</f>
        <v>0</v>
      </c>
      <c r="I465" s="178">
        <f>IF(H465="","",'Pantry Inventory'!L105)</f>
        <v>0</v>
      </c>
      <c r="J465" s="179">
        <f>IF(E465="",0,IFERROR(INDEX('Item Purchases'!$Q$4:$Q$30,MATCH(E465,'Item Purchases'!$B$4:$B$30,0)),0))</f>
        <v>2.78</v>
      </c>
      <c r="K465" s="180">
        <f t="shared" si="60"/>
        <v>0</v>
      </c>
      <c r="L465" s="178">
        <f t="shared" si="61"/>
        <v>1</v>
      </c>
      <c r="M465" s="178">
        <f>IF(E465="",0,IF(AND(OR(OR(Dashboard!$E$5="All",Dashboard!$E$5=""),AG465=Dashboard!$E$5),OR(OR(Dashboard!$H$5="All",Dashboard!$H$5=""),F465=Dashboard!$H$5),OR(OR(Dashboard!$B$5="All",Dashboard!$B$5=""),C465=Dashboard!$B$5),OR(OR(Dashboard!$K$5="All",Dashboard!$K$5=""),A465=Dashboard!$K$5),OR(OR(Dashboard!$N$5="All",Dashboard!$N$5=""),B465=Dashboard!$N$5),OR(OR(Dashboard!$Q$5="All",Dashboard!$Q$5=""),D465=Dashboard!$Q$5),OR(OR(Dashboard!$U$5="All",Dashboard!$U$5=""),E465=Dashboard!$U$5)),1,0))</f>
        <v>1</v>
      </c>
      <c r="N465" s="178">
        <f>IF(E465="",0,IF(AND(OR(OR(Dashboard!$E$5="All",Dashboard!$E$5=""),AG465=Dashboard!$E$5),OR(OR(Dashboard!$B$5="All",Dashboard!$B$5=""),C465=Dashboard!$B$5),OR(OR(Dashboard!$K$5="All",Dashboard!$K$5=""),A465=Dashboard!$K$5),OR(OR(Dashboard!$N$5="All",Dashboard!$N$5=""),B465=Dashboard!$N$5),OR(OR(Dashboard!$Q$5="All",Dashboard!$Q$5=""),D465=Dashboard!$Q$5),OR(OR(Dashboard!$U$5="All",Dashboard!$U$5=""),E465=Dashboard!$U$5)),1,0))</f>
        <v>1</v>
      </c>
      <c r="O465" s="165">
        <f t="shared" si="62"/>
        <v>0</v>
      </c>
      <c r="AG465" s="178" t="str">
        <f>IF(E465="","",IFERROR(IF(INDEX('Item Purchases'!$AM$4:$AM$30,MATCH(E465,'Item Purchases'!$B$4:$B$30,0))="","Uncategorised",INDEX('Item Purchases'!$AM$4:$AM$30,MATCH(E465,'Item Purchases'!$B$4:$B$30,0))),"Uncategorised"))</f>
        <v>Snacks</v>
      </c>
      <c r="AH465" s="165">
        <f>IF(AND(E465&lt;&gt;"",L465=1),COUNTIFS($E$2:E465,E465,$L$2:L465,1),0)</f>
        <v>18</v>
      </c>
      <c r="AI465" s="165">
        <f t="shared" si="63"/>
        <v>0</v>
      </c>
      <c r="AJ465" s="165">
        <f t="shared" si="64"/>
        <v>0</v>
      </c>
    </row>
    <row r="466" spans="1:36" x14ac:dyDescent="0.25">
      <c r="A466" s="177">
        <f t="shared" si="65"/>
        <v>46289</v>
      </c>
      <c r="B466" s="178" t="str">
        <f t="shared" si="59"/>
        <v>Thu</v>
      </c>
      <c r="C466" s="178" t="str">
        <f>'Pantry Inventory'!$A$98</f>
        <v>Sep Week 4</v>
      </c>
      <c r="D466" s="178" t="str">
        <f>IF('Pantry Inventory'!A106="","",'Pantry Inventory'!A106)</f>
        <v>Nature Valley</v>
      </c>
      <c r="E466" s="178" t="str">
        <f>IF('Pantry Inventory'!B106="","",'Pantry Inventory'!B106)</f>
        <v xml:space="preserve">NV PROTEIN - SALTED CARAMEL 40G </v>
      </c>
      <c r="F466" s="178" t="str">
        <f>IF(E466="","",IFERROR(IF(INDEX('Item Purchases'!$S$4:$S$30,MATCH(E466,'Item Purchases'!$B$4:$B$30,0))="","Uncategorised",INDEX('Item Purchases'!$S$4:$S$30,MATCH(E466,'Item Purchases'!$B$4:$B$30,0))),"Uncategorised"))</f>
        <v>Sweet</v>
      </c>
      <c r="G466" s="178">
        <f>IF(E466="",0,'Pantry Inventory'!J106)</f>
        <v>0</v>
      </c>
      <c r="H466" s="178">
        <f>IF(E466="","",IF('Pantry Inventory'!K106="","",'Pantry Inventory'!K106))</f>
        <v>0</v>
      </c>
      <c r="I466" s="178">
        <f>IF(H466="","",'Pantry Inventory'!L106)</f>
        <v>0</v>
      </c>
      <c r="J466" s="179">
        <f>IF(E466="",0,IFERROR(INDEX('Item Purchases'!$Q$4:$Q$30,MATCH(E466,'Item Purchases'!$B$4:$B$30,0)),0))</f>
        <v>4.9000000000000004</v>
      </c>
      <c r="K466" s="180">
        <f t="shared" si="60"/>
        <v>0</v>
      </c>
      <c r="L466" s="178">
        <f t="shared" si="61"/>
        <v>1</v>
      </c>
      <c r="M466" s="178">
        <f>IF(E466="",0,IF(AND(OR(OR(Dashboard!$E$5="All",Dashboard!$E$5=""),AG466=Dashboard!$E$5),OR(OR(Dashboard!$H$5="All",Dashboard!$H$5=""),F466=Dashboard!$H$5),OR(OR(Dashboard!$B$5="All",Dashboard!$B$5=""),C466=Dashboard!$B$5),OR(OR(Dashboard!$K$5="All",Dashboard!$K$5=""),A466=Dashboard!$K$5),OR(OR(Dashboard!$N$5="All",Dashboard!$N$5=""),B466=Dashboard!$N$5),OR(OR(Dashboard!$Q$5="All",Dashboard!$Q$5=""),D466=Dashboard!$Q$5),OR(OR(Dashboard!$U$5="All",Dashboard!$U$5=""),E466=Dashboard!$U$5)),1,0))</f>
        <v>1</v>
      </c>
      <c r="N466" s="178">
        <f>IF(E466="",0,IF(AND(OR(OR(Dashboard!$E$5="All",Dashboard!$E$5=""),AG466=Dashboard!$E$5),OR(OR(Dashboard!$B$5="All",Dashboard!$B$5=""),C466=Dashboard!$B$5),OR(OR(Dashboard!$K$5="All",Dashboard!$K$5=""),A466=Dashboard!$K$5),OR(OR(Dashboard!$N$5="All",Dashboard!$N$5=""),B466=Dashboard!$N$5),OR(OR(Dashboard!$Q$5="All",Dashboard!$Q$5=""),D466=Dashboard!$Q$5),OR(OR(Dashboard!$U$5="All",Dashboard!$U$5=""),E466=Dashboard!$U$5)),1,0))</f>
        <v>1</v>
      </c>
      <c r="O466" s="165">
        <f t="shared" si="62"/>
        <v>0</v>
      </c>
      <c r="AG466" s="178" t="str">
        <f>IF(E466="","",IFERROR(IF(INDEX('Item Purchases'!$AM$4:$AM$30,MATCH(E466,'Item Purchases'!$B$4:$B$30,0))="","Uncategorised",INDEX('Item Purchases'!$AM$4:$AM$30,MATCH(E466,'Item Purchases'!$B$4:$B$30,0))),"Uncategorised"))</f>
        <v>Snacks</v>
      </c>
      <c r="AH466" s="165">
        <f>IF(AND(E466&lt;&gt;"",L466=1),COUNTIFS($E$2:E466,E466,$L$2:L466,1),0)</f>
        <v>18</v>
      </c>
      <c r="AI466" s="165">
        <f t="shared" si="63"/>
        <v>0</v>
      </c>
      <c r="AJ466" s="165">
        <f t="shared" si="64"/>
        <v>0</v>
      </c>
    </row>
    <row r="467" spans="1:36" x14ac:dyDescent="0.25">
      <c r="A467" s="177">
        <f t="shared" si="65"/>
        <v>46289</v>
      </c>
      <c r="B467" s="178" t="str">
        <f t="shared" si="59"/>
        <v>Thu</v>
      </c>
      <c r="C467" s="178" t="str">
        <f>'Pantry Inventory'!$A$98</f>
        <v>Sep Week 4</v>
      </c>
      <c r="D467" s="178" t="str">
        <f>IF('Pantry Inventory'!A107="","",'Pantry Inventory'!A107)</f>
        <v>BBMG</v>
      </c>
      <c r="E467" s="178" t="str">
        <f>IF('Pantry Inventory'!B107="","",'Pantry Inventory'!B107)</f>
        <v>BBMG 90G</v>
      </c>
      <c r="F467" s="178" t="str">
        <f>IF(E467="","",IFERROR(IF(INDEX('Item Purchases'!$S$4:$S$30,MATCH(E467,'Item Purchases'!$B$4:$B$30,0))="","Uncategorised",INDEX('Item Purchases'!$S$4:$S$30,MATCH(E467,'Item Purchases'!$B$4:$B$30,0))),"Uncategorised"))</f>
        <v>Savoury</v>
      </c>
      <c r="G467" s="178">
        <f>IF(E467="",0,'Pantry Inventory'!J107)</f>
        <v>0</v>
      </c>
      <c r="H467" s="178">
        <f>IF(E467="","",IF('Pantry Inventory'!K107="","",'Pantry Inventory'!K107))</f>
        <v>84</v>
      </c>
      <c r="I467" s="178">
        <f>IF(H467="","",'Pantry Inventory'!L107)</f>
        <v>46</v>
      </c>
      <c r="J467" s="179">
        <f>IF(E467="",0,IFERROR(INDEX('Item Purchases'!$Q$4:$Q$30,MATCH(E467,'Item Purchases'!$B$4:$B$30,0)),0))</f>
        <v>0.34300000000000003</v>
      </c>
      <c r="K467" s="180">
        <f t="shared" si="60"/>
        <v>15.778</v>
      </c>
      <c r="L467" s="178">
        <f t="shared" si="61"/>
        <v>1</v>
      </c>
      <c r="M467" s="178">
        <f>IF(E467="",0,IF(AND(OR(OR(Dashboard!$E$5="All",Dashboard!$E$5=""),AG467=Dashboard!$E$5),OR(OR(Dashboard!$H$5="All",Dashboard!$H$5=""),F467=Dashboard!$H$5),OR(OR(Dashboard!$B$5="All",Dashboard!$B$5=""),C467=Dashboard!$B$5),OR(OR(Dashboard!$K$5="All",Dashboard!$K$5=""),A467=Dashboard!$K$5),OR(OR(Dashboard!$N$5="All",Dashboard!$N$5=""),B467=Dashboard!$N$5),OR(OR(Dashboard!$Q$5="All",Dashboard!$Q$5=""),D467=Dashboard!$Q$5),OR(OR(Dashboard!$U$5="All",Dashboard!$U$5=""),E467=Dashboard!$U$5)),1,0))</f>
        <v>1</v>
      </c>
      <c r="N467" s="178">
        <f>IF(E467="",0,IF(AND(OR(OR(Dashboard!$E$5="All",Dashboard!$E$5=""),AG467=Dashboard!$E$5),OR(OR(Dashboard!$B$5="All",Dashboard!$B$5=""),C467=Dashboard!$B$5),OR(OR(Dashboard!$K$5="All",Dashboard!$K$5=""),A467=Dashboard!$K$5),OR(OR(Dashboard!$N$5="All",Dashboard!$N$5=""),B467=Dashboard!$N$5),OR(OR(Dashboard!$Q$5="All",Dashboard!$Q$5=""),D467=Dashboard!$Q$5),OR(OR(Dashboard!$U$5="All",Dashboard!$U$5=""),E467=Dashboard!$U$5)),1,0))</f>
        <v>1</v>
      </c>
      <c r="O467" s="165">
        <f t="shared" si="62"/>
        <v>2116</v>
      </c>
      <c r="AG467" s="178" t="str">
        <f>IF(E467="","",IFERROR(IF(INDEX('Item Purchases'!$AM$4:$AM$30,MATCH(E467,'Item Purchases'!$B$4:$B$30,0))="","Uncategorised",INDEX('Item Purchases'!$AM$4:$AM$30,MATCH(E467,'Item Purchases'!$B$4:$B$30,0))),"Uncategorised"))</f>
        <v>Snacks</v>
      </c>
      <c r="AH467" s="165">
        <f>IF(AND(E467&lt;&gt;"",L467=1),COUNTIFS($E$2:E467,E467,$L$2:L467,1),0)</f>
        <v>18</v>
      </c>
      <c r="AI467" s="165">
        <f t="shared" si="63"/>
        <v>46</v>
      </c>
      <c r="AJ467" s="165">
        <f t="shared" si="64"/>
        <v>1</v>
      </c>
    </row>
    <row r="468" spans="1:36" x14ac:dyDescent="0.25">
      <c r="A468" s="177">
        <f t="shared" si="65"/>
        <v>46289</v>
      </c>
      <c r="B468" s="178" t="str">
        <f t="shared" si="59"/>
        <v>Thu</v>
      </c>
      <c r="C468" s="178" t="str">
        <f>'Pantry Inventory'!$A$98</f>
        <v>Sep Week 4</v>
      </c>
      <c r="D468" s="178" t="str">
        <f>IF('Pantry Inventory'!A108="","",'Pantry Inventory'!A108)</f>
        <v>Lays</v>
      </c>
      <c r="E468" s="178" t="str">
        <f>IF('Pantry Inventory'!B108="","",'Pantry Inventory'!B108)</f>
        <v>Lays Potato Chips (Original) 50g</v>
      </c>
      <c r="F468" s="178" t="str">
        <f>IF(E468="","",IFERROR(IF(INDEX('Item Purchases'!$S$4:$S$30,MATCH(E468,'Item Purchases'!$B$4:$B$30,0))="","Uncategorised",INDEX('Item Purchases'!$S$4:$S$30,MATCH(E468,'Item Purchases'!$B$4:$B$30,0))),"Uncategorised"))</f>
        <v>Savoury</v>
      </c>
      <c r="G468" s="178">
        <f>IF(E468="",0,'Pantry Inventory'!J108)</f>
        <v>0</v>
      </c>
      <c r="H468" s="178">
        <f>IF(E468="","",IF('Pantry Inventory'!K108="","",'Pantry Inventory'!K108))</f>
        <v>17</v>
      </c>
      <c r="I468" s="178">
        <f>IF(H468="","",'Pantry Inventory'!L108)</f>
        <v>3</v>
      </c>
      <c r="J468" s="179">
        <f>IF(E468="",0,IFERROR(INDEX('Item Purchases'!$Q$4:$Q$30,MATCH(E468,'Item Purchases'!$B$4:$B$30,0)),0))</f>
        <v>3.4580000000000002</v>
      </c>
      <c r="K468" s="180">
        <f t="shared" si="60"/>
        <v>10.374000000000001</v>
      </c>
      <c r="L468" s="178">
        <f t="shared" si="61"/>
        <v>1</v>
      </c>
      <c r="M468" s="178">
        <f>IF(E468="",0,IF(AND(OR(OR(Dashboard!$E$5="All",Dashboard!$E$5=""),AG468=Dashboard!$E$5),OR(OR(Dashboard!$H$5="All",Dashboard!$H$5=""),F468=Dashboard!$H$5),OR(OR(Dashboard!$B$5="All",Dashboard!$B$5=""),C468=Dashboard!$B$5),OR(OR(Dashboard!$K$5="All",Dashboard!$K$5=""),A468=Dashboard!$K$5),OR(OR(Dashboard!$N$5="All",Dashboard!$N$5=""),B468=Dashboard!$N$5),OR(OR(Dashboard!$Q$5="All",Dashboard!$Q$5=""),D468=Dashboard!$Q$5),OR(OR(Dashboard!$U$5="All",Dashboard!$U$5=""),E468=Dashboard!$U$5)),1,0))</f>
        <v>1</v>
      </c>
      <c r="N468" s="178">
        <f>IF(E468="",0,IF(AND(OR(OR(Dashboard!$E$5="All",Dashboard!$E$5=""),AG468=Dashboard!$E$5),OR(OR(Dashboard!$B$5="All",Dashboard!$B$5=""),C468=Dashboard!$B$5),OR(OR(Dashboard!$K$5="All",Dashboard!$K$5=""),A468=Dashboard!$K$5),OR(OR(Dashboard!$N$5="All",Dashboard!$N$5=""),B468=Dashboard!$N$5),OR(OR(Dashboard!$Q$5="All",Dashboard!$Q$5=""),D468=Dashboard!$Q$5),OR(OR(Dashboard!$U$5="All",Dashboard!$U$5=""),E468=Dashboard!$U$5)),1,0))</f>
        <v>1</v>
      </c>
      <c r="O468" s="165">
        <f t="shared" si="62"/>
        <v>9</v>
      </c>
      <c r="AG468" s="178" t="str">
        <f>IF(E468="","",IFERROR(IF(INDEX('Item Purchases'!$AM$4:$AM$30,MATCH(E468,'Item Purchases'!$B$4:$B$30,0))="","Uncategorised",INDEX('Item Purchases'!$AM$4:$AM$30,MATCH(E468,'Item Purchases'!$B$4:$B$30,0))),"Uncategorised"))</f>
        <v>Snacks</v>
      </c>
      <c r="AH468" s="165">
        <f>IF(AND(E468&lt;&gt;"",L468=1),COUNTIFS($E$2:E468,E468,$L$2:L468,1),0)</f>
        <v>18</v>
      </c>
      <c r="AI468" s="165">
        <f t="shared" si="63"/>
        <v>3</v>
      </c>
      <c r="AJ468" s="165">
        <f t="shared" si="64"/>
        <v>1</v>
      </c>
    </row>
    <row r="469" spans="1:36" x14ac:dyDescent="0.25">
      <c r="A469" s="177">
        <f t="shared" si="65"/>
        <v>46289</v>
      </c>
      <c r="B469" s="178" t="str">
        <f t="shared" si="59"/>
        <v>Thu</v>
      </c>
      <c r="C469" s="178" t="str">
        <f>'Pantry Inventory'!$A$98</f>
        <v>Sep Week 4</v>
      </c>
      <c r="D469" s="178" t="str">
        <f>IF('Pantry Inventory'!A109="","",'Pantry Inventory'!A109)</f>
        <v>Lays</v>
      </c>
      <c r="E469" s="178" t="str">
        <f>IF('Pantry Inventory'!B109="","",'Pantry Inventory'!B109)</f>
        <v xml:space="preserve">Lays Double Crunch - Seaweed Flav (50g) </v>
      </c>
      <c r="F469" s="178" t="str">
        <f>IF(E469="","",IFERROR(IF(INDEX('Item Purchases'!$S$4:$S$30,MATCH(E469,'Item Purchases'!$B$4:$B$30,0))="","Uncategorised",INDEX('Item Purchases'!$S$4:$S$30,MATCH(E469,'Item Purchases'!$B$4:$B$30,0))),"Uncategorised"))</f>
        <v>Savoury</v>
      </c>
      <c r="G469" s="178">
        <f>IF(E469="",0,'Pantry Inventory'!J109)</f>
        <v>0</v>
      </c>
      <c r="H469" s="178">
        <f>IF(E469="","",IF('Pantry Inventory'!K109="","",'Pantry Inventory'!K109))</f>
        <v>23</v>
      </c>
      <c r="I469" s="178">
        <f>IF(H469="","",'Pantry Inventory'!L109)</f>
        <v>9</v>
      </c>
      <c r="J469" s="179">
        <f>IF(E469="",0,IFERROR(INDEX('Item Purchases'!$Q$4:$Q$30,MATCH(E469,'Item Purchases'!$B$4:$B$30,0)),0))</f>
        <v>4</v>
      </c>
      <c r="K469" s="180">
        <f t="shared" si="60"/>
        <v>36</v>
      </c>
      <c r="L469" s="178">
        <f t="shared" si="61"/>
        <v>1</v>
      </c>
      <c r="M469" s="178">
        <f>IF(E469="",0,IF(AND(OR(OR(Dashboard!$E$5="All",Dashboard!$E$5=""),AG469=Dashboard!$E$5),OR(OR(Dashboard!$H$5="All",Dashboard!$H$5=""),F469=Dashboard!$H$5),OR(OR(Dashboard!$B$5="All",Dashboard!$B$5=""),C469=Dashboard!$B$5),OR(OR(Dashboard!$K$5="All",Dashboard!$K$5=""),A469=Dashboard!$K$5),OR(OR(Dashboard!$N$5="All",Dashboard!$N$5=""),B469=Dashboard!$N$5),OR(OR(Dashboard!$Q$5="All",Dashboard!$Q$5=""),D469=Dashboard!$Q$5),OR(OR(Dashboard!$U$5="All",Dashboard!$U$5=""),E469=Dashboard!$U$5)),1,0))</f>
        <v>1</v>
      </c>
      <c r="N469" s="178">
        <f>IF(E469="",0,IF(AND(OR(OR(Dashboard!$E$5="All",Dashboard!$E$5=""),AG469=Dashboard!$E$5),OR(OR(Dashboard!$B$5="All",Dashboard!$B$5=""),C469=Dashboard!$B$5),OR(OR(Dashboard!$K$5="All",Dashboard!$K$5=""),A469=Dashboard!$K$5),OR(OR(Dashboard!$N$5="All",Dashboard!$N$5=""),B469=Dashboard!$N$5),OR(OR(Dashboard!$Q$5="All",Dashboard!$Q$5=""),D469=Dashboard!$Q$5),OR(OR(Dashboard!$U$5="All",Dashboard!$U$5=""),E469=Dashboard!$U$5)),1,0))</f>
        <v>1</v>
      </c>
      <c r="O469" s="165">
        <f t="shared" si="62"/>
        <v>81</v>
      </c>
      <c r="AG469" s="178" t="str">
        <f>IF(E469="","",IFERROR(IF(INDEX('Item Purchases'!$AM$4:$AM$30,MATCH(E469,'Item Purchases'!$B$4:$B$30,0))="","Uncategorised",INDEX('Item Purchases'!$AM$4:$AM$30,MATCH(E469,'Item Purchases'!$B$4:$B$30,0))),"Uncategorised"))</f>
        <v>Snacks</v>
      </c>
      <c r="AH469" s="165">
        <f>IF(AND(E469&lt;&gt;"",L469=1),COUNTIFS($E$2:E469,E469,$L$2:L469,1),0)</f>
        <v>18</v>
      </c>
      <c r="AI469" s="165">
        <f t="shared" si="63"/>
        <v>9</v>
      </c>
      <c r="AJ469" s="165">
        <f t="shared" si="64"/>
        <v>1</v>
      </c>
    </row>
    <row r="470" spans="1:36" x14ac:dyDescent="0.25">
      <c r="A470" s="177">
        <f t="shared" si="65"/>
        <v>46289</v>
      </c>
      <c r="B470" s="178" t="str">
        <f t="shared" si="59"/>
        <v>Thu</v>
      </c>
      <c r="C470" s="178" t="str">
        <f>'Pantry Inventory'!$A$98</f>
        <v>Sep Week 4</v>
      </c>
      <c r="D470" s="178" t="str">
        <f>IF('Pantry Inventory'!A110="","",'Pantry Inventory'!A110)</f>
        <v>Munchy</v>
      </c>
      <c r="E470" s="178" t="str">
        <f>IF('Pantry Inventory'!B110="","",'Pantry Inventory'!B110)</f>
        <v>Munchy Oat Krunch - Dark Choco</v>
      </c>
      <c r="F470" s="178" t="str">
        <f>IF(E470="","",IFERROR(IF(INDEX('Item Purchases'!$S$4:$S$30,MATCH(E470,'Item Purchases'!$B$4:$B$30,0))="","Uncategorised",INDEX('Item Purchases'!$S$4:$S$30,MATCH(E470,'Item Purchases'!$B$4:$B$30,0))),"Uncategorised"))</f>
        <v>Sweet</v>
      </c>
      <c r="G470" s="178">
        <f>IF(E470="",0,'Pantry Inventory'!J110)</f>
        <v>0</v>
      </c>
      <c r="H470" s="178">
        <f>IF(E470="","",IF('Pantry Inventory'!K110="","",'Pantry Inventory'!K110))</f>
        <v>8</v>
      </c>
      <c r="I470" s="178">
        <f>IF(H470="","",'Pantry Inventory'!L110)</f>
        <v>34</v>
      </c>
      <c r="J470" s="179">
        <f>IF(E470="",0,IFERROR(INDEX('Item Purchases'!$Q$4:$Q$30,MATCH(E470,'Item Purchases'!$B$4:$B$30,0)),0))</f>
        <v>0.73</v>
      </c>
      <c r="K470" s="180">
        <f t="shared" si="60"/>
        <v>24.82</v>
      </c>
      <c r="L470" s="178">
        <f t="shared" si="61"/>
        <v>1</v>
      </c>
      <c r="M470" s="178">
        <f>IF(E470="",0,IF(AND(OR(OR(Dashboard!$E$5="All",Dashboard!$E$5=""),AG470=Dashboard!$E$5),OR(OR(Dashboard!$H$5="All",Dashboard!$H$5=""),F470=Dashboard!$H$5),OR(OR(Dashboard!$B$5="All",Dashboard!$B$5=""),C470=Dashboard!$B$5),OR(OR(Dashboard!$K$5="All",Dashboard!$K$5=""),A470=Dashboard!$K$5),OR(OR(Dashboard!$N$5="All",Dashboard!$N$5=""),B470=Dashboard!$N$5),OR(OR(Dashboard!$Q$5="All",Dashboard!$Q$5=""),D470=Dashboard!$Q$5),OR(OR(Dashboard!$U$5="All",Dashboard!$U$5=""),E470=Dashboard!$U$5)),1,0))</f>
        <v>1</v>
      </c>
      <c r="N470" s="178">
        <f>IF(E470="",0,IF(AND(OR(OR(Dashboard!$E$5="All",Dashboard!$E$5=""),AG470=Dashboard!$E$5),OR(OR(Dashboard!$B$5="All",Dashboard!$B$5=""),C470=Dashboard!$B$5),OR(OR(Dashboard!$K$5="All",Dashboard!$K$5=""),A470=Dashboard!$K$5),OR(OR(Dashboard!$N$5="All",Dashboard!$N$5=""),B470=Dashboard!$N$5),OR(OR(Dashboard!$Q$5="All",Dashboard!$Q$5=""),D470=Dashboard!$Q$5),OR(OR(Dashboard!$U$5="All",Dashboard!$U$5=""),E470=Dashboard!$U$5)),1,0))</f>
        <v>1</v>
      </c>
      <c r="O470" s="165">
        <f t="shared" si="62"/>
        <v>1156</v>
      </c>
      <c r="AG470" s="178" t="str">
        <f>IF(E470="","",IFERROR(IF(INDEX('Item Purchases'!$AM$4:$AM$30,MATCH(E470,'Item Purchases'!$B$4:$B$30,0))="","Uncategorised",INDEX('Item Purchases'!$AM$4:$AM$30,MATCH(E470,'Item Purchases'!$B$4:$B$30,0))),"Uncategorised"))</f>
        <v>Snacks</v>
      </c>
      <c r="AH470" s="165">
        <f>IF(AND(E470&lt;&gt;"",L470=1),COUNTIFS($E$2:E470,E470,$L$2:L470,1),0)</f>
        <v>18</v>
      </c>
      <c r="AI470" s="165">
        <f t="shared" si="63"/>
        <v>34</v>
      </c>
      <c r="AJ470" s="165">
        <f t="shared" si="64"/>
        <v>1</v>
      </c>
    </row>
    <row r="471" spans="1:36" x14ac:dyDescent="0.25">
      <c r="A471" s="177">
        <f t="shared" si="65"/>
        <v>46289</v>
      </c>
      <c r="B471" s="178" t="str">
        <f t="shared" si="59"/>
        <v>Thu</v>
      </c>
      <c r="C471" s="178" t="str">
        <f>'Pantry Inventory'!$A$98</f>
        <v>Sep Week 4</v>
      </c>
      <c r="D471" s="178" t="str">
        <f>IF('Pantry Inventory'!A111="","",'Pantry Inventory'!A111)</f>
        <v>Munchy</v>
      </c>
      <c r="E471" s="178" t="str">
        <f>IF('Pantry Inventory'!B111="","",'Pantry Inventory'!B111)</f>
        <v>Munchy Oat Krunch - Strawberry &amp; Blackcurrant</v>
      </c>
      <c r="F471" s="178" t="str">
        <f>IF(E471="","",IFERROR(IF(INDEX('Item Purchases'!$S$4:$S$30,MATCH(E471,'Item Purchases'!$B$4:$B$30,0))="","Uncategorised",INDEX('Item Purchases'!$S$4:$S$30,MATCH(E471,'Item Purchases'!$B$4:$B$30,0))),"Uncategorised"))</f>
        <v>Sweet</v>
      </c>
      <c r="G471" s="178">
        <f>IF(E471="",0,'Pantry Inventory'!J111)</f>
        <v>0</v>
      </c>
      <c r="H471" s="178">
        <f>IF(E471="","",IF('Pantry Inventory'!K111="","",'Pantry Inventory'!K111))</f>
        <v>21</v>
      </c>
      <c r="I471" s="178">
        <f>IF(H471="","",'Pantry Inventory'!L111)</f>
        <v>21</v>
      </c>
      <c r="J471" s="179">
        <f>IF(E471="",0,IFERROR(INDEX('Item Purchases'!$Q$4:$Q$30,MATCH(E471,'Item Purchases'!$B$4:$B$30,0)),0))</f>
        <v>0.73</v>
      </c>
      <c r="K471" s="180">
        <f t="shared" si="60"/>
        <v>15.33</v>
      </c>
      <c r="L471" s="178">
        <f t="shared" si="61"/>
        <v>1</v>
      </c>
      <c r="M471" s="178">
        <f>IF(E471="",0,IF(AND(OR(OR(Dashboard!$E$5="All",Dashboard!$E$5=""),AG471=Dashboard!$E$5),OR(OR(Dashboard!$H$5="All",Dashboard!$H$5=""),F471=Dashboard!$H$5),OR(OR(Dashboard!$B$5="All",Dashboard!$B$5=""),C471=Dashboard!$B$5),OR(OR(Dashboard!$K$5="All",Dashboard!$K$5=""),A471=Dashboard!$K$5),OR(OR(Dashboard!$N$5="All",Dashboard!$N$5=""),B471=Dashboard!$N$5),OR(OR(Dashboard!$Q$5="All",Dashboard!$Q$5=""),D471=Dashboard!$Q$5),OR(OR(Dashboard!$U$5="All",Dashboard!$U$5=""),E471=Dashboard!$U$5)),1,0))</f>
        <v>1</v>
      </c>
      <c r="N471" s="178">
        <f>IF(E471="",0,IF(AND(OR(OR(Dashboard!$E$5="All",Dashboard!$E$5=""),AG471=Dashboard!$E$5),OR(OR(Dashboard!$B$5="All",Dashboard!$B$5=""),C471=Dashboard!$B$5),OR(OR(Dashboard!$K$5="All",Dashboard!$K$5=""),A471=Dashboard!$K$5),OR(OR(Dashboard!$N$5="All",Dashboard!$N$5=""),B471=Dashboard!$N$5),OR(OR(Dashboard!$Q$5="All",Dashboard!$Q$5=""),D471=Dashboard!$Q$5),OR(OR(Dashboard!$U$5="All",Dashboard!$U$5=""),E471=Dashboard!$U$5)),1,0))</f>
        <v>1</v>
      </c>
      <c r="O471" s="165">
        <f t="shared" si="62"/>
        <v>441</v>
      </c>
      <c r="AG471" s="178" t="str">
        <f>IF(E471="","",IFERROR(IF(INDEX('Item Purchases'!$AM$4:$AM$30,MATCH(E471,'Item Purchases'!$B$4:$B$30,0))="","Uncategorised",INDEX('Item Purchases'!$AM$4:$AM$30,MATCH(E471,'Item Purchases'!$B$4:$B$30,0))),"Uncategorised"))</f>
        <v>Snacks</v>
      </c>
      <c r="AH471" s="165">
        <f>IF(AND(E471&lt;&gt;"",L471=1),COUNTIFS($E$2:E471,E471,$L$2:L471,1),0)</f>
        <v>18</v>
      </c>
      <c r="AI471" s="165">
        <f t="shared" si="63"/>
        <v>21</v>
      </c>
      <c r="AJ471" s="165">
        <f t="shared" si="64"/>
        <v>1</v>
      </c>
    </row>
    <row r="472" spans="1:36" x14ac:dyDescent="0.25">
      <c r="A472" s="177">
        <f t="shared" si="65"/>
        <v>46289</v>
      </c>
      <c r="B472" s="178" t="str">
        <f t="shared" si="59"/>
        <v>Thu</v>
      </c>
      <c r="C472" s="178" t="str">
        <f>'Pantry Inventory'!$A$98</f>
        <v>Sep Week 4</v>
      </c>
      <c r="D472" s="178" t="str">
        <f>IF('Pantry Inventory'!A112="","",'Pantry Inventory'!A112)</f>
        <v/>
      </c>
      <c r="E472" s="178" t="str">
        <f>IF('Pantry Inventory'!B112="","",'Pantry Inventory'!B112)</f>
        <v/>
      </c>
      <c r="F472" s="178" t="str">
        <f>IF(E472="","",IFERROR(IF(INDEX('Item Purchases'!$S$4:$S$30,MATCH(E472,'Item Purchases'!$B$4:$B$30,0))="","Uncategorised",INDEX('Item Purchases'!$S$4:$S$30,MATCH(E472,'Item Purchases'!$B$4:$B$30,0))),"Uncategorised"))</f>
        <v/>
      </c>
      <c r="G472" s="178">
        <f>IF(E472="",0,'Pantry Inventory'!J112)</f>
        <v>0</v>
      </c>
      <c r="H472" s="178" t="str">
        <f>IF(E472="","",IF('Pantry Inventory'!K112="","",'Pantry Inventory'!K112))</f>
        <v/>
      </c>
      <c r="I472" s="178" t="str">
        <f>IF(H472="","",'Pantry Inventory'!L112)</f>
        <v/>
      </c>
      <c r="J472" s="179">
        <f>IF(E472="",0,IFERROR(INDEX('Item Purchases'!$Q$4:$Q$30,MATCH(E472,'Item Purchases'!$B$4:$B$30,0)),0))</f>
        <v>0</v>
      </c>
      <c r="K472" s="180" t="str">
        <f t="shared" si="60"/>
        <v/>
      </c>
      <c r="L472" s="178">
        <f t="shared" si="61"/>
        <v>0</v>
      </c>
      <c r="M472" s="178">
        <f>IF(E472="",0,IF(AND(OR(OR(Dashboard!$E$5="All",Dashboard!$E$5=""),AG472=Dashboard!$E$5),OR(OR(Dashboard!$H$5="All",Dashboard!$H$5=""),F472=Dashboard!$H$5),OR(OR(Dashboard!$B$5="All",Dashboard!$B$5=""),C472=Dashboard!$B$5),OR(OR(Dashboard!$K$5="All",Dashboard!$K$5=""),A472=Dashboard!$K$5),OR(OR(Dashboard!$N$5="All",Dashboard!$N$5=""),B472=Dashboard!$N$5),OR(OR(Dashboard!$Q$5="All",Dashboard!$Q$5=""),D472=Dashboard!$Q$5),OR(OR(Dashboard!$U$5="All",Dashboard!$U$5=""),E472=Dashboard!$U$5)),1,0))</f>
        <v>0</v>
      </c>
      <c r="N472" s="178">
        <f>IF(E472="",0,IF(AND(OR(OR(Dashboard!$E$5="All",Dashboard!$E$5=""),AG472=Dashboard!$E$5),OR(OR(Dashboard!$B$5="All",Dashboard!$B$5=""),C472=Dashboard!$B$5),OR(OR(Dashboard!$K$5="All",Dashboard!$K$5=""),A472=Dashboard!$K$5),OR(OR(Dashboard!$N$5="All",Dashboard!$N$5=""),B472=Dashboard!$N$5),OR(OR(Dashboard!$Q$5="All",Dashboard!$Q$5=""),D472=Dashboard!$Q$5),OR(OR(Dashboard!$U$5="All",Dashboard!$U$5=""),E472=Dashboard!$U$5)),1,0))</f>
        <v>0</v>
      </c>
      <c r="O472" s="165">
        <f t="shared" si="62"/>
        <v>0</v>
      </c>
      <c r="AG472" s="178" t="str">
        <f>IF(E472="","",IFERROR(IF(INDEX('Item Purchases'!$AM$4:$AM$30,MATCH(E472,'Item Purchases'!$B$4:$B$30,0))="","Uncategorised",INDEX('Item Purchases'!$AM$4:$AM$30,MATCH(E472,'Item Purchases'!$B$4:$B$30,0))),"Uncategorised"))</f>
        <v/>
      </c>
      <c r="AH472" s="165">
        <f>IF(AND(E472&lt;&gt;"",L472=1),COUNTIFS($E$2:E472,E472,$L$2:L472,1),0)</f>
        <v>0</v>
      </c>
      <c r="AI472" s="165">
        <f t="shared" si="63"/>
        <v>0</v>
      </c>
      <c r="AJ472" s="165">
        <f t="shared" si="64"/>
        <v>0</v>
      </c>
    </row>
    <row r="473" spans="1:36" x14ac:dyDescent="0.25">
      <c r="A473" s="177">
        <f t="shared" si="65"/>
        <v>46289</v>
      </c>
      <c r="B473" s="178" t="str">
        <f t="shared" si="59"/>
        <v>Thu</v>
      </c>
      <c r="C473" s="178" t="str">
        <f>'Pantry Inventory'!$A$98</f>
        <v>Sep Week 4</v>
      </c>
      <c r="D473" s="178" t="str">
        <f>IF('Pantry Inventory'!A113="","",'Pantry Inventory'!A113)</f>
        <v>Nestle</v>
      </c>
      <c r="E473" s="178" t="str">
        <f>IF('Pantry Inventory'!B113="","",'Pantry Inventory'!B113)</f>
        <v>Milo 200ml</v>
      </c>
      <c r="F473" s="178" t="str">
        <f>IF(E473="","",IFERROR(IF(INDEX('Item Purchases'!$S$4:$S$30,MATCH(E473,'Item Purchases'!$B$4:$B$30,0))="","Uncategorised",INDEX('Item Purchases'!$S$4:$S$30,MATCH(E473,'Item Purchases'!$B$4:$B$30,0))),"Uncategorised"))</f>
        <v>Other</v>
      </c>
      <c r="G473" s="178">
        <f>IF(E473="",0,'Pantry Inventory'!J113)</f>
        <v>0</v>
      </c>
      <c r="H473" s="178">
        <f>IF(E473="","",IF('Pantry Inventory'!K113="","",'Pantry Inventory'!K113))</f>
        <v>0</v>
      </c>
      <c r="I473" s="178">
        <f>IF(H473="","",'Pantry Inventory'!L113)</f>
        <v>0</v>
      </c>
      <c r="J473" s="179">
        <f>IF(E473="",0,IFERROR(INDEX('Item Purchases'!$Q$4:$Q$30,MATCH(E473,'Item Purchases'!$B$4:$B$30,0)),0))</f>
        <v>2.37</v>
      </c>
      <c r="K473" s="180">
        <f t="shared" si="60"/>
        <v>0</v>
      </c>
      <c r="L473" s="178">
        <f t="shared" si="61"/>
        <v>1</v>
      </c>
      <c r="M473" s="178">
        <f>IF(E473="",0,IF(AND(OR(OR(Dashboard!$E$5="All",Dashboard!$E$5=""),AG473=Dashboard!$E$5),OR(OR(Dashboard!$H$5="All",Dashboard!$H$5=""),F473=Dashboard!$H$5),OR(OR(Dashboard!$B$5="All",Dashboard!$B$5=""),C473=Dashboard!$B$5),OR(OR(Dashboard!$K$5="All",Dashboard!$K$5=""),A473=Dashboard!$K$5),OR(OR(Dashboard!$N$5="All",Dashboard!$N$5=""),B473=Dashboard!$N$5),OR(OR(Dashboard!$Q$5="All",Dashboard!$Q$5=""),D473=Dashboard!$Q$5),OR(OR(Dashboard!$U$5="All",Dashboard!$U$5=""),E473=Dashboard!$U$5)),1,0))</f>
        <v>1</v>
      </c>
      <c r="N473" s="178">
        <f>IF(E473="",0,IF(AND(OR(OR(Dashboard!$E$5="All",Dashboard!$E$5=""),AG473=Dashboard!$E$5),OR(OR(Dashboard!$B$5="All",Dashboard!$B$5=""),C473=Dashboard!$B$5),OR(OR(Dashboard!$K$5="All",Dashboard!$K$5=""),A473=Dashboard!$K$5),OR(OR(Dashboard!$N$5="All",Dashboard!$N$5=""),B473=Dashboard!$N$5),OR(OR(Dashboard!$Q$5="All",Dashboard!$Q$5=""),D473=Dashboard!$Q$5),OR(OR(Dashboard!$U$5="All",Dashboard!$U$5=""),E473=Dashboard!$U$5)),1,0))</f>
        <v>1</v>
      </c>
      <c r="O473" s="165">
        <f t="shared" si="62"/>
        <v>0</v>
      </c>
      <c r="AG473" s="178" t="str">
        <f>IF(E473="","",IFERROR(IF(INDEX('Item Purchases'!$AM$4:$AM$30,MATCH(E473,'Item Purchases'!$B$4:$B$30,0))="","Uncategorised",INDEX('Item Purchases'!$AM$4:$AM$30,MATCH(E473,'Item Purchases'!$B$4:$B$30,0))),"Uncategorised"))</f>
        <v>Beverages</v>
      </c>
      <c r="AH473" s="165">
        <f>IF(AND(E473&lt;&gt;"",L473=1),COUNTIFS($E$2:E473,E473,$L$2:L473,1),0)</f>
        <v>18</v>
      </c>
      <c r="AI473" s="165">
        <f t="shared" si="63"/>
        <v>0</v>
      </c>
      <c r="AJ473" s="165">
        <f t="shared" si="64"/>
        <v>0</v>
      </c>
    </row>
    <row r="474" spans="1:36" x14ac:dyDescent="0.25">
      <c r="A474" s="177">
        <f t="shared" si="65"/>
        <v>46289</v>
      </c>
      <c r="B474" s="178" t="str">
        <f t="shared" si="59"/>
        <v>Thu</v>
      </c>
      <c r="C474" s="178" t="str">
        <f>'Pantry Inventory'!$A$98</f>
        <v>Sep Week 4</v>
      </c>
      <c r="D474" s="178" t="str">
        <f>IF('Pantry Inventory'!A114="","",'Pantry Inventory'!A114)</f>
        <v>Nestle</v>
      </c>
      <c r="E474" s="178" t="str">
        <f>IF('Pantry Inventory'!B114="","",'Pantry Inventory'!B114)</f>
        <v>Nescafe Latte 240ml</v>
      </c>
      <c r="F474" s="178" t="str">
        <f>IF(E474="","",IFERROR(IF(INDEX('Item Purchases'!$S$4:$S$30,MATCH(E474,'Item Purchases'!$B$4:$B$30,0))="","Uncategorised",INDEX('Item Purchases'!$S$4:$S$30,MATCH(E474,'Item Purchases'!$B$4:$B$30,0))),"Uncategorised"))</f>
        <v>Coffee</v>
      </c>
      <c r="G474" s="178">
        <f>IF(E474="",0,'Pantry Inventory'!J114)</f>
        <v>0</v>
      </c>
      <c r="H474" s="178">
        <f>IF(E474="","",IF('Pantry Inventory'!K114="","",'Pantry Inventory'!K114))</f>
        <v>46</v>
      </c>
      <c r="I474" s="178">
        <f>IF(H474="","",'Pantry Inventory'!L114)</f>
        <v>0</v>
      </c>
      <c r="J474" s="179">
        <f>IF(E474="",0,IFERROR(INDEX('Item Purchases'!$Q$4:$Q$30,MATCH(E474,'Item Purchases'!$B$4:$B$30,0)),0))</f>
        <v>2.1875</v>
      </c>
      <c r="K474" s="180">
        <f t="shared" si="60"/>
        <v>0</v>
      </c>
      <c r="L474" s="178">
        <f t="shared" si="61"/>
        <v>1</v>
      </c>
      <c r="M474" s="178">
        <f>IF(E474="",0,IF(AND(OR(OR(Dashboard!$E$5="All",Dashboard!$E$5=""),AG474=Dashboard!$E$5),OR(OR(Dashboard!$H$5="All",Dashboard!$H$5=""),F474=Dashboard!$H$5),OR(OR(Dashboard!$B$5="All",Dashboard!$B$5=""),C474=Dashboard!$B$5),OR(OR(Dashboard!$K$5="All",Dashboard!$K$5=""),A474=Dashboard!$K$5),OR(OR(Dashboard!$N$5="All",Dashboard!$N$5=""),B474=Dashboard!$N$5),OR(OR(Dashboard!$Q$5="All",Dashboard!$Q$5=""),D474=Dashboard!$Q$5),OR(OR(Dashboard!$U$5="All",Dashboard!$U$5=""),E474=Dashboard!$U$5)),1,0))</f>
        <v>1</v>
      </c>
      <c r="N474" s="178">
        <f>IF(E474="",0,IF(AND(OR(OR(Dashboard!$E$5="All",Dashboard!$E$5=""),AG474=Dashboard!$E$5),OR(OR(Dashboard!$B$5="All",Dashboard!$B$5=""),C474=Dashboard!$B$5),OR(OR(Dashboard!$K$5="All",Dashboard!$K$5=""),A474=Dashboard!$K$5),OR(OR(Dashboard!$N$5="All",Dashboard!$N$5=""),B474=Dashboard!$N$5),OR(OR(Dashboard!$Q$5="All",Dashboard!$Q$5=""),D474=Dashboard!$Q$5),OR(OR(Dashboard!$U$5="All",Dashboard!$U$5=""),E474=Dashboard!$U$5)),1,0))</f>
        <v>1</v>
      </c>
      <c r="O474" s="165">
        <f t="shared" si="62"/>
        <v>0</v>
      </c>
      <c r="AG474" s="178" t="str">
        <f>IF(E474="","",IFERROR(IF(INDEX('Item Purchases'!$AM$4:$AM$30,MATCH(E474,'Item Purchases'!$B$4:$B$30,0))="","Uncategorised",INDEX('Item Purchases'!$AM$4:$AM$30,MATCH(E474,'Item Purchases'!$B$4:$B$30,0))),"Uncategorised"))</f>
        <v>Beverages</v>
      </c>
      <c r="AH474" s="165">
        <f>IF(AND(E474&lt;&gt;"",L474=1),COUNTIFS($E$2:E474,E474,$L$2:L474,1),0)</f>
        <v>18</v>
      </c>
      <c r="AI474" s="165">
        <f t="shared" si="63"/>
        <v>0</v>
      </c>
      <c r="AJ474" s="165">
        <f t="shared" si="64"/>
        <v>1</v>
      </c>
    </row>
    <row r="475" spans="1:36" x14ac:dyDescent="0.25">
      <c r="A475" s="177">
        <f t="shared" si="65"/>
        <v>46289</v>
      </c>
      <c r="B475" s="178" t="str">
        <f t="shared" si="59"/>
        <v>Thu</v>
      </c>
      <c r="C475" s="178" t="str">
        <f>'Pantry Inventory'!$A$98</f>
        <v>Sep Week 4</v>
      </c>
      <c r="D475" s="178" t="str">
        <f>IF('Pantry Inventory'!A115="","",'Pantry Inventory'!A115)</f>
        <v>Nestle</v>
      </c>
      <c r="E475" s="178" t="str">
        <f>IF('Pantry Inventory'!B115="","",'Pantry Inventory'!B115)</f>
        <v>Nescafe original 240ml</v>
      </c>
      <c r="F475" s="178" t="str">
        <f>IF(E475="","",IFERROR(IF(INDEX('Item Purchases'!$S$4:$S$30,MATCH(E475,'Item Purchases'!$B$4:$B$30,0))="","Uncategorised",INDEX('Item Purchases'!$S$4:$S$30,MATCH(E475,'Item Purchases'!$B$4:$B$30,0))),"Uncategorised"))</f>
        <v>Coffee</v>
      </c>
      <c r="G475" s="178">
        <f>IF(E475="",0,'Pantry Inventory'!J115)</f>
        <v>0</v>
      </c>
      <c r="H475" s="178">
        <f>IF(E475="","",IF('Pantry Inventory'!K115="","",'Pantry Inventory'!K115))</f>
        <v>27</v>
      </c>
      <c r="I475" s="178">
        <f>IF(H475="","",'Pantry Inventory'!L115)</f>
        <v>3</v>
      </c>
      <c r="J475" s="179">
        <f>IF(E475="",0,IFERROR(INDEX('Item Purchases'!$Q$4:$Q$30,MATCH(E475,'Item Purchases'!$B$4:$B$30,0)),0))</f>
        <v>2.1875</v>
      </c>
      <c r="K475" s="180">
        <f t="shared" si="60"/>
        <v>6.5625</v>
      </c>
      <c r="L475" s="178">
        <f t="shared" si="61"/>
        <v>1</v>
      </c>
      <c r="M475" s="178">
        <f>IF(E475="",0,IF(AND(OR(OR(Dashboard!$E$5="All",Dashboard!$E$5=""),AG475=Dashboard!$E$5),OR(OR(Dashboard!$H$5="All",Dashboard!$H$5=""),F475=Dashboard!$H$5),OR(OR(Dashboard!$B$5="All",Dashboard!$B$5=""),C475=Dashboard!$B$5),OR(OR(Dashboard!$K$5="All",Dashboard!$K$5=""),A475=Dashboard!$K$5),OR(OR(Dashboard!$N$5="All",Dashboard!$N$5=""),B475=Dashboard!$N$5),OR(OR(Dashboard!$Q$5="All",Dashboard!$Q$5=""),D475=Dashboard!$Q$5),OR(OR(Dashboard!$U$5="All",Dashboard!$U$5=""),E475=Dashboard!$U$5)),1,0))</f>
        <v>1</v>
      </c>
      <c r="N475" s="178">
        <f>IF(E475="",0,IF(AND(OR(OR(Dashboard!$E$5="All",Dashboard!$E$5=""),AG475=Dashboard!$E$5),OR(OR(Dashboard!$B$5="All",Dashboard!$B$5=""),C475=Dashboard!$B$5),OR(OR(Dashboard!$K$5="All",Dashboard!$K$5=""),A475=Dashboard!$K$5),OR(OR(Dashboard!$N$5="All",Dashboard!$N$5=""),B475=Dashboard!$N$5),OR(OR(Dashboard!$Q$5="All",Dashboard!$Q$5=""),D475=Dashboard!$Q$5),OR(OR(Dashboard!$U$5="All",Dashboard!$U$5=""),E475=Dashboard!$U$5)),1,0))</f>
        <v>1</v>
      </c>
      <c r="O475" s="165">
        <f t="shared" si="62"/>
        <v>9</v>
      </c>
      <c r="AG475" s="178" t="str">
        <f>IF(E475="","",IFERROR(IF(INDEX('Item Purchases'!$AM$4:$AM$30,MATCH(E475,'Item Purchases'!$B$4:$B$30,0))="","Uncategorised",INDEX('Item Purchases'!$AM$4:$AM$30,MATCH(E475,'Item Purchases'!$B$4:$B$30,0))),"Uncategorised"))</f>
        <v>Beverages</v>
      </c>
      <c r="AH475" s="165">
        <f>IF(AND(E475&lt;&gt;"",L475=1),COUNTIFS($E$2:E475,E475,$L$2:L475,1),0)</f>
        <v>18</v>
      </c>
      <c r="AI475" s="165">
        <f t="shared" si="63"/>
        <v>3</v>
      </c>
      <c r="AJ475" s="165">
        <f t="shared" si="64"/>
        <v>1</v>
      </c>
    </row>
    <row r="476" spans="1:36" x14ac:dyDescent="0.25">
      <c r="A476" s="177">
        <f t="shared" si="65"/>
        <v>46289</v>
      </c>
      <c r="B476" s="178" t="str">
        <f t="shared" si="59"/>
        <v>Thu</v>
      </c>
      <c r="C476" s="178" t="str">
        <f>'Pantry Inventory'!$A$98</f>
        <v>Sep Week 4</v>
      </c>
      <c r="D476" s="178" t="str">
        <f>IF('Pantry Inventory'!A116="","",'Pantry Inventory'!A116)</f>
        <v>COWA</v>
      </c>
      <c r="E476" s="178" t="str">
        <f>IF('Pantry Inventory'!B116="","",'Pantry Inventory'!B116)</f>
        <v>COWA Coconut Water 330 ml</v>
      </c>
      <c r="F476" s="178" t="str">
        <f>IF(E476="","",IFERROR(IF(INDEX('Item Purchases'!$S$4:$S$30,MATCH(E476,'Item Purchases'!$B$4:$B$30,0))="","Uncategorised",INDEX('Item Purchases'!$S$4:$S$30,MATCH(E476,'Item Purchases'!$B$4:$B$30,0))),"Uncategorised"))</f>
        <v>Other</v>
      </c>
      <c r="G476" s="178">
        <f>IF(E476="",0,'Pantry Inventory'!J116)</f>
        <v>72</v>
      </c>
      <c r="H476" s="178">
        <f>IF(E476="","",IF('Pantry Inventory'!K116="","",'Pantry Inventory'!K116))</f>
        <v>198</v>
      </c>
      <c r="I476" s="178">
        <f>IF(H476="","",'Pantry Inventory'!L116)</f>
        <v>31</v>
      </c>
      <c r="J476" s="179">
        <f>IF(E476="",0,IFERROR(INDEX('Item Purchases'!$Q$4:$Q$30,MATCH(E476,'Item Purchases'!$B$4:$B$30,0)),0))</f>
        <v>3</v>
      </c>
      <c r="K476" s="180">
        <f t="shared" si="60"/>
        <v>93</v>
      </c>
      <c r="L476" s="178">
        <f t="shared" si="61"/>
        <v>1</v>
      </c>
      <c r="M476" s="178">
        <f>IF(E476="",0,IF(AND(OR(OR(Dashboard!$E$5="All",Dashboard!$E$5=""),AG476=Dashboard!$E$5),OR(OR(Dashboard!$H$5="All",Dashboard!$H$5=""),F476=Dashboard!$H$5),OR(OR(Dashboard!$B$5="All",Dashboard!$B$5=""),C476=Dashboard!$B$5),OR(OR(Dashboard!$K$5="All",Dashboard!$K$5=""),A476=Dashboard!$K$5),OR(OR(Dashboard!$N$5="All",Dashboard!$N$5=""),B476=Dashboard!$N$5),OR(OR(Dashboard!$Q$5="All",Dashboard!$Q$5=""),D476=Dashboard!$Q$5),OR(OR(Dashboard!$U$5="All",Dashboard!$U$5=""),E476=Dashboard!$U$5)),1,0))</f>
        <v>1</v>
      </c>
      <c r="N476" s="178">
        <f>IF(E476="",0,IF(AND(OR(OR(Dashboard!$E$5="All",Dashboard!$E$5=""),AG476=Dashboard!$E$5),OR(OR(Dashboard!$B$5="All",Dashboard!$B$5=""),C476=Dashboard!$B$5),OR(OR(Dashboard!$K$5="All",Dashboard!$K$5=""),A476=Dashboard!$K$5),OR(OR(Dashboard!$N$5="All",Dashboard!$N$5=""),B476=Dashboard!$N$5),OR(OR(Dashboard!$Q$5="All",Dashboard!$Q$5=""),D476=Dashboard!$Q$5),OR(OR(Dashboard!$U$5="All",Dashboard!$U$5=""),E476=Dashboard!$U$5)),1,0))</f>
        <v>1</v>
      </c>
      <c r="O476" s="165">
        <f t="shared" si="62"/>
        <v>961</v>
      </c>
      <c r="AG476" s="178" t="str">
        <f>IF(E476="","",IFERROR(IF(INDEX('Item Purchases'!$AM$4:$AM$30,MATCH(E476,'Item Purchases'!$B$4:$B$30,0))="","Uncategorised",INDEX('Item Purchases'!$AM$4:$AM$30,MATCH(E476,'Item Purchases'!$B$4:$B$30,0))),"Uncategorised"))</f>
        <v>Beverages</v>
      </c>
      <c r="AH476" s="165">
        <f>IF(AND(E476&lt;&gt;"",L476=1),COUNTIFS($E$2:E476,E476,$L$2:L476,1),0)</f>
        <v>18</v>
      </c>
      <c r="AI476" s="165">
        <f t="shared" si="63"/>
        <v>31</v>
      </c>
      <c r="AJ476" s="165">
        <f t="shared" si="64"/>
        <v>1</v>
      </c>
    </row>
    <row r="477" spans="1:36" x14ac:dyDescent="0.25">
      <c r="A477" s="177">
        <f t="shared" si="65"/>
        <v>46289</v>
      </c>
      <c r="B477" s="178" t="str">
        <f t="shared" si="59"/>
        <v>Thu</v>
      </c>
      <c r="C477" s="178" t="str">
        <f>'Pantry Inventory'!$A$98</f>
        <v>Sep Week 4</v>
      </c>
      <c r="D477" s="178" t="str">
        <f>IF('Pantry Inventory'!A117="","",'Pantry Inventory'!A117)</f>
        <v>KARTA</v>
      </c>
      <c r="E477" s="178" t="str">
        <f>IF('Pantry Inventory'!B117="","",'Pantry Inventory'!B117)</f>
        <v>KARTA Coconut Water 330 ml</v>
      </c>
      <c r="F477" s="178" t="str">
        <f>IF(E477="","",IFERROR(IF(INDEX('Item Purchases'!$S$4:$S$30,MATCH(E477,'Item Purchases'!$B$4:$B$30,0))="","Uncategorised",INDEX('Item Purchases'!$S$4:$S$30,MATCH(E477,'Item Purchases'!$B$4:$B$30,0))),"Uncategorised"))</f>
        <v>Other</v>
      </c>
      <c r="G477" s="178">
        <f>IF(E477="",0,'Pantry Inventory'!J117)</f>
        <v>0</v>
      </c>
      <c r="H477" s="178">
        <f>IF(E477="","",IF('Pantry Inventory'!K117="","",'Pantry Inventory'!K117))</f>
        <v>0</v>
      </c>
      <c r="I477" s="178">
        <f>IF(H477="","",'Pantry Inventory'!L117)</f>
        <v>0</v>
      </c>
      <c r="J477" s="179">
        <f>IF(E477="",0,IFERROR(INDEX('Item Purchases'!$Q$4:$Q$30,MATCH(E477,'Item Purchases'!$B$4:$B$30,0)),0))</f>
        <v>2.2999999999999998</v>
      </c>
      <c r="K477" s="180">
        <f t="shared" si="60"/>
        <v>0</v>
      </c>
      <c r="L477" s="178">
        <f t="shared" si="61"/>
        <v>1</v>
      </c>
      <c r="M477" s="178">
        <f>IF(E477="",0,IF(AND(OR(OR(Dashboard!$E$5="All",Dashboard!$E$5=""),AG477=Dashboard!$E$5),OR(OR(Dashboard!$H$5="All",Dashboard!$H$5=""),F477=Dashboard!$H$5),OR(OR(Dashboard!$B$5="All",Dashboard!$B$5=""),C477=Dashboard!$B$5),OR(OR(Dashboard!$K$5="All",Dashboard!$K$5=""),A477=Dashboard!$K$5),OR(OR(Dashboard!$N$5="All",Dashboard!$N$5=""),B477=Dashboard!$N$5),OR(OR(Dashboard!$Q$5="All",Dashboard!$Q$5=""),D477=Dashboard!$Q$5),OR(OR(Dashboard!$U$5="All",Dashboard!$U$5=""),E477=Dashboard!$U$5)),1,0))</f>
        <v>1</v>
      </c>
      <c r="N477" s="178">
        <f>IF(E477="",0,IF(AND(OR(OR(Dashboard!$E$5="All",Dashboard!$E$5=""),AG477=Dashboard!$E$5),OR(OR(Dashboard!$B$5="All",Dashboard!$B$5=""),C477=Dashboard!$B$5),OR(OR(Dashboard!$K$5="All",Dashboard!$K$5=""),A477=Dashboard!$K$5),OR(OR(Dashboard!$N$5="All",Dashboard!$N$5=""),B477=Dashboard!$N$5),OR(OR(Dashboard!$Q$5="All",Dashboard!$Q$5=""),D477=Dashboard!$Q$5),OR(OR(Dashboard!$U$5="All",Dashboard!$U$5=""),E477=Dashboard!$U$5)),1,0))</f>
        <v>1</v>
      </c>
      <c r="O477" s="165">
        <f t="shared" si="62"/>
        <v>0</v>
      </c>
      <c r="AG477" s="178" t="str">
        <f>IF(E477="","",IFERROR(IF(INDEX('Item Purchases'!$AM$4:$AM$30,MATCH(E477,'Item Purchases'!$B$4:$B$30,0))="","Uncategorised",INDEX('Item Purchases'!$AM$4:$AM$30,MATCH(E477,'Item Purchases'!$B$4:$B$30,0))),"Uncategorised"))</f>
        <v>Beverages</v>
      </c>
      <c r="AH477" s="165">
        <f>IF(AND(E477&lt;&gt;"",L477=1),COUNTIFS($E$2:E477,E477,$L$2:L477,1),0)</f>
        <v>2</v>
      </c>
      <c r="AI477" s="165">
        <f t="shared" si="63"/>
        <v>0</v>
      </c>
      <c r="AJ477" s="165">
        <f t="shared" si="64"/>
        <v>0</v>
      </c>
    </row>
    <row r="478" spans="1:36" x14ac:dyDescent="0.25">
      <c r="A478" s="177">
        <f t="shared" si="65"/>
        <v>46289</v>
      </c>
      <c r="B478" s="178" t="str">
        <f t="shared" si="59"/>
        <v>Thu</v>
      </c>
      <c r="C478" s="178" t="str">
        <f>'Pantry Inventory'!$A$98</f>
        <v>Sep Week 4</v>
      </c>
      <c r="D478" s="178" t="str">
        <f>IF('Pantry Inventory'!A118="","",'Pantry Inventory'!A118)</f>
        <v>Coca Cola</v>
      </c>
      <c r="E478" s="178" t="str">
        <f>IF('Pantry Inventory'!B118="","",'Pantry Inventory'!B118)</f>
        <v>COKE ZERO  325ML</v>
      </c>
      <c r="F478" s="178" t="str">
        <f>IF(E478="","",IFERROR(IF(INDEX('Item Purchases'!$S$4:$S$30,MATCH(E478,'Item Purchases'!$B$4:$B$30,0))="","Uncategorised",INDEX('Item Purchases'!$S$4:$S$30,MATCH(E478,'Item Purchases'!$B$4:$B$30,0))),"Uncategorised"))</f>
        <v>Other</v>
      </c>
      <c r="G478" s="178">
        <f>IF(E478="",0,'Pantry Inventory'!J118)</f>
        <v>24</v>
      </c>
      <c r="H478" s="178">
        <f>IF(E478="","",IF('Pantry Inventory'!K118="","",'Pantry Inventory'!K118))</f>
        <v>54</v>
      </c>
      <c r="I478" s="178">
        <f>IF(H478="","",'Pantry Inventory'!L118)</f>
        <v>4</v>
      </c>
      <c r="J478" s="179">
        <f>IF(E478="",0,IFERROR(INDEX('Item Purchases'!$Q$4:$Q$30,MATCH(E478,'Item Purchases'!$B$4:$B$30,0)),0))</f>
        <v>1.83</v>
      </c>
      <c r="K478" s="180">
        <f t="shared" si="60"/>
        <v>7.32</v>
      </c>
      <c r="L478" s="178">
        <f t="shared" si="61"/>
        <v>1</v>
      </c>
      <c r="M478" s="178">
        <f>IF(E478="",0,IF(AND(OR(OR(Dashboard!$E$5="All",Dashboard!$E$5=""),AG478=Dashboard!$E$5),OR(OR(Dashboard!$H$5="All",Dashboard!$H$5=""),F478=Dashboard!$H$5),OR(OR(Dashboard!$B$5="All",Dashboard!$B$5=""),C478=Dashboard!$B$5),OR(OR(Dashboard!$K$5="All",Dashboard!$K$5=""),A478=Dashboard!$K$5),OR(OR(Dashboard!$N$5="All",Dashboard!$N$5=""),B478=Dashboard!$N$5),OR(OR(Dashboard!$Q$5="All",Dashboard!$Q$5=""),D478=Dashboard!$Q$5),OR(OR(Dashboard!$U$5="All",Dashboard!$U$5=""),E478=Dashboard!$U$5)),1,0))</f>
        <v>1</v>
      </c>
      <c r="N478" s="178">
        <f>IF(E478="",0,IF(AND(OR(OR(Dashboard!$E$5="All",Dashboard!$E$5=""),AG478=Dashboard!$E$5),OR(OR(Dashboard!$B$5="All",Dashboard!$B$5=""),C478=Dashboard!$B$5),OR(OR(Dashboard!$K$5="All",Dashboard!$K$5=""),A478=Dashboard!$K$5),OR(OR(Dashboard!$N$5="All",Dashboard!$N$5=""),B478=Dashboard!$N$5),OR(OR(Dashboard!$Q$5="All",Dashboard!$Q$5=""),D478=Dashboard!$Q$5),OR(OR(Dashboard!$U$5="All",Dashboard!$U$5=""),E478=Dashboard!$U$5)),1,0))</f>
        <v>1</v>
      </c>
      <c r="O478" s="165">
        <f t="shared" si="62"/>
        <v>16</v>
      </c>
      <c r="AG478" s="178" t="str">
        <f>IF(E478="","",IFERROR(IF(INDEX('Item Purchases'!$AM$4:$AM$30,MATCH(E478,'Item Purchases'!$B$4:$B$30,0))="","Uncategorised",INDEX('Item Purchases'!$AM$4:$AM$30,MATCH(E478,'Item Purchases'!$B$4:$B$30,0))),"Uncategorised"))</f>
        <v>Beverages</v>
      </c>
      <c r="AH478" s="165">
        <f>IF(AND(E478&lt;&gt;"",L478=1),COUNTIFS($E$2:E478,E478,$L$2:L478,1),0)</f>
        <v>18</v>
      </c>
      <c r="AI478" s="165">
        <f t="shared" si="63"/>
        <v>4</v>
      </c>
      <c r="AJ478" s="165">
        <f t="shared" si="64"/>
        <v>1</v>
      </c>
    </row>
    <row r="479" spans="1:36" x14ac:dyDescent="0.25">
      <c r="A479" s="177">
        <f t="shared" si="65"/>
        <v>46289</v>
      </c>
      <c r="B479" s="178" t="str">
        <f t="shared" si="59"/>
        <v>Thu</v>
      </c>
      <c r="C479" s="178" t="str">
        <f>'Pantry Inventory'!$A$98</f>
        <v>Sep Week 4</v>
      </c>
      <c r="D479" s="178" t="str">
        <f>IF('Pantry Inventory'!A119="","",'Pantry Inventory'!A119)</f>
        <v>Coca Cola</v>
      </c>
      <c r="E479" s="178" t="str">
        <f>IF('Pantry Inventory'!B119="","",'Pantry Inventory'!B119)</f>
        <v>Ayataka Tea 300ml</v>
      </c>
      <c r="F479" s="178" t="str">
        <f>IF(E479="","",IFERROR(IF(INDEX('Item Purchases'!$S$4:$S$30,MATCH(E479,'Item Purchases'!$B$4:$B$30,0))="","Uncategorised",INDEX('Item Purchases'!$S$4:$S$30,MATCH(E479,'Item Purchases'!$B$4:$B$30,0))),"Uncategorised"))</f>
        <v>Tea</v>
      </c>
      <c r="G479" s="178">
        <f>IF(E479="",0,'Pantry Inventory'!J119)</f>
        <v>24</v>
      </c>
      <c r="H479" s="178">
        <f>IF(E479="","",IF('Pantry Inventory'!K119="","",'Pantry Inventory'!K119))</f>
        <v>0</v>
      </c>
      <c r="I479" s="178">
        <f>IF(H479="","",'Pantry Inventory'!L119)</f>
        <v>48</v>
      </c>
      <c r="J479" s="179">
        <f>IF(E479="",0,IFERROR(INDEX('Item Purchases'!$Q$4:$Q$30,MATCH(E479,'Item Purchases'!$B$4:$B$30,0)),0))</f>
        <v>1.75</v>
      </c>
      <c r="K479" s="180">
        <f t="shared" si="60"/>
        <v>84</v>
      </c>
      <c r="L479" s="178">
        <f t="shared" si="61"/>
        <v>1</v>
      </c>
      <c r="M479" s="178">
        <f>IF(E479="",0,IF(AND(OR(OR(Dashboard!$E$5="All",Dashboard!$E$5=""),AG479=Dashboard!$E$5),OR(OR(Dashboard!$H$5="All",Dashboard!$H$5=""),F479=Dashboard!$H$5),OR(OR(Dashboard!$B$5="All",Dashboard!$B$5=""),C479=Dashboard!$B$5),OR(OR(Dashboard!$K$5="All",Dashboard!$K$5=""),A479=Dashboard!$K$5),OR(OR(Dashboard!$N$5="All",Dashboard!$N$5=""),B479=Dashboard!$N$5),OR(OR(Dashboard!$Q$5="All",Dashboard!$Q$5=""),D479=Dashboard!$Q$5),OR(OR(Dashboard!$U$5="All",Dashboard!$U$5=""),E479=Dashboard!$U$5)),1,0))</f>
        <v>1</v>
      </c>
      <c r="N479" s="178">
        <f>IF(E479="",0,IF(AND(OR(OR(Dashboard!$E$5="All",Dashboard!$E$5=""),AG479=Dashboard!$E$5),OR(OR(Dashboard!$B$5="All",Dashboard!$B$5=""),C479=Dashboard!$B$5),OR(OR(Dashboard!$K$5="All",Dashboard!$K$5=""),A479=Dashboard!$K$5),OR(OR(Dashboard!$N$5="All",Dashboard!$N$5=""),B479=Dashboard!$N$5),OR(OR(Dashboard!$Q$5="All",Dashboard!$Q$5=""),D479=Dashboard!$Q$5),OR(OR(Dashboard!$U$5="All",Dashboard!$U$5=""),E479=Dashboard!$U$5)),1,0))</f>
        <v>1</v>
      </c>
      <c r="O479" s="165">
        <f t="shared" si="62"/>
        <v>0</v>
      </c>
      <c r="AG479" s="178" t="str">
        <f>IF(E479="","",IFERROR(IF(INDEX('Item Purchases'!$AM$4:$AM$30,MATCH(E479,'Item Purchases'!$B$4:$B$30,0))="","Uncategorised",INDEX('Item Purchases'!$AM$4:$AM$30,MATCH(E479,'Item Purchases'!$B$4:$B$30,0))),"Uncategorised"))</f>
        <v>Beverages</v>
      </c>
      <c r="AH479" s="165">
        <f>IF(AND(E479&lt;&gt;"",L479=1),COUNTIFS($E$2:E479,E479,$L$2:L479,1),0)</f>
        <v>18</v>
      </c>
      <c r="AI479" s="165">
        <f t="shared" si="63"/>
        <v>48</v>
      </c>
      <c r="AJ479" s="165">
        <f t="shared" si="64"/>
        <v>0</v>
      </c>
    </row>
    <row r="480" spans="1:36" x14ac:dyDescent="0.25">
      <c r="A480" s="177">
        <f t="shared" si="65"/>
        <v>46289</v>
      </c>
      <c r="B480" s="178" t="str">
        <f t="shared" si="59"/>
        <v>Thu</v>
      </c>
      <c r="C480" s="178" t="str">
        <f>'Pantry Inventory'!$A$98</f>
        <v>Sep Week 4</v>
      </c>
      <c r="D480" s="178" t="str">
        <f>IF('Pantry Inventory'!A120="","",'Pantry Inventory'!A120)</f>
        <v>Coca Cola</v>
      </c>
      <c r="E480" s="178" t="str">
        <f>IF('Pantry Inventory'!B120="","",'Pantry Inventory'!B120)</f>
        <v>Oolong Tea 300ml</v>
      </c>
      <c r="F480" s="178" t="str">
        <f>IF(E480="","",IFERROR(IF(INDEX('Item Purchases'!$S$4:$S$30,MATCH(E480,'Item Purchases'!$B$4:$B$30,0))="","Uncategorised",INDEX('Item Purchases'!$S$4:$S$30,MATCH(E480,'Item Purchases'!$B$4:$B$30,0))),"Uncategorised"))</f>
        <v>Tea</v>
      </c>
      <c r="G480" s="178">
        <f>IF(E480="",0,'Pantry Inventory'!J120)</f>
        <v>24</v>
      </c>
      <c r="H480" s="178">
        <f>IF(E480="","",IF('Pantry Inventory'!K120="","",'Pantry Inventory'!K120))</f>
        <v>53</v>
      </c>
      <c r="I480" s="178">
        <f>IF(H480="","",'Pantry Inventory'!L120)</f>
        <v>20</v>
      </c>
      <c r="J480" s="179">
        <f>IF(E480="",0,IFERROR(INDEX('Item Purchases'!$Q$4:$Q$30,MATCH(E480,'Item Purchases'!$B$4:$B$30,0)),0))</f>
        <v>1.75</v>
      </c>
      <c r="K480" s="180">
        <f t="shared" si="60"/>
        <v>35</v>
      </c>
      <c r="L480" s="178">
        <f t="shared" si="61"/>
        <v>1</v>
      </c>
      <c r="M480" s="178">
        <f>IF(E480="",0,IF(AND(OR(OR(Dashboard!$E$5="All",Dashboard!$E$5=""),AG480=Dashboard!$E$5),OR(OR(Dashboard!$H$5="All",Dashboard!$H$5=""),F480=Dashboard!$H$5),OR(OR(Dashboard!$B$5="All",Dashboard!$B$5=""),C480=Dashboard!$B$5),OR(OR(Dashboard!$K$5="All",Dashboard!$K$5=""),A480=Dashboard!$K$5),OR(OR(Dashboard!$N$5="All",Dashboard!$N$5=""),B480=Dashboard!$N$5),OR(OR(Dashboard!$Q$5="All",Dashboard!$Q$5=""),D480=Dashboard!$Q$5),OR(OR(Dashboard!$U$5="All",Dashboard!$U$5=""),E480=Dashboard!$U$5)),1,0))</f>
        <v>1</v>
      </c>
      <c r="N480" s="178">
        <f>IF(E480="",0,IF(AND(OR(OR(Dashboard!$E$5="All",Dashboard!$E$5=""),AG480=Dashboard!$E$5),OR(OR(Dashboard!$B$5="All",Dashboard!$B$5=""),C480=Dashboard!$B$5),OR(OR(Dashboard!$K$5="All",Dashboard!$K$5=""),A480=Dashboard!$K$5),OR(OR(Dashboard!$N$5="All",Dashboard!$N$5=""),B480=Dashboard!$N$5),OR(OR(Dashboard!$Q$5="All",Dashboard!$Q$5=""),D480=Dashboard!$Q$5),OR(OR(Dashboard!$U$5="All",Dashboard!$U$5=""),E480=Dashboard!$U$5)),1,0))</f>
        <v>1</v>
      </c>
      <c r="O480" s="165">
        <f t="shared" si="62"/>
        <v>400</v>
      </c>
      <c r="AG480" s="178" t="str">
        <f>IF(E480="","",IFERROR(IF(INDEX('Item Purchases'!$AM$4:$AM$30,MATCH(E480,'Item Purchases'!$B$4:$B$30,0))="","Uncategorised",INDEX('Item Purchases'!$AM$4:$AM$30,MATCH(E480,'Item Purchases'!$B$4:$B$30,0))),"Uncategorised"))</f>
        <v>Beverages</v>
      </c>
      <c r="AH480" s="165">
        <f>IF(AND(E480&lt;&gt;"",L480=1),COUNTIFS($E$2:E480,E480,$L$2:L480,1),0)</f>
        <v>18</v>
      </c>
      <c r="AI480" s="165">
        <f t="shared" si="63"/>
        <v>20</v>
      </c>
      <c r="AJ480" s="165">
        <f t="shared" si="64"/>
        <v>1</v>
      </c>
    </row>
    <row r="481" spans="1:36" x14ac:dyDescent="0.25">
      <c r="A481" s="177">
        <f t="shared" si="65"/>
        <v>46289</v>
      </c>
      <c r="B481" s="178" t="str">
        <f t="shared" si="59"/>
        <v>Thu</v>
      </c>
      <c r="C481" s="178" t="str">
        <f>'Pantry Inventory'!$A$98</f>
        <v>Sep Week 4</v>
      </c>
      <c r="D481" s="178" t="str">
        <f>IF('Pantry Inventory'!A121="","",'Pantry Inventory'!A121)</f>
        <v>Vsoy</v>
      </c>
      <c r="E481" s="178" t="str">
        <f>IF('Pantry Inventory'!B121="","",'Pantry Inventory'!B121)</f>
        <v>Vsoy Soya Bean  250ml</v>
      </c>
      <c r="F481" s="178" t="str">
        <f>IF(E481="","",IFERROR(IF(INDEX('Item Purchases'!$S$4:$S$30,MATCH(E481,'Item Purchases'!$B$4:$B$30,0))="","Uncategorised",INDEX('Item Purchases'!$S$4:$S$30,MATCH(E481,'Item Purchases'!$B$4:$B$30,0))),"Uncategorised"))</f>
        <v>Other</v>
      </c>
      <c r="G481" s="178">
        <f>IF(E481="",0,'Pantry Inventory'!J121)</f>
        <v>48</v>
      </c>
      <c r="H481" s="178">
        <f>IF(E481="","",IF('Pantry Inventory'!K121="","",'Pantry Inventory'!K121))</f>
        <v>88</v>
      </c>
      <c r="I481" s="178">
        <f>IF(H481="","",'Pantry Inventory'!L121)</f>
        <v>19</v>
      </c>
      <c r="J481" s="179">
        <f>IF(E481="",0,IFERROR(INDEX('Item Purchases'!$Q$4:$Q$30,MATCH(E481,'Item Purchases'!$B$4:$B$30,0)),0))</f>
        <v>1.25</v>
      </c>
      <c r="K481" s="180">
        <f t="shared" si="60"/>
        <v>23.75</v>
      </c>
      <c r="L481" s="178">
        <f t="shared" si="61"/>
        <v>1</v>
      </c>
      <c r="M481" s="178">
        <f>IF(E481="",0,IF(AND(OR(OR(Dashboard!$E$5="All",Dashboard!$E$5=""),AG481=Dashboard!$E$5),OR(OR(Dashboard!$H$5="All",Dashboard!$H$5=""),F481=Dashboard!$H$5),OR(OR(Dashboard!$B$5="All",Dashboard!$B$5=""),C481=Dashboard!$B$5),OR(OR(Dashboard!$K$5="All",Dashboard!$K$5=""),A481=Dashboard!$K$5),OR(OR(Dashboard!$N$5="All",Dashboard!$N$5=""),B481=Dashboard!$N$5),OR(OR(Dashboard!$Q$5="All",Dashboard!$Q$5=""),D481=Dashboard!$Q$5),OR(OR(Dashboard!$U$5="All",Dashboard!$U$5=""),E481=Dashboard!$U$5)),1,0))</f>
        <v>1</v>
      </c>
      <c r="N481" s="178">
        <f>IF(E481="",0,IF(AND(OR(OR(Dashboard!$E$5="All",Dashboard!$E$5=""),AG481=Dashboard!$E$5),OR(OR(Dashboard!$B$5="All",Dashboard!$B$5=""),C481=Dashboard!$B$5),OR(OR(Dashboard!$K$5="All",Dashboard!$K$5=""),A481=Dashboard!$K$5),OR(OR(Dashboard!$N$5="All",Dashboard!$N$5=""),B481=Dashboard!$N$5),OR(OR(Dashboard!$Q$5="All",Dashboard!$Q$5=""),D481=Dashboard!$Q$5),OR(OR(Dashboard!$U$5="All",Dashboard!$U$5=""),E481=Dashboard!$U$5)),1,0))</f>
        <v>1</v>
      </c>
      <c r="O481" s="165">
        <f t="shared" si="62"/>
        <v>361</v>
      </c>
      <c r="AG481" s="178" t="str">
        <f>IF(E481="","",IFERROR(IF(INDEX('Item Purchases'!$AM$4:$AM$30,MATCH(E481,'Item Purchases'!$B$4:$B$30,0))="","Uncategorised",INDEX('Item Purchases'!$AM$4:$AM$30,MATCH(E481,'Item Purchases'!$B$4:$B$30,0))),"Uncategorised"))</f>
        <v>Beverages</v>
      </c>
      <c r="AH481" s="165">
        <f>IF(AND(E481&lt;&gt;"",L481=1),COUNTIFS($E$2:E481,E481,$L$2:L481,1),0)</f>
        <v>18</v>
      </c>
      <c r="AI481" s="165">
        <f t="shared" si="63"/>
        <v>19</v>
      </c>
      <c r="AJ481" s="165">
        <f t="shared" si="64"/>
        <v>1</v>
      </c>
    </row>
    <row r="482" spans="1:36" x14ac:dyDescent="0.25">
      <c r="A482" s="177">
        <f t="shared" si="65"/>
        <v>46289</v>
      </c>
      <c r="B482" s="178" t="str">
        <f t="shared" si="59"/>
        <v>Thu</v>
      </c>
      <c r="C482" s="178" t="str">
        <f>'Pantry Inventory'!$A$98</f>
        <v>Sep Week 4</v>
      </c>
      <c r="D482" s="178" t="str">
        <f>IF('Pantry Inventory'!A122="","",'Pantry Inventory'!A122)</f>
        <v>BingRae</v>
      </c>
      <c r="E482" s="178" t="str">
        <f>IF('Pantry Inventory'!B122="","",'Pantry Inventory'!B122)</f>
        <v>BingRae Banana Milk 200ml</v>
      </c>
      <c r="F482" s="178" t="str">
        <f>IF(E482="","",IFERROR(IF(INDEX('Item Purchases'!$S$4:$S$30,MATCH(E482,'Item Purchases'!$B$4:$B$30,0))="","Uncategorised",INDEX('Item Purchases'!$S$4:$S$30,MATCH(E482,'Item Purchases'!$B$4:$B$30,0))),"Uncategorised"))</f>
        <v>Other</v>
      </c>
      <c r="G482" s="178">
        <f>IF(E482="",0,'Pantry Inventory'!J122)</f>
        <v>0</v>
      </c>
      <c r="H482" s="178">
        <f>IF(E482="","",IF('Pantry Inventory'!K122="","",'Pantry Inventory'!K122))</f>
        <v>0</v>
      </c>
      <c r="I482" s="178">
        <f>IF(H482="","",'Pantry Inventory'!L122)</f>
        <v>0</v>
      </c>
      <c r="J482" s="179">
        <f>IF(E482="",0,IFERROR(INDEX('Item Purchases'!$Q$4:$Q$30,MATCH(E482,'Item Purchases'!$B$4:$B$30,0)),0))</f>
        <v>3.3159999999999998</v>
      </c>
      <c r="K482" s="180">
        <f t="shared" si="60"/>
        <v>0</v>
      </c>
      <c r="L482" s="178">
        <f t="shared" si="61"/>
        <v>1</v>
      </c>
      <c r="M482" s="178">
        <f>IF(E482="",0,IF(AND(OR(OR(Dashboard!$E$5="All",Dashboard!$E$5=""),AG482=Dashboard!$E$5),OR(OR(Dashboard!$H$5="All",Dashboard!$H$5=""),F482=Dashboard!$H$5),OR(OR(Dashboard!$B$5="All",Dashboard!$B$5=""),C482=Dashboard!$B$5),OR(OR(Dashboard!$K$5="All",Dashboard!$K$5=""),A482=Dashboard!$K$5),OR(OR(Dashboard!$N$5="All",Dashboard!$N$5=""),B482=Dashboard!$N$5),OR(OR(Dashboard!$Q$5="All",Dashboard!$Q$5=""),D482=Dashboard!$Q$5),OR(OR(Dashboard!$U$5="All",Dashboard!$U$5=""),E482=Dashboard!$U$5)),1,0))</f>
        <v>1</v>
      </c>
      <c r="N482" s="178">
        <f>IF(E482="",0,IF(AND(OR(OR(Dashboard!$E$5="All",Dashboard!$E$5=""),AG482=Dashboard!$E$5),OR(OR(Dashboard!$B$5="All",Dashboard!$B$5=""),C482=Dashboard!$B$5),OR(OR(Dashboard!$K$5="All",Dashboard!$K$5=""),A482=Dashboard!$K$5),OR(OR(Dashboard!$N$5="All",Dashboard!$N$5=""),B482=Dashboard!$N$5),OR(OR(Dashboard!$Q$5="All",Dashboard!$Q$5=""),D482=Dashboard!$Q$5),OR(OR(Dashboard!$U$5="All",Dashboard!$U$5=""),E482=Dashboard!$U$5)),1,0))</f>
        <v>1</v>
      </c>
      <c r="O482" s="165">
        <f t="shared" si="62"/>
        <v>0</v>
      </c>
      <c r="AG482" s="178" t="str">
        <f>IF(E482="","",IFERROR(IF(INDEX('Item Purchases'!$AM$4:$AM$30,MATCH(E482,'Item Purchases'!$B$4:$B$30,0))="","Uncategorised",INDEX('Item Purchases'!$AM$4:$AM$30,MATCH(E482,'Item Purchases'!$B$4:$B$30,0))),"Uncategorised"))</f>
        <v>Beverages</v>
      </c>
      <c r="AH482" s="165">
        <f>IF(AND(E482&lt;&gt;"",L482=1),COUNTIFS($E$2:E482,E482,$L$2:L482,1),0)</f>
        <v>18</v>
      </c>
      <c r="AI482" s="165">
        <f t="shared" si="63"/>
        <v>0</v>
      </c>
      <c r="AJ482" s="165">
        <f t="shared" si="64"/>
        <v>0</v>
      </c>
    </row>
    <row r="483" spans="1:36" x14ac:dyDescent="0.25">
      <c r="A483" s="177">
        <f t="shared" si="65"/>
        <v>46289</v>
      </c>
      <c r="B483" s="178" t="str">
        <f t="shared" si="59"/>
        <v>Thu</v>
      </c>
      <c r="C483" s="178" t="str">
        <f>'Pantry Inventory'!$A$98</f>
        <v>Sep Week 4</v>
      </c>
      <c r="D483" s="178" t="str">
        <f>IF('Pantry Inventory'!A123="","",'Pantry Inventory'!A123)</f>
        <v>Fuze Tea</v>
      </c>
      <c r="E483" s="178" t="str">
        <f>IF('Pantry Inventory'!B123="","",'Pantry Inventory'!B123)</f>
        <v>Fuze Tea by Heaven and Earth Jasmine Tea</v>
      </c>
      <c r="F483" s="178" t="str">
        <f>IF(E483="","",IFERROR(IF(INDEX('Item Purchases'!$S$4:$S$30,MATCH(E483,'Item Purchases'!$B$4:$B$30,0))="","Uncategorised",INDEX('Item Purchases'!$S$4:$S$30,MATCH(E483,'Item Purchases'!$B$4:$B$30,0))),"Uncategorised"))</f>
        <v>Tea</v>
      </c>
      <c r="G483" s="178">
        <f>IF(E483="",0,'Pantry Inventory'!J123)</f>
        <v>0</v>
      </c>
      <c r="H483" s="178">
        <f>IF(E483="","",IF('Pantry Inventory'!K123="","",'Pantry Inventory'!K123))</f>
        <v>0</v>
      </c>
      <c r="I483" s="178">
        <f>IF(H483="","",'Pantry Inventory'!L123)</f>
        <v>0</v>
      </c>
      <c r="J483" s="179">
        <f>IF(E483="",0,IFERROR(INDEX('Item Purchases'!$Q$4:$Q$30,MATCH(E483,'Item Purchases'!$B$4:$B$30,0)),0))</f>
        <v>1.167</v>
      </c>
      <c r="K483" s="180">
        <f t="shared" si="60"/>
        <v>0</v>
      </c>
      <c r="L483" s="178">
        <f t="shared" si="61"/>
        <v>1</v>
      </c>
      <c r="M483" s="178">
        <f>IF(E483="",0,IF(AND(OR(OR(Dashboard!$E$5="All",Dashboard!$E$5=""),AG483=Dashboard!$E$5),OR(OR(Dashboard!$H$5="All",Dashboard!$H$5=""),F483=Dashboard!$H$5),OR(OR(Dashboard!$B$5="All",Dashboard!$B$5=""),C483=Dashboard!$B$5),OR(OR(Dashboard!$K$5="All",Dashboard!$K$5=""),A483=Dashboard!$K$5),OR(OR(Dashboard!$N$5="All",Dashboard!$N$5=""),B483=Dashboard!$N$5),OR(OR(Dashboard!$Q$5="All",Dashboard!$Q$5=""),D483=Dashboard!$Q$5),OR(OR(Dashboard!$U$5="All",Dashboard!$U$5=""),E483=Dashboard!$U$5)),1,0))</f>
        <v>1</v>
      </c>
      <c r="N483" s="178">
        <f>IF(E483="",0,IF(AND(OR(OR(Dashboard!$E$5="All",Dashboard!$E$5=""),AG483=Dashboard!$E$5),OR(OR(Dashboard!$B$5="All",Dashboard!$B$5=""),C483=Dashboard!$B$5),OR(OR(Dashboard!$K$5="All",Dashboard!$K$5=""),A483=Dashboard!$K$5),OR(OR(Dashboard!$N$5="All",Dashboard!$N$5=""),B483=Dashboard!$N$5),OR(OR(Dashboard!$Q$5="All",Dashboard!$Q$5=""),D483=Dashboard!$Q$5),OR(OR(Dashboard!$U$5="All",Dashboard!$U$5=""),E483=Dashboard!$U$5)),1,0))</f>
        <v>1</v>
      </c>
      <c r="O483" s="165">
        <f t="shared" si="62"/>
        <v>0</v>
      </c>
      <c r="AG483" s="178" t="str">
        <f>IF(E483="","",IFERROR(IF(INDEX('Item Purchases'!$AM$4:$AM$30,MATCH(E483,'Item Purchases'!$B$4:$B$30,0))="","Uncategorised",INDEX('Item Purchases'!$AM$4:$AM$30,MATCH(E483,'Item Purchases'!$B$4:$B$30,0))),"Uncategorised"))</f>
        <v>Beverages</v>
      </c>
      <c r="AH483" s="165">
        <f>IF(AND(E483&lt;&gt;"",L483=1),COUNTIFS($E$2:E483,E483,$L$2:L483,1),0)</f>
        <v>18</v>
      </c>
      <c r="AI483" s="165">
        <f t="shared" si="63"/>
        <v>0</v>
      </c>
      <c r="AJ483" s="165">
        <f t="shared" si="64"/>
        <v>0</v>
      </c>
    </row>
    <row r="484" spans="1:36" x14ac:dyDescent="0.25">
      <c r="A484" s="177">
        <f t="shared" si="65"/>
        <v>46289</v>
      </c>
      <c r="B484" s="178" t="str">
        <f t="shared" si="59"/>
        <v>Thu</v>
      </c>
      <c r="C484" s="178" t="str">
        <f>'Pantry Inventory'!$A$98</f>
        <v>Sep Week 4</v>
      </c>
      <c r="D484" s="178" t="str">
        <f>IF('Pantry Inventory'!A124="","",'Pantry Inventory'!A124)</f>
        <v>F&amp;N</v>
      </c>
      <c r="E484" s="178" t="str">
        <f>IF('Pantry Inventory'!B124="","",'Pantry Inventory'!B124)</f>
        <v>FN 100 plus (original) 325ml</v>
      </c>
      <c r="F484" s="178" t="str">
        <f>IF(E484="","",IFERROR(IF(INDEX('Item Purchases'!$S$4:$S$30,MATCH(E484,'Item Purchases'!$B$4:$B$30,0))="","Uncategorised",INDEX('Item Purchases'!$S$4:$S$30,MATCH(E484,'Item Purchases'!$B$4:$B$30,0))),"Uncategorised"))</f>
        <v>Other</v>
      </c>
      <c r="G484" s="178">
        <f>IF(E484="",0,'Pantry Inventory'!J124)</f>
        <v>24</v>
      </c>
      <c r="H484" s="178">
        <f>IF(E484="","",IF('Pantry Inventory'!K124="","",'Pantry Inventory'!K124))</f>
        <v>34</v>
      </c>
      <c r="I484" s="178">
        <f>IF(H484="","",'Pantry Inventory'!L124)</f>
        <v>14</v>
      </c>
      <c r="J484" s="179">
        <f>IF(E484="",0,IFERROR(INDEX('Item Purchases'!$Q$4:$Q$30,MATCH(E484,'Item Purchases'!$B$4:$B$30,0)),0))</f>
        <v>1.58</v>
      </c>
      <c r="K484" s="180">
        <f t="shared" si="60"/>
        <v>22.12</v>
      </c>
      <c r="L484" s="178">
        <f t="shared" si="61"/>
        <v>1</v>
      </c>
      <c r="M484" s="178">
        <f>IF(E484="",0,IF(AND(OR(OR(Dashboard!$E$5="All",Dashboard!$E$5=""),AG484=Dashboard!$E$5),OR(OR(Dashboard!$H$5="All",Dashboard!$H$5=""),F484=Dashboard!$H$5),OR(OR(Dashboard!$B$5="All",Dashboard!$B$5=""),C484=Dashboard!$B$5),OR(OR(Dashboard!$K$5="All",Dashboard!$K$5=""),A484=Dashboard!$K$5),OR(OR(Dashboard!$N$5="All",Dashboard!$N$5=""),B484=Dashboard!$N$5),OR(OR(Dashboard!$Q$5="All",Dashboard!$Q$5=""),D484=Dashboard!$Q$5),OR(OR(Dashboard!$U$5="All",Dashboard!$U$5=""),E484=Dashboard!$U$5)),1,0))</f>
        <v>1</v>
      </c>
      <c r="N484" s="178">
        <f>IF(E484="",0,IF(AND(OR(OR(Dashboard!$E$5="All",Dashboard!$E$5=""),AG484=Dashboard!$E$5),OR(OR(Dashboard!$B$5="All",Dashboard!$B$5=""),C484=Dashboard!$B$5),OR(OR(Dashboard!$K$5="All",Dashboard!$K$5=""),A484=Dashboard!$K$5),OR(OR(Dashboard!$N$5="All",Dashboard!$N$5=""),B484=Dashboard!$N$5),OR(OR(Dashboard!$Q$5="All",Dashboard!$Q$5=""),D484=Dashboard!$Q$5),OR(OR(Dashboard!$U$5="All",Dashboard!$U$5=""),E484=Dashboard!$U$5)),1,0))</f>
        <v>1</v>
      </c>
      <c r="O484" s="165">
        <f t="shared" si="62"/>
        <v>196</v>
      </c>
      <c r="AG484" s="178" t="str">
        <f>IF(E484="","",IFERROR(IF(INDEX('Item Purchases'!$AM$4:$AM$30,MATCH(E484,'Item Purchases'!$B$4:$B$30,0))="","Uncategorised",INDEX('Item Purchases'!$AM$4:$AM$30,MATCH(E484,'Item Purchases'!$B$4:$B$30,0))),"Uncategorised"))</f>
        <v>Beverages</v>
      </c>
      <c r="AH484" s="165">
        <f>IF(AND(E484&lt;&gt;"",L484=1),COUNTIFS($E$2:E484,E484,$L$2:L484,1),0)</f>
        <v>18</v>
      </c>
      <c r="AI484" s="165">
        <f t="shared" si="63"/>
        <v>14</v>
      </c>
      <c r="AJ484" s="165">
        <f t="shared" si="64"/>
        <v>1</v>
      </c>
    </row>
    <row r="485" spans="1:36" x14ac:dyDescent="0.25">
      <c r="A485" s="177">
        <f t="shared" si="65"/>
        <v>46289</v>
      </c>
      <c r="B485" s="178" t="str">
        <f t="shared" si="59"/>
        <v>Thu</v>
      </c>
      <c r="C485" s="178" t="str">
        <f>'Pantry Inventory'!$A$98</f>
        <v>Sep Week 4</v>
      </c>
      <c r="D485" s="178" t="str">
        <f>IF('Pantry Inventory'!A125="","",'Pantry Inventory'!A125)</f>
        <v>Spritzer</v>
      </c>
      <c r="E485" s="178" t="str">
        <f>IF('Pantry Inventory'!B125="","",'Pantry Inventory'!B125)</f>
        <v>Spritzer sparkling water (original) 400ml</v>
      </c>
      <c r="F485" s="178" t="str">
        <f>IF(E485="","",IFERROR(IF(INDEX('Item Purchases'!$S$4:$S$30,MATCH(E485,'Item Purchases'!$B$4:$B$30,0))="","Uncategorised",INDEX('Item Purchases'!$S$4:$S$30,MATCH(E485,'Item Purchases'!$B$4:$B$30,0))),"Uncategorised"))</f>
        <v>Other</v>
      </c>
      <c r="G485" s="178">
        <f>IF(E485="",0,'Pantry Inventory'!J125)</f>
        <v>24</v>
      </c>
      <c r="H485" s="178">
        <f>IF(E485="","",IF('Pantry Inventory'!K125="","",'Pantry Inventory'!K125))</f>
        <v>30</v>
      </c>
      <c r="I485" s="178">
        <f>IF(H485="","",'Pantry Inventory'!L125)</f>
        <v>31</v>
      </c>
      <c r="J485" s="179">
        <f>IF(E485="",0,IFERROR(INDEX('Item Purchases'!$Q$4:$Q$30,MATCH(E485,'Item Purchases'!$B$4:$B$30,0)),0))</f>
        <v>1.616666666666666</v>
      </c>
      <c r="K485" s="180">
        <f t="shared" si="60"/>
        <v>50.116666666666646</v>
      </c>
      <c r="L485" s="178">
        <f t="shared" si="61"/>
        <v>1</v>
      </c>
      <c r="M485" s="178">
        <f>IF(E485="",0,IF(AND(OR(OR(Dashboard!$E$5="All",Dashboard!$E$5=""),AG485=Dashboard!$E$5),OR(OR(Dashboard!$H$5="All",Dashboard!$H$5=""),F485=Dashboard!$H$5),OR(OR(Dashboard!$B$5="All",Dashboard!$B$5=""),C485=Dashboard!$B$5),OR(OR(Dashboard!$K$5="All",Dashboard!$K$5=""),A485=Dashboard!$K$5),OR(OR(Dashboard!$N$5="All",Dashboard!$N$5=""),B485=Dashboard!$N$5),OR(OR(Dashboard!$Q$5="All",Dashboard!$Q$5=""),D485=Dashboard!$Q$5),OR(OR(Dashboard!$U$5="All",Dashboard!$U$5=""),E485=Dashboard!$U$5)),1,0))</f>
        <v>1</v>
      </c>
      <c r="N485" s="178">
        <f>IF(E485="",0,IF(AND(OR(OR(Dashboard!$E$5="All",Dashboard!$E$5=""),AG485=Dashboard!$E$5),OR(OR(Dashboard!$B$5="All",Dashboard!$B$5=""),C485=Dashboard!$B$5),OR(OR(Dashboard!$K$5="All",Dashboard!$K$5=""),A485=Dashboard!$K$5),OR(OR(Dashboard!$N$5="All",Dashboard!$N$5=""),B485=Dashboard!$N$5),OR(OR(Dashboard!$Q$5="All",Dashboard!$Q$5=""),D485=Dashboard!$Q$5),OR(OR(Dashboard!$U$5="All",Dashboard!$U$5=""),E485=Dashboard!$U$5)),1,0))</f>
        <v>1</v>
      </c>
      <c r="O485" s="165">
        <f t="shared" si="62"/>
        <v>961</v>
      </c>
      <c r="AG485" s="178" t="str">
        <f>IF(E485="","",IFERROR(IF(INDEX('Item Purchases'!$AM$4:$AM$30,MATCH(E485,'Item Purchases'!$B$4:$B$30,0))="","Uncategorised",INDEX('Item Purchases'!$AM$4:$AM$30,MATCH(E485,'Item Purchases'!$B$4:$B$30,0))),"Uncategorised"))</f>
        <v>Beverages</v>
      </c>
      <c r="AH485" s="165">
        <f>IF(AND(E485&lt;&gt;"",L485=1),COUNTIFS($E$2:E485,E485,$L$2:L485,1),0)</f>
        <v>18</v>
      </c>
      <c r="AI485" s="165">
        <f t="shared" si="63"/>
        <v>31</v>
      </c>
      <c r="AJ485" s="165">
        <f t="shared" si="64"/>
        <v>1</v>
      </c>
    </row>
    <row r="486" spans="1:36" x14ac:dyDescent="0.25">
      <c r="A486" s="177">
        <f t="shared" si="65"/>
        <v>46289</v>
      </c>
      <c r="B486" s="178" t="str">
        <f t="shared" si="59"/>
        <v>Thu</v>
      </c>
      <c r="C486" s="178" t="str">
        <f>'Pantry Inventory'!$A$98</f>
        <v>Sep Week 4</v>
      </c>
      <c r="D486" s="178" t="str">
        <f>IF('Pantry Inventory'!A126="","",'Pantry Inventory'!A126)</f>
        <v>Oat Side</v>
      </c>
      <c r="E486" s="178" t="str">
        <f>IF('Pantry Inventory'!B126="","",'Pantry Inventory'!B126)</f>
        <v>Oat Side Original 200ml</v>
      </c>
      <c r="F486" s="178" t="str">
        <f>IF(E486="","",IFERROR(IF(INDEX('Item Purchases'!$S$4:$S$30,MATCH(E486,'Item Purchases'!$B$4:$B$30,0))="","Uncategorised",INDEX('Item Purchases'!$S$4:$S$30,MATCH(E486,'Item Purchases'!$B$4:$B$30,0))),"Uncategorised"))</f>
        <v>Other</v>
      </c>
      <c r="G486" s="178">
        <f>IF(E486="",0,'Pantry Inventory'!J126)</f>
        <v>48</v>
      </c>
      <c r="H486" s="178">
        <f>IF(E486="","",IF('Pantry Inventory'!K126="","",'Pantry Inventory'!K126))</f>
        <v>57</v>
      </c>
      <c r="I486" s="178">
        <f>IF(H486="","",'Pantry Inventory'!L126)</f>
        <v>16</v>
      </c>
      <c r="J486" s="179">
        <f>IF(E486="",0,IFERROR(INDEX('Item Purchases'!$Q$4:$Q$30,MATCH(E486,'Item Purchases'!$B$4:$B$30,0)),0))</f>
        <v>3</v>
      </c>
      <c r="K486" s="180">
        <f t="shared" si="60"/>
        <v>48</v>
      </c>
      <c r="L486" s="178">
        <f t="shared" si="61"/>
        <v>1</v>
      </c>
      <c r="M486" s="178">
        <f>IF(E486="",0,IF(AND(OR(OR(Dashboard!$E$5="All",Dashboard!$E$5=""),AG486=Dashboard!$E$5),OR(OR(Dashboard!$H$5="All",Dashboard!$H$5=""),F486=Dashboard!$H$5),OR(OR(Dashboard!$B$5="All",Dashboard!$B$5=""),C486=Dashboard!$B$5),OR(OR(Dashboard!$K$5="All",Dashboard!$K$5=""),A486=Dashboard!$K$5),OR(OR(Dashboard!$N$5="All",Dashboard!$N$5=""),B486=Dashboard!$N$5),OR(OR(Dashboard!$Q$5="All",Dashboard!$Q$5=""),D486=Dashboard!$Q$5),OR(OR(Dashboard!$U$5="All",Dashboard!$U$5=""),E486=Dashboard!$U$5)),1,0))</f>
        <v>1</v>
      </c>
      <c r="N486" s="178">
        <f>IF(E486="",0,IF(AND(OR(OR(Dashboard!$E$5="All",Dashboard!$E$5=""),AG486=Dashboard!$E$5),OR(OR(Dashboard!$B$5="All",Dashboard!$B$5=""),C486=Dashboard!$B$5),OR(OR(Dashboard!$K$5="All",Dashboard!$K$5=""),A486=Dashboard!$K$5),OR(OR(Dashboard!$N$5="All",Dashboard!$N$5=""),B486=Dashboard!$N$5),OR(OR(Dashboard!$Q$5="All",Dashboard!$Q$5=""),D486=Dashboard!$Q$5),OR(OR(Dashboard!$U$5="All",Dashboard!$U$5=""),E486=Dashboard!$U$5)),1,0))</f>
        <v>1</v>
      </c>
      <c r="O486" s="165">
        <f t="shared" si="62"/>
        <v>256</v>
      </c>
      <c r="AG486" s="178" t="str">
        <f>IF(E486="","",IFERROR(IF(INDEX('Item Purchases'!$AM$4:$AM$30,MATCH(E486,'Item Purchases'!$B$4:$B$30,0))="","Uncategorised",INDEX('Item Purchases'!$AM$4:$AM$30,MATCH(E486,'Item Purchases'!$B$4:$B$30,0))),"Uncategorised"))</f>
        <v>Beverages</v>
      </c>
      <c r="AH486" s="165">
        <f>IF(AND(E486&lt;&gt;"",L486=1),COUNTIFS($E$2:E486,E486,$L$2:L486,1),0)</f>
        <v>18</v>
      </c>
      <c r="AI486" s="165">
        <f t="shared" si="63"/>
        <v>16</v>
      </c>
      <c r="AJ486" s="165">
        <f t="shared" si="64"/>
        <v>1</v>
      </c>
    </row>
    <row r="487" spans="1:36" x14ac:dyDescent="0.25">
      <c r="A487" s="177">
        <f t="shared" si="65"/>
        <v>46289</v>
      </c>
      <c r="B487" s="178" t="str">
        <f t="shared" si="59"/>
        <v>Thu</v>
      </c>
      <c r="C487" s="178" t="str">
        <f>'Pantry Inventory'!$A$98</f>
        <v>Sep Week 4</v>
      </c>
      <c r="D487" s="178" t="str">
        <f>IF('Pantry Inventory'!A127="","",'Pantry Inventory'!A127)</f>
        <v>Oat Side</v>
      </c>
      <c r="E487" s="178" t="str">
        <f>IF('Pantry Inventory'!B127="","",'Pantry Inventory'!B127)</f>
        <v>Oat Side Chocolate 200ml</v>
      </c>
      <c r="F487" s="178" t="str">
        <f>IF(E487="","",IFERROR(IF(INDEX('Item Purchases'!$S$4:$S$30,MATCH(E487,'Item Purchases'!$B$4:$B$30,0))="","Uncategorised",INDEX('Item Purchases'!$S$4:$S$30,MATCH(E487,'Item Purchases'!$B$4:$B$30,0))),"Uncategorised"))</f>
        <v>Other</v>
      </c>
      <c r="G487" s="178">
        <f>IF(E487="",0,'Pantry Inventory'!J127)</f>
        <v>24</v>
      </c>
      <c r="H487" s="178">
        <f>IF(E487="","",IF('Pantry Inventory'!K127="","",'Pantry Inventory'!K127))</f>
        <v>39</v>
      </c>
      <c r="I487" s="178">
        <f>IF(H487="","",'Pantry Inventory'!L127)</f>
        <v>25</v>
      </c>
      <c r="J487" s="179">
        <f>IF(E487="",0,IFERROR(INDEX('Item Purchases'!$Q$4:$Q$30,MATCH(E487,'Item Purchases'!$B$4:$B$30,0)),0))</f>
        <v>3</v>
      </c>
      <c r="K487" s="180">
        <f t="shared" si="60"/>
        <v>75</v>
      </c>
      <c r="L487" s="178">
        <f t="shared" si="61"/>
        <v>1</v>
      </c>
      <c r="M487" s="178">
        <f>IF(E487="",0,IF(AND(OR(OR(Dashboard!$E$5="All",Dashboard!$E$5=""),AG487=Dashboard!$E$5),OR(OR(Dashboard!$H$5="All",Dashboard!$H$5=""),F487=Dashboard!$H$5),OR(OR(Dashboard!$B$5="All",Dashboard!$B$5=""),C487=Dashboard!$B$5),OR(OR(Dashboard!$K$5="All",Dashboard!$K$5=""),A487=Dashboard!$K$5),OR(OR(Dashboard!$N$5="All",Dashboard!$N$5=""),B487=Dashboard!$N$5),OR(OR(Dashboard!$Q$5="All",Dashboard!$Q$5=""),D487=Dashboard!$Q$5),OR(OR(Dashboard!$U$5="All",Dashboard!$U$5=""),E487=Dashboard!$U$5)),1,0))</f>
        <v>1</v>
      </c>
      <c r="N487" s="178">
        <f>IF(E487="",0,IF(AND(OR(OR(Dashboard!$E$5="All",Dashboard!$E$5=""),AG487=Dashboard!$E$5),OR(OR(Dashboard!$B$5="All",Dashboard!$B$5=""),C487=Dashboard!$B$5),OR(OR(Dashboard!$K$5="All",Dashboard!$K$5=""),A487=Dashboard!$K$5),OR(OR(Dashboard!$N$5="All",Dashboard!$N$5=""),B487=Dashboard!$N$5),OR(OR(Dashboard!$Q$5="All",Dashboard!$Q$5=""),D487=Dashboard!$Q$5),OR(OR(Dashboard!$U$5="All",Dashboard!$U$5=""),E487=Dashboard!$U$5)),1,0))</f>
        <v>1</v>
      </c>
      <c r="O487" s="165">
        <f t="shared" si="62"/>
        <v>625</v>
      </c>
      <c r="AG487" s="178" t="str">
        <f>IF(E487="","",IFERROR(IF(INDEX('Item Purchases'!$AM$4:$AM$30,MATCH(E487,'Item Purchases'!$B$4:$B$30,0))="","Uncategorised",INDEX('Item Purchases'!$AM$4:$AM$30,MATCH(E487,'Item Purchases'!$B$4:$B$30,0))),"Uncategorised"))</f>
        <v>Beverages</v>
      </c>
      <c r="AH487" s="165">
        <f>IF(AND(E487&lt;&gt;"",L487=1),COUNTIFS($E$2:E487,E487,$L$2:L487,1),0)</f>
        <v>18</v>
      </c>
      <c r="AI487" s="165">
        <f t="shared" si="63"/>
        <v>25</v>
      </c>
      <c r="AJ487" s="165">
        <f t="shared" si="64"/>
        <v>1</v>
      </c>
    </row>
    <row r="488" spans="1:36" x14ac:dyDescent="0.25">
      <c r="A488" s="177">
        <f t="shared" ref="A488:A514" si="66">IF($Z$20="",0,$Z$20)</f>
        <v>46290</v>
      </c>
      <c r="B488" s="178" t="str">
        <f t="shared" si="59"/>
        <v>Fri</v>
      </c>
      <c r="C488" s="178" t="str">
        <f>'Pantry Inventory'!$A$98</f>
        <v>Sep Week 4</v>
      </c>
      <c r="D488" s="178" t="str">
        <f>IF('Pantry Inventory'!A101="","",'Pantry Inventory'!A101)</f>
        <v>Julie's</v>
      </c>
      <c r="E488" s="178" t="str">
        <f>IF('Pantry Inventory'!B101="","",'Pantry Inventory'!B101)</f>
        <v>Julie's Peanut Butter Sandwich 360g (12pkts x 30g)</v>
      </c>
      <c r="F488" s="178" t="str">
        <f>IF(E488="","",IFERROR(IF(INDEX('Item Purchases'!$S$4:$S$30,MATCH(E488,'Item Purchases'!$B$4:$B$30,0))="","Uncategorised",INDEX('Item Purchases'!$S$4:$S$30,MATCH(E488,'Item Purchases'!$B$4:$B$30,0))),"Uncategorised"))</f>
        <v>Sweet</v>
      </c>
      <c r="G488" s="178">
        <f>IF(E488="",0,'Pantry Inventory'!M101)</f>
        <v>0</v>
      </c>
      <c r="H488" s="178">
        <f>IF(E488="","",IF('Pantry Inventory'!N101="","",'Pantry Inventory'!N101))</f>
        <v>31</v>
      </c>
      <c r="I488" s="178">
        <f>IF(H488="","",'Pantry Inventory'!O101)</f>
        <v>10</v>
      </c>
      <c r="J488" s="179">
        <f>IF(E488="",0,IFERROR(INDEX('Item Purchases'!$Q$4:$Q$30,MATCH(E488,'Item Purchases'!$B$4:$B$30,0)),0))</f>
        <v>1.083</v>
      </c>
      <c r="K488" s="180">
        <f t="shared" si="60"/>
        <v>10.83</v>
      </c>
      <c r="L488" s="178">
        <f t="shared" si="61"/>
        <v>1</v>
      </c>
      <c r="M488" s="178">
        <f>IF(E488="",0,IF(AND(OR(OR(Dashboard!$E$5="All",Dashboard!$E$5=""),AG488=Dashboard!$E$5),OR(OR(Dashboard!$H$5="All",Dashboard!$H$5=""),F488=Dashboard!$H$5),OR(OR(Dashboard!$B$5="All",Dashboard!$B$5=""),C488=Dashboard!$B$5),OR(OR(Dashboard!$K$5="All",Dashboard!$K$5=""),A488=Dashboard!$K$5),OR(OR(Dashboard!$N$5="All",Dashboard!$N$5=""),B488=Dashboard!$N$5),OR(OR(Dashboard!$Q$5="All",Dashboard!$Q$5=""),D488=Dashboard!$Q$5),OR(OR(Dashboard!$U$5="All",Dashboard!$U$5=""),E488=Dashboard!$U$5)),1,0))</f>
        <v>1</v>
      </c>
      <c r="N488" s="178">
        <f>IF(E488="",0,IF(AND(OR(OR(Dashboard!$E$5="All",Dashboard!$E$5=""),AG488=Dashboard!$E$5),OR(OR(Dashboard!$B$5="All",Dashboard!$B$5=""),C488=Dashboard!$B$5),OR(OR(Dashboard!$K$5="All",Dashboard!$K$5=""),A488=Dashboard!$K$5),OR(OR(Dashboard!$N$5="All",Dashboard!$N$5=""),B488=Dashboard!$N$5),OR(OR(Dashboard!$Q$5="All",Dashboard!$Q$5=""),D488=Dashboard!$Q$5),OR(OR(Dashboard!$U$5="All",Dashboard!$U$5=""),E488=Dashboard!$U$5)),1,0))</f>
        <v>1</v>
      </c>
      <c r="O488" s="165">
        <f t="shared" si="62"/>
        <v>100</v>
      </c>
      <c r="AG488" s="178" t="str">
        <f>IF(E488="","",IFERROR(IF(INDEX('Item Purchases'!$AM$4:$AM$30,MATCH(E488,'Item Purchases'!$B$4:$B$30,0))="","Uncategorised",INDEX('Item Purchases'!$AM$4:$AM$30,MATCH(E488,'Item Purchases'!$B$4:$B$30,0))),"Uncategorised"))</f>
        <v>Snacks</v>
      </c>
      <c r="AH488" s="165">
        <f>IF(AND(E488&lt;&gt;"",L488=1),COUNTIFS($E$2:E488,E488,$L$2:L488,1),0)</f>
        <v>19</v>
      </c>
      <c r="AI488" s="165">
        <f t="shared" si="63"/>
        <v>10</v>
      </c>
      <c r="AJ488" s="165">
        <f t="shared" si="64"/>
        <v>1</v>
      </c>
    </row>
    <row r="489" spans="1:36" x14ac:dyDescent="0.25">
      <c r="A489" s="177">
        <f t="shared" si="66"/>
        <v>46290</v>
      </c>
      <c r="B489" s="178" t="str">
        <f t="shared" si="59"/>
        <v>Fri</v>
      </c>
      <c r="C489" s="178" t="str">
        <f>'Pantry Inventory'!$A$98</f>
        <v>Sep Week 4</v>
      </c>
      <c r="D489" s="178" t="str">
        <f>IF('Pantry Inventory'!A102="","",'Pantry Inventory'!A102)</f>
        <v>Julie's</v>
      </c>
      <c r="E489" s="178" t="str">
        <f>IF('Pantry Inventory'!B102="","",'Pantry Inventory'!B102)</f>
        <v>Julies Butter Waffles</v>
      </c>
      <c r="F489" s="178" t="str">
        <f>IF(E489="","",IFERROR(IF(INDEX('Item Purchases'!$S$4:$S$30,MATCH(E489,'Item Purchases'!$B$4:$B$30,0))="","Uncategorised",INDEX('Item Purchases'!$S$4:$S$30,MATCH(E489,'Item Purchases'!$B$4:$B$30,0))),"Uncategorised"))</f>
        <v>Sweet</v>
      </c>
      <c r="G489" s="178">
        <f>IF(E489="",0,'Pantry Inventory'!M102)</f>
        <v>0</v>
      </c>
      <c r="H489" s="178">
        <f>IF(E489="","",IF('Pantry Inventory'!N102="","",'Pantry Inventory'!N102))</f>
        <v>5</v>
      </c>
      <c r="I489" s="178">
        <f>IF(H489="","",'Pantry Inventory'!O102)</f>
        <v>1</v>
      </c>
      <c r="J489" s="179">
        <f>IF(E489="",0,IFERROR(INDEX('Item Purchases'!$Q$4:$Q$30,MATCH(E489,'Item Purchases'!$B$4:$B$30,0)),0))</f>
        <v>5.15</v>
      </c>
      <c r="K489" s="180">
        <f t="shared" si="60"/>
        <v>5.15</v>
      </c>
      <c r="L489" s="178">
        <f t="shared" si="61"/>
        <v>1</v>
      </c>
      <c r="M489" s="178">
        <f>IF(E489="",0,IF(AND(OR(OR(Dashboard!$E$5="All",Dashboard!$E$5=""),AG489=Dashboard!$E$5),OR(OR(Dashboard!$H$5="All",Dashboard!$H$5=""),F489=Dashboard!$H$5),OR(OR(Dashboard!$B$5="All",Dashboard!$B$5=""),C489=Dashboard!$B$5),OR(OR(Dashboard!$K$5="All",Dashboard!$K$5=""),A489=Dashboard!$K$5),OR(OR(Dashboard!$N$5="All",Dashboard!$N$5=""),B489=Dashboard!$N$5),OR(OR(Dashboard!$Q$5="All",Dashboard!$Q$5=""),D489=Dashboard!$Q$5),OR(OR(Dashboard!$U$5="All",Dashboard!$U$5=""),E489=Dashboard!$U$5)),1,0))</f>
        <v>1</v>
      </c>
      <c r="N489" s="178">
        <f>IF(E489="",0,IF(AND(OR(OR(Dashboard!$E$5="All",Dashboard!$E$5=""),AG489=Dashboard!$E$5),OR(OR(Dashboard!$B$5="All",Dashboard!$B$5=""),C489=Dashboard!$B$5),OR(OR(Dashboard!$K$5="All",Dashboard!$K$5=""),A489=Dashboard!$K$5),OR(OR(Dashboard!$N$5="All",Dashboard!$N$5=""),B489=Dashboard!$N$5),OR(OR(Dashboard!$Q$5="All",Dashboard!$Q$5=""),D489=Dashboard!$Q$5),OR(OR(Dashboard!$U$5="All",Dashboard!$U$5=""),E489=Dashboard!$U$5)),1,0))</f>
        <v>1</v>
      </c>
      <c r="O489" s="165">
        <f t="shared" si="62"/>
        <v>1</v>
      </c>
      <c r="AG489" s="178" t="str">
        <f>IF(E489="","",IFERROR(IF(INDEX('Item Purchases'!$AM$4:$AM$30,MATCH(E489,'Item Purchases'!$B$4:$B$30,0))="","Uncategorised",INDEX('Item Purchases'!$AM$4:$AM$30,MATCH(E489,'Item Purchases'!$B$4:$B$30,0))),"Uncategorised"))</f>
        <v>Snacks</v>
      </c>
      <c r="AH489" s="165">
        <f>IF(AND(E489&lt;&gt;"",L489=1),COUNTIFS($E$2:E489,E489,$L$2:L489,1),0)</f>
        <v>19</v>
      </c>
      <c r="AI489" s="165">
        <f t="shared" si="63"/>
        <v>1</v>
      </c>
      <c r="AJ489" s="165">
        <f t="shared" si="64"/>
        <v>1</v>
      </c>
    </row>
    <row r="490" spans="1:36" x14ac:dyDescent="0.25">
      <c r="A490" s="177">
        <f t="shared" si="66"/>
        <v>46290</v>
      </c>
      <c r="B490" s="178" t="str">
        <f t="shared" si="59"/>
        <v>Fri</v>
      </c>
      <c r="C490" s="178" t="str">
        <f>'Pantry Inventory'!$A$98</f>
        <v>Sep Week 4</v>
      </c>
      <c r="D490" s="178" t="str">
        <f>IF('Pantry Inventory'!A103="","",'Pantry Inventory'!A103)</f>
        <v>Julie's</v>
      </c>
      <c r="E490" s="178" t="str">
        <f>IF('Pantry Inventory'!B103="","",'Pantry Inventory'!B103)</f>
        <v>Julies Choco More Sandwich (44G)</v>
      </c>
      <c r="F490" s="178" t="str">
        <f>IF(E490="","",IFERROR(IF(INDEX('Item Purchases'!$S$4:$S$30,MATCH(E490,'Item Purchases'!$B$4:$B$30,0))="","Uncategorised",INDEX('Item Purchases'!$S$4:$S$30,MATCH(E490,'Item Purchases'!$B$4:$B$30,0))),"Uncategorised"))</f>
        <v>Sweet</v>
      </c>
      <c r="G490" s="178">
        <f>IF(E490="",0,'Pantry Inventory'!M103)</f>
        <v>0</v>
      </c>
      <c r="H490" s="178">
        <f>IF(E490="","",IF('Pantry Inventory'!N103="","",'Pantry Inventory'!N103))</f>
        <v>1</v>
      </c>
      <c r="I490" s="178">
        <f>IF(H490="","",'Pantry Inventory'!O103)</f>
        <v>4</v>
      </c>
      <c r="J490" s="179">
        <f>IF(E490="",0,IFERROR(INDEX('Item Purchases'!$Q$4:$Q$30,MATCH(E490,'Item Purchases'!$B$4:$B$30,0)),0))</f>
        <v>1.2</v>
      </c>
      <c r="K490" s="180">
        <f t="shared" si="60"/>
        <v>4.8</v>
      </c>
      <c r="L490" s="178">
        <f t="shared" si="61"/>
        <v>1</v>
      </c>
      <c r="M490" s="178">
        <f>IF(E490="",0,IF(AND(OR(OR(Dashboard!$E$5="All",Dashboard!$E$5=""),AG490=Dashboard!$E$5),OR(OR(Dashboard!$H$5="All",Dashboard!$H$5=""),F490=Dashboard!$H$5),OR(OR(Dashboard!$B$5="All",Dashboard!$B$5=""),C490=Dashboard!$B$5),OR(OR(Dashboard!$K$5="All",Dashboard!$K$5=""),A490=Dashboard!$K$5),OR(OR(Dashboard!$N$5="All",Dashboard!$N$5=""),B490=Dashboard!$N$5),OR(OR(Dashboard!$Q$5="All",Dashboard!$Q$5=""),D490=Dashboard!$Q$5),OR(OR(Dashboard!$U$5="All",Dashboard!$U$5=""),E490=Dashboard!$U$5)),1,0))</f>
        <v>1</v>
      </c>
      <c r="N490" s="178">
        <f>IF(E490="",0,IF(AND(OR(OR(Dashboard!$E$5="All",Dashboard!$E$5=""),AG490=Dashboard!$E$5),OR(OR(Dashboard!$B$5="All",Dashboard!$B$5=""),C490=Dashboard!$B$5),OR(OR(Dashboard!$K$5="All",Dashboard!$K$5=""),A490=Dashboard!$K$5),OR(OR(Dashboard!$N$5="All",Dashboard!$N$5=""),B490=Dashboard!$N$5),OR(OR(Dashboard!$Q$5="All",Dashboard!$Q$5=""),D490=Dashboard!$Q$5),OR(OR(Dashboard!$U$5="All",Dashboard!$U$5=""),E490=Dashboard!$U$5)),1,0))</f>
        <v>1</v>
      </c>
      <c r="O490" s="165">
        <f t="shared" si="62"/>
        <v>16</v>
      </c>
      <c r="AG490" s="178" t="str">
        <f>IF(E490="","",IFERROR(IF(INDEX('Item Purchases'!$AM$4:$AM$30,MATCH(E490,'Item Purchases'!$B$4:$B$30,0))="","Uncategorised",INDEX('Item Purchases'!$AM$4:$AM$30,MATCH(E490,'Item Purchases'!$B$4:$B$30,0))),"Uncategorised"))</f>
        <v>Snacks</v>
      </c>
      <c r="AH490" s="165">
        <f>IF(AND(E490&lt;&gt;"",L490=1),COUNTIFS($E$2:E490,E490,$L$2:L490,1),0)</f>
        <v>19</v>
      </c>
      <c r="AI490" s="165">
        <f t="shared" si="63"/>
        <v>4</v>
      </c>
      <c r="AJ490" s="165">
        <f t="shared" si="64"/>
        <v>1</v>
      </c>
    </row>
    <row r="491" spans="1:36" x14ac:dyDescent="0.25">
      <c r="A491" s="177">
        <f t="shared" si="66"/>
        <v>46290</v>
      </c>
      <c r="B491" s="178" t="str">
        <f t="shared" si="59"/>
        <v>Fri</v>
      </c>
      <c r="C491" s="178" t="str">
        <f>'Pantry Inventory'!$A$98</f>
        <v>Sep Week 4</v>
      </c>
      <c r="D491" s="178" t="str">
        <f>IF('Pantry Inventory'!A104="","",'Pantry Inventory'!A104)</f>
        <v>Julie's</v>
      </c>
      <c r="E491" s="178" t="str">
        <f>IF('Pantry Inventory'!B104="","",'Pantry Inventory'!B104)</f>
        <v>Julies Cheese Sandwich (28G)</v>
      </c>
      <c r="F491" s="178" t="str">
        <f>IF(E491="","",IFERROR(IF(INDEX('Item Purchases'!$S$4:$S$30,MATCH(E491,'Item Purchases'!$B$4:$B$30,0))="","Uncategorised",INDEX('Item Purchases'!$S$4:$S$30,MATCH(E491,'Item Purchases'!$B$4:$B$30,0))),"Uncategorised"))</f>
        <v>Savoury</v>
      </c>
      <c r="G491" s="178">
        <f>IF(E491="",0,'Pantry Inventory'!M104)</f>
        <v>0</v>
      </c>
      <c r="H491" s="178">
        <f>IF(E491="","",IF('Pantry Inventory'!N104="","",'Pantry Inventory'!N104))</f>
        <v>0</v>
      </c>
      <c r="I491" s="178">
        <f>IF(H491="","",'Pantry Inventory'!O104)</f>
        <v>0</v>
      </c>
      <c r="J491" s="179">
        <f>IF(E491="",0,IFERROR(INDEX('Item Purchases'!$Q$4:$Q$30,MATCH(E491,'Item Purchases'!$B$4:$B$30,0)),0))</f>
        <v>1.1000000000000001</v>
      </c>
      <c r="K491" s="180">
        <f t="shared" si="60"/>
        <v>0</v>
      </c>
      <c r="L491" s="178">
        <f t="shared" si="61"/>
        <v>1</v>
      </c>
      <c r="M491" s="178">
        <f>IF(E491="",0,IF(AND(OR(OR(Dashboard!$E$5="All",Dashboard!$E$5=""),AG491=Dashboard!$E$5),OR(OR(Dashboard!$H$5="All",Dashboard!$H$5=""),F491=Dashboard!$H$5),OR(OR(Dashboard!$B$5="All",Dashboard!$B$5=""),C491=Dashboard!$B$5),OR(OR(Dashboard!$K$5="All",Dashboard!$K$5=""),A491=Dashboard!$K$5),OR(OR(Dashboard!$N$5="All",Dashboard!$N$5=""),B491=Dashboard!$N$5),OR(OR(Dashboard!$Q$5="All",Dashboard!$Q$5=""),D491=Dashboard!$Q$5),OR(OR(Dashboard!$U$5="All",Dashboard!$U$5=""),E491=Dashboard!$U$5)),1,0))</f>
        <v>1</v>
      </c>
      <c r="N491" s="178">
        <f>IF(E491="",0,IF(AND(OR(OR(Dashboard!$E$5="All",Dashboard!$E$5=""),AG491=Dashboard!$E$5),OR(OR(Dashboard!$B$5="All",Dashboard!$B$5=""),C491=Dashboard!$B$5),OR(OR(Dashboard!$K$5="All",Dashboard!$K$5=""),A491=Dashboard!$K$5),OR(OR(Dashboard!$N$5="All",Dashboard!$N$5=""),B491=Dashboard!$N$5),OR(OR(Dashboard!$Q$5="All",Dashboard!$Q$5=""),D491=Dashboard!$Q$5),OR(OR(Dashboard!$U$5="All",Dashboard!$U$5=""),E491=Dashboard!$U$5)),1,0))</f>
        <v>1</v>
      </c>
      <c r="O491" s="165">
        <f t="shared" si="62"/>
        <v>0</v>
      </c>
      <c r="AG491" s="178" t="str">
        <f>IF(E491="","",IFERROR(IF(INDEX('Item Purchases'!$AM$4:$AM$30,MATCH(E491,'Item Purchases'!$B$4:$B$30,0))="","Uncategorised",INDEX('Item Purchases'!$AM$4:$AM$30,MATCH(E491,'Item Purchases'!$B$4:$B$30,0))),"Uncategorised"))</f>
        <v>Snacks</v>
      </c>
      <c r="AH491" s="165">
        <f>IF(AND(E491&lt;&gt;"",L491=1),COUNTIFS($E$2:E491,E491,$L$2:L491,1),0)</f>
        <v>19</v>
      </c>
      <c r="AI491" s="165">
        <f t="shared" si="63"/>
        <v>0</v>
      </c>
      <c r="AJ491" s="165">
        <f t="shared" si="64"/>
        <v>0</v>
      </c>
    </row>
    <row r="492" spans="1:36" x14ac:dyDescent="0.25">
      <c r="A492" s="177">
        <f t="shared" si="66"/>
        <v>46290</v>
      </c>
      <c r="B492" s="178" t="str">
        <f t="shared" si="59"/>
        <v>Fri</v>
      </c>
      <c r="C492" s="178" t="str">
        <f>'Pantry Inventory'!$A$98</f>
        <v>Sep Week 4</v>
      </c>
      <c r="D492" s="178" t="str">
        <f>IF('Pantry Inventory'!A105="","",'Pantry Inventory'!A105)</f>
        <v>Nature Valley</v>
      </c>
      <c r="E492" s="178" t="str">
        <f>IF('Pantry Inventory'!B105="","",'Pantry Inventory'!B105)</f>
        <v>NV OATS &amp; DARK CHOC 42GX5</v>
      </c>
      <c r="F492" s="178" t="str">
        <f>IF(E492="","",IFERROR(IF(INDEX('Item Purchases'!$S$4:$S$30,MATCH(E492,'Item Purchases'!$B$4:$B$30,0))="","Uncategorised",INDEX('Item Purchases'!$S$4:$S$30,MATCH(E492,'Item Purchases'!$B$4:$B$30,0))),"Uncategorised"))</f>
        <v>Sweet</v>
      </c>
      <c r="G492" s="178">
        <f>IF(E492="",0,'Pantry Inventory'!M105)</f>
        <v>0</v>
      </c>
      <c r="H492" s="178">
        <f>IF(E492="","",IF('Pantry Inventory'!N105="","",'Pantry Inventory'!N105))</f>
        <v>0</v>
      </c>
      <c r="I492" s="178">
        <f>IF(H492="","",'Pantry Inventory'!O105)</f>
        <v>0</v>
      </c>
      <c r="J492" s="179">
        <f>IF(E492="",0,IFERROR(INDEX('Item Purchases'!$Q$4:$Q$30,MATCH(E492,'Item Purchases'!$B$4:$B$30,0)),0))</f>
        <v>2.78</v>
      </c>
      <c r="K492" s="180">
        <f t="shared" si="60"/>
        <v>0</v>
      </c>
      <c r="L492" s="178">
        <f t="shared" si="61"/>
        <v>1</v>
      </c>
      <c r="M492" s="178">
        <f>IF(E492="",0,IF(AND(OR(OR(Dashboard!$E$5="All",Dashboard!$E$5=""),AG492=Dashboard!$E$5),OR(OR(Dashboard!$H$5="All",Dashboard!$H$5=""),F492=Dashboard!$H$5),OR(OR(Dashboard!$B$5="All",Dashboard!$B$5=""),C492=Dashboard!$B$5),OR(OR(Dashboard!$K$5="All",Dashboard!$K$5=""),A492=Dashboard!$K$5),OR(OR(Dashboard!$N$5="All",Dashboard!$N$5=""),B492=Dashboard!$N$5),OR(OR(Dashboard!$Q$5="All",Dashboard!$Q$5=""),D492=Dashboard!$Q$5),OR(OR(Dashboard!$U$5="All",Dashboard!$U$5=""),E492=Dashboard!$U$5)),1,0))</f>
        <v>1</v>
      </c>
      <c r="N492" s="178">
        <f>IF(E492="",0,IF(AND(OR(OR(Dashboard!$E$5="All",Dashboard!$E$5=""),AG492=Dashboard!$E$5),OR(OR(Dashboard!$B$5="All",Dashboard!$B$5=""),C492=Dashboard!$B$5),OR(OR(Dashboard!$K$5="All",Dashboard!$K$5=""),A492=Dashboard!$K$5),OR(OR(Dashboard!$N$5="All",Dashboard!$N$5=""),B492=Dashboard!$N$5),OR(OR(Dashboard!$Q$5="All",Dashboard!$Q$5=""),D492=Dashboard!$Q$5),OR(OR(Dashboard!$U$5="All",Dashboard!$U$5=""),E492=Dashboard!$U$5)),1,0))</f>
        <v>1</v>
      </c>
      <c r="O492" s="165">
        <f t="shared" si="62"/>
        <v>0</v>
      </c>
      <c r="AG492" s="178" t="str">
        <f>IF(E492="","",IFERROR(IF(INDEX('Item Purchases'!$AM$4:$AM$30,MATCH(E492,'Item Purchases'!$B$4:$B$30,0))="","Uncategorised",INDEX('Item Purchases'!$AM$4:$AM$30,MATCH(E492,'Item Purchases'!$B$4:$B$30,0))),"Uncategorised"))</f>
        <v>Snacks</v>
      </c>
      <c r="AH492" s="165">
        <f>IF(AND(E492&lt;&gt;"",L492=1),COUNTIFS($E$2:E492,E492,$L$2:L492,1),0)</f>
        <v>19</v>
      </c>
      <c r="AI492" s="165">
        <f t="shared" si="63"/>
        <v>0</v>
      </c>
      <c r="AJ492" s="165">
        <f t="shared" si="64"/>
        <v>0</v>
      </c>
    </row>
    <row r="493" spans="1:36" x14ac:dyDescent="0.25">
      <c r="A493" s="177">
        <f t="shared" si="66"/>
        <v>46290</v>
      </c>
      <c r="B493" s="178" t="str">
        <f t="shared" si="59"/>
        <v>Fri</v>
      </c>
      <c r="C493" s="178" t="str">
        <f>'Pantry Inventory'!$A$98</f>
        <v>Sep Week 4</v>
      </c>
      <c r="D493" s="178" t="str">
        <f>IF('Pantry Inventory'!A106="","",'Pantry Inventory'!A106)</f>
        <v>Nature Valley</v>
      </c>
      <c r="E493" s="178" t="str">
        <f>IF('Pantry Inventory'!B106="","",'Pantry Inventory'!B106)</f>
        <v xml:space="preserve">NV PROTEIN - SALTED CARAMEL 40G </v>
      </c>
      <c r="F493" s="178" t="str">
        <f>IF(E493="","",IFERROR(IF(INDEX('Item Purchases'!$S$4:$S$30,MATCH(E493,'Item Purchases'!$B$4:$B$30,0))="","Uncategorised",INDEX('Item Purchases'!$S$4:$S$30,MATCH(E493,'Item Purchases'!$B$4:$B$30,0))),"Uncategorised"))</f>
        <v>Sweet</v>
      </c>
      <c r="G493" s="178">
        <f>IF(E493="",0,'Pantry Inventory'!M106)</f>
        <v>0</v>
      </c>
      <c r="H493" s="178">
        <f>IF(E493="","",IF('Pantry Inventory'!N106="","",'Pantry Inventory'!N106))</f>
        <v>0</v>
      </c>
      <c r="I493" s="178">
        <f>IF(H493="","",'Pantry Inventory'!O106)</f>
        <v>0</v>
      </c>
      <c r="J493" s="179">
        <f>IF(E493="",0,IFERROR(INDEX('Item Purchases'!$Q$4:$Q$30,MATCH(E493,'Item Purchases'!$B$4:$B$30,0)),0))</f>
        <v>4.9000000000000004</v>
      </c>
      <c r="K493" s="180">
        <f t="shared" si="60"/>
        <v>0</v>
      </c>
      <c r="L493" s="178">
        <f t="shared" si="61"/>
        <v>1</v>
      </c>
      <c r="M493" s="178">
        <f>IF(E493="",0,IF(AND(OR(OR(Dashboard!$E$5="All",Dashboard!$E$5=""),AG493=Dashboard!$E$5),OR(OR(Dashboard!$H$5="All",Dashboard!$H$5=""),F493=Dashboard!$H$5),OR(OR(Dashboard!$B$5="All",Dashboard!$B$5=""),C493=Dashboard!$B$5),OR(OR(Dashboard!$K$5="All",Dashboard!$K$5=""),A493=Dashboard!$K$5),OR(OR(Dashboard!$N$5="All",Dashboard!$N$5=""),B493=Dashboard!$N$5),OR(OR(Dashboard!$Q$5="All",Dashboard!$Q$5=""),D493=Dashboard!$Q$5),OR(OR(Dashboard!$U$5="All",Dashboard!$U$5=""),E493=Dashboard!$U$5)),1,0))</f>
        <v>1</v>
      </c>
      <c r="N493" s="178">
        <f>IF(E493="",0,IF(AND(OR(OR(Dashboard!$E$5="All",Dashboard!$E$5=""),AG493=Dashboard!$E$5),OR(OR(Dashboard!$B$5="All",Dashboard!$B$5=""),C493=Dashboard!$B$5),OR(OR(Dashboard!$K$5="All",Dashboard!$K$5=""),A493=Dashboard!$K$5),OR(OR(Dashboard!$N$5="All",Dashboard!$N$5=""),B493=Dashboard!$N$5),OR(OR(Dashboard!$Q$5="All",Dashboard!$Q$5=""),D493=Dashboard!$Q$5),OR(OR(Dashboard!$U$5="All",Dashboard!$U$5=""),E493=Dashboard!$U$5)),1,0))</f>
        <v>1</v>
      </c>
      <c r="O493" s="165">
        <f t="shared" si="62"/>
        <v>0</v>
      </c>
      <c r="AG493" s="178" t="str">
        <f>IF(E493="","",IFERROR(IF(INDEX('Item Purchases'!$AM$4:$AM$30,MATCH(E493,'Item Purchases'!$B$4:$B$30,0))="","Uncategorised",INDEX('Item Purchases'!$AM$4:$AM$30,MATCH(E493,'Item Purchases'!$B$4:$B$30,0))),"Uncategorised"))</f>
        <v>Snacks</v>
      </c>
      <c r="AH493" s="165">
        <f>IF(AND(E493&lt;&gt;"",L493=1),COUNTIFS($E$2:E493,E493,$L$2:L493,1),0)</f>
        <v>19</v>
      </c>
      <c r="AI493" s="165">
        <f t="shared" si="63"/>
        <v>0</v>
      </c>
      <c r="AJ493" s="165">
        <f t="shared" si="64"/>
        <v>0</v>
      </c>
    </row>
    <row r="494" spans="1:36" x14ac:dyDescent="0.25">
      <c r="A494" s="177">
        <f t="shared" si="66"/>
        <v>46290</v>
      </c>
      <c r="B494" s="178" t="str">
        <f t="shared" si="59"/>
        <v>Fri</v>
      </c>
      <c r="C494" s="178" t="str">
        <f>'Pantry Inventory'!$A$98</f>
        <v>Sep Week 4</v>
      </c>
      <c r="D494" s="178" t="str">
        <f>IF('Pantry Inventory'!A107="","",'Pantry Inventory'!A107)</f>
        <v>BBMG</v>
      </c>
      <c r="E494" s="178" t="str">
        <f>IF('Pantry Inventory'!B107="","",'Pantry Inventory'!B107)</f>
        <v>BBMG 90G</v>
      </c>
      <c r="F494" s="178" t="str">
        <f>IF(E494="","",IFERROR(IF(INDEX('Item Purchases'!$S$4:$S$30,MATCH(E494,'Item Purchases'!$B$4:$B$30,0))="","Uncategorised",INDEX('Item Purchases'!$S$4:$S$30,MATCH(E494,'Item Purchases'!$B$4:$B$30,0))),"Uncategorised"))</f>
        <v>Savoury</v>
      </c>
      <c r="G494" s="178">
        <f>IF(E494="",0,'Pantry Inventory'!M107)</f>
        <v>0</v>
      </c>
      <c r="H494" s="178">
        <f>IF(E494="","",IF('Pantry Inventory'!N107="","",'Pantry Inventory'!N107))</f>
        <v>44</v>
      </c>
      <c r="I494" s="178">
        <f>IF(H494="","",'Pantry Inventory'!O107)</f>
        <v>40</v>
      </c>
      <c r="J494" s="179">
        <f>IF(E494="",0,IFERROR(INDEX('Item Purchases'!$Q$4:$Q$30,MATCH(E494,'Item Purchases'!$B$4:$B$30,0)),0))</f>
        <v>0.34300000000000003</v>
      </c>
      <c r="K494" s="180">
        <f t="shared" si="60"/>
        <v>13.72</v>
      </c>
      <c r="L494" s="178">
        <f t="shared" si="61"/>
        <v>1</v>
      </c>
      <c r="M494" s="178">
        <f>IF(E494="",0,IF(AND(OR(OR(Dashboard!$E$5="All",Dashboard!$E$5=""),AG494=Dashboard!$E$5),OR(OR(Dashboard!$H$5="All",Dashboard!$H$5=""),F494=Dashboard!$H$5),OR(OR(Dashboard!$B$5="All",Dashboard!$B$5=""),C494=Dashboard!$B$5),OR(OR(Dashboard!$K$5="All",Dashboard!$K$5=""),A494=Dashboard!$K$5),OR(OR(Dashboard!$N$5="All",Dashboard!$N$5=""),B494=Dashboard!$N$5),OR(OR(Dashboard!$Q$5="All",Dashboard!$Q$5=""),D494=Dashboard!$Q$5),OR(OR(Dashboard!$U$5="All",Dashboard!$U$5=""),E494=Dashboard!$U$5)),1,0))</f>
        <v>1</v>
      </c>
      <c r="N494" s="178">
        <f>IF(E494="",0,IF(AND(OR(OR(Dashboard!$E$5="All",Dashboard!$E$5=""),AG494=Dashboard!$E$5),OR(OR(Dashboard!$B$5="All",Dashboard!$B$5=""),C494=Dashboard!$B$5),OR(OR(Dashboard!$K$5="All",Dashboard!$K$5=""),A494=Dashboard!$K$5),OR(OR(Dashboard!$N$5="All",Dashboard!$N$5=""),B494=Dashboard!$N$5),OR(OR(Dashboard!$Q$5="All",Dashboard!$Q$5=""),D494=Dashboard!$Q$5),OR(OR(Dashboard!$U$5="All",Dashboard!$U$5=""),E494=Dashboard!$U$5)),1,0))</f>
        <v>1</v>
      </c>
      <c r="O494" s="165">
        <f t="shared" si="62"/>
        <v>1600</v>
      </c>
      <c r="AG494" s="178" t="str">
        <f>IF(E494="","",IFERROR(IF(INDEX('Item Purchases'!$AM$4:$AM$30,MATCH(E494,'Item Purchases'!$B$4:$B$30,0))="","Uncategorised",INDEX('Item Purchases'!$AM$4:$AM$30,MATCH(E494,'Item Purchases'!$B$4:$B$30,0))),"Uncategorised"))</f>
        <v>Snacks</v>
      </c>
      <c r="AH494" s="165">
        <f>IF(AND(E494&lt;&gt;"",L494=1),COUNTIFS($E$2:E494,E494,$L$2:L494,1),0)</f>
        <v>19</v>
      </c>
      <c r="AI494" s="165">
        <f t="shared" si="63"/>
        <v>40</v>
      </c>
      <c r="AJ494" s="165">
        <f t="shared" si="64"/>
        <v>1</v>
      </c>
    </row>
    <row r="495" spans="1:36" x14ac:dyDescent="0.25">
      <c r="A495" s="177">
        <f t="shared" si="66"/>
        <v>46290</v>
      </c>
      <c r="B495" s="178" t="str">
        <f t="shared" si="59"/>
        <v>Fri</v>
      </c>
      <c r="C495" s="178" t="str">
        <f>'Pantry Inventory'!$A$98</f>
        <v>Sep Week 4</v>
      </c>
      <c r="D495" s="178" t="str">
        <f>IF('Pantry Inventory'!A108="","",'Pantry Inventory'!A108)</f>
        <v>Lays</v>
      </c>
      <c r="E495" s="178" t="str">
        <f>IF('Pantry Inventory'!B108="","",'Pantry Inventory'!B108)</f>
        <v>Lays Potato Chips (Original) 50g</v>
      </c>
      <c r="F495" s="178" t="str">
        <f>IF(E495="","",IFERROR(IF(INDEX('Item Purchases'!$S$4:$S$30,MATCH(E495,'Item Purchases'!$B$4:$B$30,0))="","Uncategorised",INDEX('Item Purchases'!$S$4:$S$30,MATCH(E495,'Item Purchases'!$B$4:$B$30,0))),"Uncategorised"))</f>
        <v>Savoury</v>
      </c>
      <c r="G495" s="178">
        <f>IF(E495="",0,'Pantry Inventory'!M108)</f>
        <v>0</v>
      </c>
      <c r="H495" s="178">
        <f>IF(E495="","",IF('Pantry Inventory'!N108="","",'Pantry Inventory'!N108))</f>
        <v>13</v>
      </c>
      <c r="I495" s="178">
        <f>IF(H495="","",'Pantry Inventory'!O108)</f>
        <v>4</v>
      </c>
      <c r="J495" s="179">
        <f>IF(E495="",0,IFERROR(INDEX('Item Purchases'!$Q$4:$Q$30,MATCH(E495,'Item Purchases'!$B$4:$B$30,0)),0))</f>
        <v>3.4580000000000002</v>
      </c>
      <c r="K495" s="180">
        <f t="shared" si="60"/>
        <v>13.832000000000001</v>
      </c>
      <c r="L495" s="178">
        <f t="shared" si="61"/>
        <v>1</v>
      </c>
      <c r="M495" s="178">
        <f>IF(E495="",0,IF(AND(OR(OR(Dashboard!$E$5="All",Dashboard!$E$5=""),AG495=Dashboard!$E$5),OR(OR(Dashboard!$H$5="All",Dashboard!$H$5=""),F495=Dashboard!$H$5),OR(OR(Dashboard!$B$5="All",Dashboard!$B$5=""),C495=Dashboard!$B$5),OR(OR(Dashboard!$K$5="All",Dashboard!$K$5=""),A495=Dashboard!$K$5),OR(OR(Dashboard!$N$5="All",Dashboard!$N$5=""),B495=Dashboard!$N$5),OR(OR(Dashboard!$Q$5="All",Dashboard!$Q$5=""),D495=Dashboard!$Q$5),OR(OR(Dashboard!$U$5="All",Dashboard!$U$5=""),E495=Dashboard!$U$5)),1,0))</f>
        <v>1</v>
      </c>
      <c r="N495" s="178">
        <f>IF(E495="",0,IF(AND(OR(OR(Dashboard!$E$5="All",Dashboard!$E$5=""),AG495=Dashboard!$E$5),OR(OR(Dashboard!$B$5="All",Dashboard!$B$5=""),C495=Dashboard!$B$5),OR(OR(Dashboard!$K$5="All",Dashboard!$K$5=""),A495=Dashboard!$K$5),OR(OR(Dashboard!$N$5="All",Dashboard!$N$5=""),B495=Dashboard!$N$5),OR(OR(Dashboard!$Q$5="All",Dashboard!$Q$5=""),D495=Dashboard!$Q$5),OR(OR(Dashboard!$U$5="All",Dashboard!$U$5=""),E495=Dashboard!$U$5)),1,0))</f>
        <v>1</v>
      </c>
      <c r="O495" s="165">
        <f t="shared" si="62"/>
        <v>16</v>
      </c>
      <c r="AG495" s="178" t="str">
        <f>IF(E495="","",IFERROR(IF(INDEX('Item Purchases'!$AM$4:$AM$30,MATCH(E495,'Item Purchases'!$B$4:$B$30,0))="","Uncategorised",INDEX('Item Purchases'!$AM$4:$AM$30,MATCH(E495,'Item Purchases'!$B$4:$B$30,0))),"Uncategorised"))</f>
        <v>Snacks</v>
      </c>
      <c r="AH495" s="165">
        <f>IF(AND(E495&lt;&gt;"",L495=1),COUNTIFS($E$2:E495,E495,$L$2:L495,1),0)</f>
        <v>19</v>
      </c>
      <c r="AI495" s="165">
        <f t="shared" si="63"/>
        <v>4</v>
      </c>
      <c r="AJ495" s="165">
        <f t="shared" si="64"/>
        <v>1</v>
      </c>
    </row>
    <row r="496" spans="1:36" x14ac:dyDescent="0.25">
      <c r="A496" s="177">
        <f t="shared" si="66"/>
        <v>46290</v>
      </c>
      <c r="B496" s="178" t="str">
        <f t="shared" si="59"/>
        <v>Fri</v>
      </c>
      <c r="C496" s="178" t="str">
        <f>'Pantry Inventory'!$A$98</f>
        <v>Sep Week 4</v>
      </c>
      <c r="D496" s="178" t="str">
        <f>IF('Pantry Inventory'!A109="","",'Pantry Inventory'!A109)</f>
        <v>Lays</v>
      </c>
      <c r="E496" s="178" t="str">
        <f>IF('Pantry Inventory'!B109="","",'Pantry Inventory'!B109)</f>
        <v xml:space="preserve">Lays Double Crunch - Seaweed Flav (50g) </v>
      </c>
      <c r="F496" s="178" t="str">
        <f>IF(E496="","",IFERROR(IF(INDEX('Item Purchases'!$S$4:$S$30,MATCH(E496,'Item Purchases'!$B$4:$B$30,0))="","Uncategorised",INDEX('Item Purchases'!$S$4:$S$30,MATCH(E496,'Item Purchases'!$B$4:$B$30,0))),"Uncategorised"))</f>
        <v>Savoury</v>
      </c>
      <c r="G496" s="178">
        <f>IF(E496="",0,'Pantry Inventory'!M109)</f>
        <v>25</v>
      </c>
      <c r="H496" s="178">
        <f>IF(E496="","",IF('Pantry Inventory'!N109="","",'Pantry Inventory'!N109))</f>
        <v>35</v>
      </c>
      <c r="I496" s="178">
        <f>IF(H496="","",'Pantry Inventory'!O109)</f>
        <v>13</v>
      </c>
      <c r="J496" s="179">
        <f>IF(E496="",0,IFERROR(INDEX('Item Purchases'!$Q$4:$Q$30,MATCH(E496,'Item Purchases'!$B$4:$B$30,0)),0))</f>
        <v>4</v>
      </c>
      <c r="K496" s="180">
        <f t="shared" si="60"/>
        <v>52</v>
      </c>
      <c r="L496" s="178">
        <f t="shared" si="61"/>
        <v>1</v>
      </c>
      <c r="M496" s="178">
        <f>IF(E496="",0,IF(AND(OR(OR(Dashboard!$E$5="All",Dashboard!$E$5=""),AG496=Dashboard!$E$5),OR(OR(Dashboard!$H$5="All",Dashboard!$H$5=""),F496=Dashboard!$H$5),OR(OR(Dashboard!$B$5="All",Dashboard!$B$5=""),C496=Dashboard!$B$5),OR(OR(Dashboard!$K$5="All",Dashboard!$K$5=""),A496=Dashboard!$K$5),OR(OR(Dashboard!$N$5="All",Dashboard!$N$5=""),B496=Dashboard!$N$5),OR(OR(Dashboard!$Q$5="All",Dashboard!$Q$5=""),D496=Dashboard!$Q$5),OR(OR(Dashboard!$U$5="All",Dashboard!$U$5=""),E496=Dashboard!$U$5)),1,0))</f>
        <v>1</v>
      </c>
      <c r="N496" s="178">
        <f>IF(E496="",0,IF(AND(OR(OR(Dashboard!$E$5="All",Dashboard!$E$5=""),AG496=Dashboard!$E$5),OR(OR(Dashboard!$B$5="All",Dashboard!$B$5=""),C496=Dashboard!$B$5),OR(OR(Dashboard!$K$5="All",Dashboard!$K$5=""),A496=Dashboard!$K$5),OR(OR(Dashboard!$N$5="All",Dashboard!$N$5=""),B496=Dashboard!$N$5),OR(OR(Dashboard!$Q$5="All",Dashboard!$Q$5=""),D496=Dashboard!$Q$5),OR(OR(Dashboard!$U$5="All",Dashboard!$U$5=""),E496=Dashboard!$U$5)),1,0))</f>
        <v>1</v>
      </c>
      <c r="O496" s="165">
        <f t="shared" si="62"/>
        <v>169</v>
      </c>
      <c r="AG496" s="178" t="str">
        <f>IF(E496="","",IFERROR(IF(INDEX('Item Purchases'!$AM$4:$AM$30,MATCH(E496,'Item Purchases'!$B$4:$B$30,0))="","Uncategorised",INDEX('Item Purchases'!$AM$4:$AM$30,MATCH(E496,'Item Purchases'!$B$4:$B$30,0))),"Uncategorised"))</f>
        <v>Snacks</v>
      </c>
      <c r="AH496" s="165">
        <f>IF(AND(E496&lt;&gt;"",L496=1),COUNTIFS($E$2:E496,E496,$L$2:L496,1),0)</f>
        <v>19</v>
      </c>
      <c r="AI496" s="165">
        <f t="shared" si="63"/>
        <v>13</v>
      </c>
      <c r="AJ496" s="165">
        <f t="shared" si="64"/>
        <v>1</v>
      </c>
    </row>
    <row r="497" spans="1:36" x14ac:dyDescent="0.25">
      <c r="A497" s="177">
        <f t="shared" si="66"/>
        <v>46290</v>
      </c>
      <c r="B497" s="178" t="str">
        <f t="shared" si="59"/>
        <v>Fri</v>
      </c>
      <c r="C497" s="178" t="str">
        <f>'Pantry Inventory'!$A$98</f>
        <v>Sep Week 4</v>
      </c>
      <c r="D497" s="178" t="str">
        <f>IF('Pantry Inventory'!A110="","",'Pantry Inventory'!A110)</f>
        <v>Munchy</v>
      </c>
      <c r="E497" s="178" t="str">
        <f>IF('Pantry Inventory'!B110="","",'Pantry Inventory'!B110)</f>
        <v>Munchy Oat Krunch - Dark Choco</v>
      </c>
      <c r="F497" s="178" t="str">
        <f>IF(E497="","",IFERROR(IF(INDEX('Item Purchases'!$S$4:$S$30,MATCH(E497,'Item Purchases'!$B$4:$B$30,0))="","Uncategorised",INDEX('Item Purchases'!$S$4:$S$30,MATCH(E497,'Item Purchases'!$B$4:$B$30,0))),"Uncategorised"))</f>
        <v>Sweet</v>
      </c>
      <c r="G497" s="178">
        <f>IF(E497="",0,'Pantry Inventory'!M110)</f>
        <v>30</v>
      </c>
      <c r="H497" s="178">
        <f>IF(E497="","",IF('Pantry Inventory'!N110="","",'Pantry Inventory'!N110))</f>
        <v>30</v>
      </c>
      <c r="I497" s="178">
        <f>IF(H497="","",'Pantry Inventory'!O110)</f>
        <v>8</v>
      </c>
      <c r="J497" s="179">
        <f>IF(E497="",0,IFERROR(INDEX('Item Purchases'!$Q$4:$Q$30,MATCH(E497,'Item Purchases'!$B$4:$B$30,0)),0))</f>
        <v>0.73</v>
      </c>
      <c r="K497" s="180">
        <f t="shared" si="60"/>
        <v>5.84</v>
      </c>
      <c r="L497" s="178">
        <f t="shared" si="61"/>
        <v>1</v>
      </c>
      <c r="M497" s="178">
        <f>IF(E497="",0,IF(AND(OR(OR(Dashboard!$E$5="All",Dashboard!$E$5=""),AG497=Dashboard!$E$5),OR(OR(Dashboard!$H$5="All",Dashboard!$H$5=""),F497=Dashboard!$H$5),OR(OR(Dashboard!$B$5="All",Dashboard!$B$5=""),C497=Dashboard!$B$5),OR(OR(Dashboard!$K$5="All",Dashboard!$K$5=""),A497=Dashboard!$K$5),OR(OR(Dashboard!$N$5="All",Dashboard!$N$5=""),B497=Dashboard!$N$5),OR(OR(Dashboard!$Q$5="All",Dashboard!$Q$5=""),D497=Dashboard!$Q$5),OR(OR(Dashboard!$U$5="All",Dashboard!$U$5=""),E497=Dashboard!$U$5)),1,0))</f>
        <v>1</v>
      </c>
      <c r="N497" s="178">
        <f>IF(E497="",0,IF(AND(OR(OR(Dashboard!$E$5="All",Dashboard!$E$5=""),AG497=Dashboard!$E$5),OR(OR(Dashboard!$B$5="All",Dashboard!$B$5=""),C497=Dashboard!$B$5),OR(OR(Dashboard!$K$5="All",Dashboard!$K$5=""),A497=Dashboard!$K$5),OR(OR(Dashboard!$N$5="All",Dashboard!$N$5=""),B497=Dashboard!$N$5),OR(OR(Dashboard!$Q$5="All",Dashboard!$Q$5=""),D497=Dashboard!$Q$5),OR(OR(Dashboard!$U$5="All",Dashboard!$U$5=""),E497=Dashboard!$U$5)),1,0))</f>
        <v>1</v>
      </c>
      <c r="O497" s="165">
        <f t="shared" si="62"/>
        <v>64</v>
      </c>
      <c r="AG497" s="178" t="str">
        <f>IF(E497="","",IFERROR(IF(INDEX('Item Purchases'!$AM$4:$AM$30,MATCH(E497,'Item Purchases'!$B$4:$B$30,0))="","Uncategorised",INDEX('Item Purchases'!$AM$4:$AM$30,MATCH(E497,'Item Purchases'!$B$4:$B$30,0))),"Uncategorised"))</f>
        <v>Snacks</v>
      </c>
      <c r="AH497" s="165">
        <f>IF(AND(E497&lt;&gt;"",L497=1),COUNTIFS($E$2:E497,E497,$L$2:L497,1),0)</f>
        <v>19</v>
      </c>
      <c r="AI497" s="165">
        <f t="shared" si="63"/>
        <v>8</v>
      </c>
      <c r="AJ497" s="165">
        <f t="shared" si="64"/>
        <v>1</v>
      </c>
    </row>
    <row r="498" spans="1:36" x14ac:dyDescent="0.25">
      <c r="A498" s="177">
        <f t="shared" si="66"/>
        <v>46290</v>
      </c>
      <c r="B498" s="178" t="str">
        <f t="shared" si="59"/>
        <v>Fri</v>
      </c>
      <c r="C498" s="178" t="str">
        <f>'Pantry Inventory'!$A$98</f>
        <v>Sep Week 4</v>
      </c>
      <c r="D498" s="178" t="str">
        <f>IF('Pantry Inventory'!A111="","",'Pantry Inventory'!A111)</f>
        <v>Munchy</v>
      </c>
      <c r="E498" s="178" t="str">
        <f>IF('Pantry Inventory'!B111="","",'Pantry Inventory'!B111)</f>
        <v>Munchy Oat Krunch - Strawberry &amp; Blackcurrant</v>
      </c>
      <c r="F498" s="178" t="str">
        <f>IF(E498="","",IFERROR(IF(INDEX('Item Purchases'!$S$4:$S$30,MATCH(E498,'Item Purchases'!$B$4:$B$30,0))="","Uncategorised",INDEX('Item Purchases'!$S$4:$S$30,MATCH(E498,'Item Purchases'!$B$4:$B$30,0))),"Uncategorised"))</f>
        <v>Sweet</v>
      </c>
      <c r="G498" s="178">
        <f>IF(E498="",0,'Pantry Inventory'!M111)</f>
        <v>30</v>
      </c>
      <c r="H498" s="178">
        <f>IF(E498="","",IF('Pantry Inventory'!N111="","",'Pantry Inventory'!N111))</f>
        <v>43</v>
      </c>
      <c r="I498" s="178">
        <f>IF(H498="","",'Pantry Inventory'!O111)</f>
        <v>8</v>
      </c>
      <c r="J498" s="179">
        <f>IF(E498="",0,IFERROR(INDEX('Item Purchases'!$Q$4:$Q$30,MATCH(E498,'Item Purchases'!$B$4:$B$30,0)),0))</f>
        <v>0.73</v>
      </c>
      <c r="K498" s="180">
        <f t="shared" si="60"/>
        <v>5.84</v>
      </c>
      <c r="L498" s="178">
        <f t="shared" si="61"/>
        <v>1</v>
      </c>
      <c r="M498" s="178">
        <f>IF(E498="",0,IF(AND(OR(OR(Dashboard!$E$5="All",Dashboard!$E$5=""),AG498=Dashboard!$E$5),OR(OR(Dashboard!$H$5="All",Dashboard!$H$5=""),F498=Dashboard!$H$5),OR(OR(Dashboard!$B$5="All",Dashboard!$B$5=""),C498=Dashboard!$B$5),OR(OR(Dashboard!$K$5="All",Dashboard!$K$5=""),A498=Dashboard!$K$5),OR(OR(Dashboard!$N$5="All",Dashboard!$N$5=""),B498=Dashboard!$N$5),OR(OR(Dashboard!$Q$5="All",Dashboard!$Q$5=""),D498=Dashboard!$Q$5),OR(OR(Dashboard!$U$5="All",Dashboard!$U$5=""),E498=Dashboard!$U$5)),1,0))</f>
        <v>1</v>
      </c>
      <c r="N498" s="178">
        <f>IF(E498="",0,IF(AND(OR(OR(Dashboard!$E$5="All",Dashboard!$E$5=""),AG498=Dashboard!$E$5),OR(OR(Dashboard!$B$5="All",Dashboard!$B$5=""),C498=Dashboard!$B$5),OR(OR(Dashboard!$K$5="All",Dashboard!$K$5=""),A498=Dashboard!$K$5),OR(OR(Dashboard!$N$5="All",Dashboard!$N$5=""),B498=Dashboard!$N$5),OR(OR(Dashboard!$Q$5="All",Dashboard!$Q$5=""),D498=Dashboard!$Q$5),OR(OR(Dashboard!$U$5="All",Dashboard!$U$5=""),E498=Dashboard!$U$5)),1,0))</f>
        <v>1</v>
      </c>
      <c r="O498" s="165">
        <f t="shared" si="62"/>
        <v>64</v>
      </c>
      <c r="AG498" s="178" t="str">
        <f>IF(E498="","",IFERROR(IF(INDEX('Item Purchases'!$AM$4:$AM$30,MATCH(E498,'Item Purchases'!$B$4:$B$30,0))="","Uncategorised",INDEX('Item Purchases'!$AM$4:$AM$30,MATCH(E498,'Item Purchases'!$B$4:$B$30,0))),"Uncategorised"))</f>
        <v>Snacks</v>
      </c>
      <c r="AH498" s="165">
        <f>IF(AND(E498&lt;&gt;"",L498=1),COUNTIFS($E$2:E498,E498,$L$2:L498,1),0)</f>
        <v>19</v>
      </c>
      <c r="AI498" s="165">
        <f t="shared" si="63"/>
        <v>8</v>
      </c>
      <c r="AJ498" s="165">
        <f t="shared" si="64"/>
        <v>1</v>
      </c>
    </row>
    <row r="499" spans="1:36" x14ac:dyDescent="0.25">
      <c r="A499" s="177">
        <f t="shared" si="66"/>
        <v>46290</v>
      </c>
      <c r="B499" s="178" t="str">
        <f t="shared" si="59"/>
        <v>Fri</v>
      </c>
      <c r="C499" s="178" t="str">
        <f>'Pantry Inventory'!$A$98</f>
        <v>Sep Week 4</v>
      </c>
      <c r="D499" s="178" t="str">
        <f>IF('Pantry Inventory'!A112="","",'Pantry Inventory'!A112)</f>
        <v/>
      </c>
      <c r="E499" s="178" t="str">
        <f>IF('Pantry Inventory'!B112="","",'Pantry Inventory'!B112)</f>
        <v/>
      </c>
      <c r="F499" s="178" t="str">
        <f>IF(E499="","",IFERROR(IF(INDEX('Item Purchases'!$S$4:$S$30,MATCH(E499,'Item Purchases'!$B$4:$B$30,0))="","Uncategorised",INDEX('Item Purchases'!$S$4:$S$30,MATCH(E499,'Item Purchases'!$B$4:$B$30,0))),"Uncategorised"))</f>
        <v/>
      </c>
      <c r="G499" s="178">
        <f>IF(E499="",0,'Pantry Inventory'!M112)</f>
        <v>0</v>
      </c>
      <c r="H499" s="178" t="str">
        <f>IF(E499="","",IF('Pantry Inventory'!N112="","",'Pantry Inventory'!N112))</f>
        <v/>
      </c>
      <c r="I499" s="178" t="str">
        <f>IF(H499="","",'Pantry Inventory'!O112)</f>
        <v/>
      </c>
      <c r="J499" s="179">
        <f>IF(E499="",0,IFERROR(INDEX('Item Purchases'!$Q$4:$Q$30,MATCH(E499,'Item Purchases'!$B$4:$B$30,0)),0))</f>
        <v>0</v>
      </c>
      <c r="K499" s="180" t="str">
        <f t="shared" si="60"/>
        <v/>
      </c>
      <c r="L499" s="178">
        <f t="shared" si="61"/>
        <v>0</v>
      </c>
      <c r="M499" s="178">
        <f>IF(E499="",0,IF(AND(OR(OR(Dashboard!$E$5="All",Dashboard!$E$5=""),AG499=Dashboard!$E$5),OR(OR(Dashboard!$H$5="All",Dashboard!$H$5=""),F499=Dashboard!$H$5),OR(OR(Dashboard!$B$5="All",Dashboard!$B$5=""),C499=Dashboard!$B$5),OR(OR(Dashboard!$K$5="All",Dashboard!$K$5=""),A499=Dashboard!$K$5),OR(OR(Dashboard!$N$5="All",Dashboard!$N$5=""),B499=Dashboard!$N$5),OR(OR(Dashboard!$Q$5="All",Dashboard!$Q$5=""),D499=Dashboard!$Q$5),OR(OR(Dashboard!$U$5="All",Dashboard!$U$5=""),E499=Dashboard!$U$5)),1,0))</f>
        <v>0</v>
      </c>
      <c r="N499" s="178">
        <f>IF(E499="",0,IF(AND(OR(OR(Dashboard!$E$5="All",Dashboard!$E$5=""),AG499=Dashboard!$E$5),OR(OR(Dashboard!$B$5="All",Dashboard!$B$5=""),C499=Dashboard!$B$5),OR(OR(Dashboard!$K$5="All",Dashboard!$K$5=""),A499=Dashboard!$K$5),OR(OR(Dashboard!$N$5="All",Dashboard!$N$5=""),B499=Dashboard!$N$5),OR(OR(Dashboard!$Q$5="All",Dashboard!$Q$5=""),D499=Dashboard!$Q$5),OR(OR(Dashboard!$U$5="All",Dashboard!$U$5=""),E499=Dashboard!$U$5)),1,0))</f>
        <v>0</v>
      </c>
      <c r="O499" s="165">
        <f t="shared" si="62"/>
        <v>0</v>
      </c>
      <c r="AG499" s="178" t="str">
        <f>IF(E499="","",IFERROR(IF(INDEX('Item Purchases'!$AM$4:$AM$30,MATCH(E499,'Item Purchases'!$B$4:$B$30,0))="","Uncategorised",INDEX('Item Purchases'!$AM$4:$AM$30,MATCH(E499,'Item Purchases'!$B$4:$B$30,0))),"Uncategorised"))</f>
        <v/>
      </c>
      <c r="AH499" s="165">
        <f>IF(AND(E499&lt;&gt;"",L499=1),COUNTIFS($E$2:E499,E499,$L$2:L499,1),0)</f>
        <v>0</v>
      </c>
      <c r="AI499" s="165">
        <f t="shared" si="63"/>
        <v>0</v>
      </c>
      <c r="AJ499" s="165">
        <f t="shared" si="64"/>
        <v>0</v>
      </c>
    </row>
    <row r="500" spans="1:36" x14ac:dyDescent="0.25">
      <c r="A500" s="177">
        <f t="shared" si="66"/>
        <v>46290</v>
      </c>
      <c r="B500" s="178" t="str">
        <f t="shared" si="59"/>
        <v>Fri</v>
      </c>
      <c r="C500" s="178" t="str">
        <f>'Pantry Inventory'!$A$98</f>
        <v>Sep Week 4</v>
      </c>
      <c r="D500" s="178" t="str">
        <f>IF('Pantry Inventory'!A113="","",'Pantry Inventory'!A113)</f>
        <v>Nestle</v>
      </c>
      <c r="E500" s="178" t="str">
        <f>IF('Pantry Inventory'!B113="","",'Pantry Inventory'!B113)</f>
        <v>Milo 200ml</v>
      </c>
      <c r="F500" s="178" t="str">
        <f>IF(E500="","",IFERROR(IF(INDEX('Item Purchases'!$S$4:$S$30,MATCH(E500,'Item Purchases'!$B$4:$B$30,0))="","Uncategorised",INDEX('Item Purchases'!$S$4:$S$30,MATCH(E500,'Item Purchases'!$B$4:$B$30,0))),"Uncategorised"))</f>
        <v>Other</v>
      </c>
      <c r="G500" s="178">
        <f>IF(E500="",0,'Pantry Inventory'!M113)</f>
        <v>0</v>
      </c>
      <c r="H500" s="178">
        <f>IF(E500="","",IF('Pantry Inventory'!N113="","",'Pantry Inventory'!N113))</f>
        <v>0</v>
      </c>
      <c r="I500" s="178">
        <f>IF(H500="","",'Pantry Inventory'!O113)</f>
        <v>0</v>
      </c>
      <c r="J500" s="179">
        <f>IF(E500="",0,IFERROR(INDEX('Item Purchases'!$Q$4:$Q$30,MATCH(E500,'Item Purchases'!$B$4:$B$30,0)),0))</f>
        <v>2.37</v>
      </c>
      <c r="K500" s="180">
        <f t="shared" si="60"/>
        <v>0</v>
      </c>
      <c r="L500" s="178">
        <f t="shared" si="61"/>
        <v>1</v>
      </c>
      <c r="M500" s="178">
        <f>IF(E500="",0,IF(AND(OR(OR(Dashboard!$E$5="All",Dashboard!$E$5=""),AG500=Dashboard!$E$5),OR(OR(Dashboard!$H$5="All",Dashboard!$H$5=""),F500=Dashboard!$H$5),OR(OR(Dashboard!$B$5="All",Dashboard!$B$5=""),C500=Dashboard!$B$5),OR(OR(Dashboard!$K$5="All",Dashboard!$K$5=""),A500=Dashboard!$K$5),OR(OR(Dashboard!$N$5="All",Dashboard!$N$5=""),B500=Dashboard!$N$5),OR(OR(Dashboard!$Q$5="All",Dashboard!$Q$5=""),D500=Dashboard!$Q$5),OR(OR(Dashboard!$U$5="All",Dashboard!$U$5=""),E500=Dashboard!$U$5)),1,0))</f>
        <v>1</v>
      </c>
      <c r="N500" s="178">
        <f>IF(E500="",0,IF(AND(OR(OR(Dashboard!$E$5="All",Dashboard!$E$5=""),AG500=Dashboard!$E$5),OR(OR(Dashboard!$B$5="All",Dashboard!$B$5=""),C500=Dashboard!$B$5),OR(OR(Dashboard!$K$5="All",Dashboard!$K$5=""),A500=Dashboard!$K$5),OR(OR(Dashboard!$N$5="All",Dashboard!$N$5=""),B500=Dashboard!$N$5),OR(OR(Dashboard!$Q$5="All",Dashboard!$Q$5=""),D500=Dashboard!$Q$5),OR(OR(Dashboard!$U$5="All",Dashboard!$U$5=""),E500=Dashboard!$U$5)),1,0))</f>
        <v>1</v>
      </c>
      <c r="O500" s="165">
        <f t="shared" si="62"/>
        <v>0</v>
      </c>
      <c r="AG500" s="178" t="str">
        <f>IF(E500="","",IFERROR(IF(INDEX('Item Purchases'!$AM$4:$AM$30,MATCH(E500,'Item Purchases'!$B$4:$B$30,0))="","Uncategorised",INDEX('Item Purchases'!$AM$4:$AM$30,MATCH(E500,'Item Purchases'!$B$4:$B$30,0))),"Uncategorised"))</f>
        <v>Beverages</v>
      </c>
      <c r="AH500" s="165">
        <f>IF(AND(E500&lt;&gt;"",L500=1),COUNTIFS($E$2:E500,E500,$L$2:L500,1),0)</f>
        <v>19</v>
      </c>
      <c r="AI500" s="165">
        <f t="shared" si="63"/>
        <v>0</v>
      </c>
      <c r="AJ500" s="165">
        <f t="shared" si="64"/>
        <v>0</v>
      </c>
    </row>
    <row r="501" spans="1:36" x14ac:dyDescent="0.25">
      <c r="A501" s="177">
        <f t="shared" si="66"/>
        <v>46290</v>
      </c>
      <c r="B501" s="178" t="str">
        <f t="shared" si="59"/>
        <v>Fri</v>
      </c>
      <c r="C501" s="178" t="str">
        <f>'Pantry Inventory'!$A$98</f>
        <v>Sep Week 4</v>
      </c>
      <c r="D501" s="178" t="str">
        <f>IF('Pantry Inventory'!A114="","",'Pantry Inventory'!A114)</f>
        <v>Nestle</v>
      </c>
      <c r="E501" s="178" t="str">
        <f>IF('Pantry Inventory'!B114="","",'Pantry Inventory'!B114)</f>
        <v>Nescafe Latte 240ml</v>
      </c>
      <c r="F501" s="178" t="str">
        <f>IF(E501="","",IFERROR(IF(INDEX('Item Purchases'!$S$4:$S$30,MATCH(E501,'Item Purchases'!$B$4:$B$30,0))="","Uncategorised",INDEX('Item Purchases'!$S$4:$S$30,MATCH(E501,'Item Purchases'!$B$4:$B$30,0))),"Uncategorised"))</f>
        <v>Coffee</v>
      </c>
      <c r="G501" s="178">
        <f>IF(E501="",0,'Pantry Inventory'!M114)</f>
        <v>0</v>
      </c>
      <c r="H501" s="178">
        <f>IF(E501="","",IF('Pantry Inventory'!N114="","",'Pantry Inventory'!N114))</f>
        <v>41</v>
      </c>
      <c r="I501" s="178">
        <f>IF(H501="","",'Pantry Inventory'!O114)</f>
        <v>5</v>
      </c>
      <c r="J501" s="179">
        <f>IF(E501="",0,IFERROR(INDEX('Item Purchases'!$Q$4:$Q$30,MATCH(E501,'Item Purchases'!$B$4:$B$30,0)),0))</f>
        <v>2.1875</v>
      </c>
      <c r="K501" s="180">
        <f t="shared" si="60"/>
        <v>10.9375</v>
      </c>
      <c r="L501" s="178">
        <f t="shared" si="61"/>
        <v>1</v>
      </c>
      <c r="M501" s="178">
        <f>IF(E501="",0,IF(AND(OR(OR(Dashboard!$E$5="All",Dashboard!$E$5=""),AG501=Dashboard!$E$5),OR(OR(Dashboard!$H$5="All",Dashboard!$H$5=""),F501=Dashboard!$H$5),OR(OR(Dashboard!$B$5="All",Dashboard!$B$5=""),C501=Dashboard!$B$5),OR(OR(Dashboard!$K$5="All",Dashboard!$K$5=""),A501=Dashboard!$K$5),OR(OR(Dashboard!$N$5="All",Dashboard!$N$5=""),B501=Dashboard!$N$5),OR(OR(Dashboard!$Q$5="All",Dashboard!$Q$5=""),D501=Dashboard!$Q$5),OR(OR(Dashboard!$U$5="All",Dashboard!$U$5=""),E501=Dashboard!$U$5)),1,0))</f>
        <v>1</v>
      </c>
      <c r="N501" s="178">
        <f>IF(E501="",0,IF(AND(OR(OR(Dashboard!$E$5="All",Dashboard!$E$5=""),AG501=Dashboard!$E$5),OR(OR(Dashboard!$B$5="All",Dashboard!$B$5=""),C501=Dashboard!$B$5),OR(OR(Dashboard!$K$5="All",Dashboard!$K$5=""),A501=Dashboard!$K$5),OR(OR(Dashboard!$N$5="All",Dashboard!$N$5=""),B501=Dashboard!$N$5),OR(OR(Dashboard!$Q$5="All",Dashboard!$Q$5=""),D501=Dashboard!$Q$5),OR(OR(Dashboard!$U$5="All",Dashboard!$U$5=""),E501=Dashboard!$U$5)),1,0))</f>
        <v>1</v>
      </c>
      <c r="O501" s="165">
        <f t="shared" si="62"/>
        <v>25</v>
      </c>
      <c r="AG501" s="178" t="str">
        <f>IF(E501="","",IFERROR(IF(INDEX('Item Purchases'!$AM$4:$AM$30,MATCH(E501,'Item Purchases'!$B$4:$B$30,0))="","Uncategorised",INDEX('Item Purchases'!$AM$4:$AM$30,MATCH(E501,'Item Purchases'!$B$4:$B$30,0))),"Uncategorised"))</f>
        <v>Beverages</v>
      </c>
      <c r="AH501" s="165">
        <f>IF(AND(E501&lt;&gt;"",L501=1),COUNTIFS($E$2:E501,E501,$L$2:L501,1),0)</f>
        <v>19</v>
      </c>
      <c r="AI501" s="165">
        <f t="shared" si="63"/>
        <v>5</v>
      </c>
      <c r="AJ501" s="165">
        <f t="shared" si="64"/>
        <v>1</v>
      </c>
    </row>
    <row r="502" spans="1:36" x14ac:dyDescent="0.25">
      <c r="A502" s="177">
        <f t="shared" si="66"/>
        <v>46290</v>
      </c>
      <c r="B502" s="178" t="str">
        <f t="shared" si="59"/>
        <v>Fri</v>
      </c>
      <c r="C502" s="178" t="str">
        <f>'Pantry Inventory'!$A$98</f>
        <v>Sep Week 4</v>
      </c>
      <c r="D502" s="178" t="str">
        <f>IF('Pantry Inventory'!A115="","",'Pantry Inventory'!A115)</f>
        <v>Nestle</v>
      </c>
      <c r="E502" s="178" t="str">
        <f>IF('Pantry Inventory'!B115="","",'Pantry Inventory'!B115)</f>
        <v>Nescafe original 240ml</v>
      </c>
      <c r="F502" s="178" t="str">
        <f>IF(E502="","",IFERROR(IF(INDEX('Item Purchases'!$S$4:$S$30,MATCH(E502,'Item Purchases'!$B$4:$B$30,0))="","Uncategorised",INDEX('Item Purchases'!$S$4:$S$30,MATCH(E502,'Item Purchases'!$B$4:$B$30,0))),"Uncategorised"))</f>
        <v>Coffee</v>
      </c>
      <c r="G502" s="178">
        <f>IF(E502="",0,'Pantry Inventory'!M115)</f>
        <v>0</v>
      </c>
      <c r="H502" s="178">
        <f>IF(E502="","",IF('Pantry Inventory'!N115="","",'Pantry Inventory'!N115))</f>
        <v>23</v>
      </c>
      <c r="I502" s="178">
        <f>IF(H502="","",'Pantry Inventory'!O115)</f>
        <v>4</v>
      </c>
      <c r="J502" s="179">
        <f>IF(E502="",0,IFERROR(INDEX('Item Purchases'!$Q$4:$Q$30,MATCH(E502,'Item Purchases'!$B$4:$B$30,0)),0))</f>
        <v>2.1875</v>
      </c>
      <c r="K502" s="180">
        <f t="shared" si="60"/>
        <v>8.75</v>
      </c>
      <c r="L502" s="178">
        <f t="shared" si="61"/>
        <v>1</v>
      </c>
      <c r="M502" s="178">
        <f>IF(E502="",0,IF(AND(OR(OR(Dashboard!$E$5="All",Dashboard!$E$5=""),AG502=Dashboard!$E$5),OR(OR(Dashboard!$H$5="All",Dashboard!$H$5=""),F502=Dashboard!$H$5),OR(OR(Dashboard!$B$5="All",Dashboard!$B$5=""),C502=Dashboard!$B$5),OR(OR(Dashboard!$K$5="All",Dashboard!$K$5=""),A502=Dashboard!$K$5),OR(OR(Dashboard!$N$5="All",Dashboard!$N$5=""),B502=Dashboard!$N$5),OR(OR(Dashboard!$Q$5="All",Dashboard!$Q$5=""),D502=Dashboard!$Q$5),OR(OR(Dashboard!$U$5="All",Dashboard!$U$5=""),E502=Dashboard!$U$5)),1,0))</f>
        <v>1</v>
      </c>
      <c r="N502" s="178">
        <f>IF(E502="",0,IF(AND(OR(OR(Dashboard!$E$5="All",Dashboard!$E$5=""),AG502=Dashboard!$E$5),OR(OR(Dashboard!$B$5="All",Dashboard!$B$5=""),C502=Dashboard!$B$5),OR(OR(Dashboard!$K$5="All",Dashboard!$K$5=""),A502=Dashboard!$K$5),OR(OR(Dashboard!$N$5="All",Dashboard!$N$5=""),B502=Dashboard!$N$5),OR(OR(Dashboard!$Q$5="All",Dashboard!$Q$5=""),D502=Dashboard!$Q$5),OR(OR(Dashboard!$U$5="All",Dashboard!$U$5=""),E502=Dashboard!$U$5)),1,0))</f>
        <v>1</v>
      </c>
      <c r="O502" s="165">
        <f t="shared" si="62"/>
        <v>16</v>
      </c>
      <c r="AG502" s="178" t="str">
        <f>IF(E502="","",IFERROR(IF(INDEX('Item Purchases'!$AM$4:$AM$30,MATCH(E502,'Item Purchases'!$B$4:$B$30,0))="","Uncategorised",INDEX('Item Purchases'!$AM$4:$AM$30,MATCH(E502,'Item Purchases'!$B$4:$B$30,0))),"Uncategorised"))</f>
        <v>Beverages</v>
      </c>
      <c r="AH502" s="165">
        <f>IF(AND(E502&lt;&gt;"",L502=1),COUNTIFS($E$2:E502,E502,$L$2:L502,1),0)</f>
        <v>19</v>
      </c>
      <c r="AI502" s="165">
        <f t="shared" si="63"/>
        <v>4</v>
      </c>
      <c r="AJ502" s="165">
        <f t="shared" si="64"/>
        <v>1</v>
      </c>
    </row>
    <row r="503" spans="1:36" x14ac:dyDescent="0.25">
      <c r="A503" s="177">
        <f t="shared" si="66"/>
        <v>46290</v>
      </c>
      <c r="B503" s="178" t="str">
        <f t="shared" si="59"/>
        <v>Fri</v>
      </c>
      <c r="C503" s="178" t="str">
        <f>'Pantry Inventory'!$A$98</f>
        <v>Sep Week 4</v>
      </c>
      <c r="D503" s="178" t="str">
        <f>IF('Pantry Inventory'!A116="","",'Pantry Inventory'!A116)</f>
        <v>COWA</v>
      </c>
      <c r="E503" s="178" t="str">
        <f>IF('Pantry Inventory'!B116="","",'Pantry Inventory'!B116)</f>
        <v>COWA Coconut Water 330 ml</v>
      </c>
      <c r="F503" s="178" t="str">
        <f>IF(E503="","",IFERROR(IF(INDEX('Item Purchases'!$S$4:$S$30,MATCH(E503,'Item Purchases'!$B$4:$B$30,0))="","Uncategorised",INDEX('Item Purchases'!$S$4:$S$30,MATCH(E503,'Item Purchases'!$B$4:$B$30,0))),"Uncategorised"))</f>
        <v>Other</v>
      </c>
      <c r="G503" s="178">
        <f>IF(E503="",0,'Pantry Inventory'!M116)</f>
        <v>0</v>
      </c>
      <c r="H503" s="178">
        <f>IF(E503="","",IF('Pantry Inventory'!N116="","",'Pantry Inventory'!N116))</f>
        <v>174</v>
      </c>
      <c r="I503" s="178">
        <f>IF(H503="","",'Pantry Inventory'!O116)</f>
        <v>24</v>
      </c>
      <c r="J503" s="179">
        <f>IF(E503="",0,IFERROR(INDEX('Item Purchases'!$Q$4:$Q$30,MATCH(E503,'Item Purchases'!$B$4:$B$30,0)),0))</f>
        <v>3</v>
      </c>
      <c r="K503" s="180">
        <f t="shared" si="60"/>
        <v>72</v>
      </c>
      <c r="L503" s="178">
        <f t="shared" si="61"/>
        <v>1</v>
      </c>
      <c r="M503" s="178">
        <f>IF(E503="",0,IF(AND(OR(OR(Dashboard!$E$5="All",Dashboard!$E$5=""),AG503=Dashboard!$E$5),OR(OR(Dashboard!$H$5="All",Dashboard!$H$5=""),F503=Dashboard!$H$5),OR(OR(Dashboard!$B$5="All",Dashboard!$B$5=""),C503=Dashboard!$B$5),OR(OR(Dashboard!$K$5="All",Dashboard!$K$5=""),A503=Dashboard!$K$5),OR(OR(Dashboard!$N$5="All",Dashboard!$N$5=""),B503=Dashboard!$N$5),OR(OR(Dashboard!$Q$5="All",Dashboard!$Q$5=""),D503=Dashboard!$Q$5),OR(OR(Dashboard!$U$5="All",Dashboard!$U$5=""),E503=Dashboard!$U$5)),1,0))</f>
        <v>1</v>
      </c>
      <c r="N503" s="178">
        <f>IF(E503="",0,IF(AND(OR(OR(Dashboard!$E$5="All",Dashboard!$E$5=""),AG503=Dashboard!$E$5),OR(OR(Dashboard!$B$5="All",Dashboard!$B$5=""),C503=Dashboard!$B$5),OR(OR(Dashboard!$K$5="All",Dashboard!$K$5=""),A503=Dashboard!$K$5),OR(OR(Dashboard!$N$5="All",Dashboard!$N$5=""),B503=Dashboard!$N$5),OR(OR(Dashboard!$Q$5="All",Dashboard!$Q$5=""),D503=Dashboard!$Q$5),OR(OR(Dashboard!$U$5="All",Dashboard!$U$5=""),E503=Dashboard!$U$5)),1,0))</f>
        <v>1</v>
      </c>
      <c r="O503" s="165">
        <f t="shared" si="62"/>
        <v>576</v>
      </c>
      <c r="AG503" s="178" t="str">
        <f>IF(E503="","",IFERROR(IF(INDEX('Item Purchases'!$AM$4:$AM$30,MATCH(E503,'Item Purchases'!$B$4:$B$30,0))="","Uncategorised",INDEX('Item Purchases'!$AM$4:$AM$30,MATCH(E503,'Item Purchases'!$B$4:$B$30,0))),"Uncategorised"))</f>
        <v>Beverages</v>
      </c>
      <c r="AH503" s="165">
        <f>IF(AND(E503&lt;&gt;"",L503=1),COUNTIFS($E$2:E503,E503,$L$2:L503,1),0)</f>
        <v>19</v>
      </c>
      <c r="AI503" s="165">
        <f t="shared" si="63"/>
        <v>24</v>
      </c>
      <c r="AJ503" s="165">
        <f t="shared" si="64"/>
        <v>1</v>
      </c>
    </row>
    <row r="504" spans="1:36" x14ac:dyDescent="0.25">
      <c r="A504" s="177">
        <f t="shared" si="66"/>
        <v>46290</v>
      </c>
      <c r="B504" s="178" t="str">
        <f t="shared" si="59"/>
        <v>Fri</v>
      </c>
      <c r="C504" s="178" t="str">
        <f>'Pantry Inventory'!$A$98</f>
        <v>Sep Week 4</v>
      </c>
      <c r="D504" s="178" t="str">
        <f>IF('Pantry Inventory'!A117="","",'Pantry Inventory'!A117)</f>
        <v>KARTA</v>
      </c>
      <c r="E504" s="178" t="str">
        <f>IF('Pantry Inventory'!B117="","",'Pantry Inventory'!B117)</f>
        <v>KARTA Coconut Water 330 ml</v>
      </c>
      <c r="F504" s="178" t="str">
        <f>IF(E504="","",IFERROR(IF(INDEX('Item Purchases'!$S$4:$S$30,MATCH(E504,'Item Purchases'!$B$4:$B$30,0))="","Uncategorised",INDEX('Item Purchases'!$S$4:$S$30,MATCH(E504,'Item Purchases'!$B$4:$B$30,0))),"Uncategorised"))</f>
        <v>Other</v>
      </c>
      <c r="G504" s="178">
        <f>IF(E504="",0,'Pantry Inventory'!M117)</f>
        <v>0</v>
      </c>
      <c r="H504" s="178">
        <f>IF(E504="","",IF('Pantry Inventory'!N117="","",'Pantry Inventory'!N117))</f>
        <v>0</v>
      </c>
      <c r="I504" s="178">
        <f>IF(H504="","",'Pantry Inventory'!O117)</f>
        <v>0</v>
      </c>
      <c r="J504" s="179">
        <f>IF(E504="",0,IFERROR(INDEX('Item Purchases'!$Q$4:$Q$30,MATCH(E504,'Item Purchases'!$B$4:$B$30,0)),0))</f>
        <v>2.2999999999999998</v>
      </c>
      <c r="K504" s="180">
        <f t="shared" si="60"/>
        <v>0</v>
      </c>
      <c r="L504" s="178">
        <f t="shared" si="61"/>
        <v>1</v>
      </c>
      <c r="M504" s="178">
        <f>IF(E504="",0,IF(AND(OR(OR(Dashboard!$E$5="All",Dashboard!$E$5=""),AG504=Dashboard!$E$5),OR(OR(Dashboard!$H$5="All",Dashboard!$H$5=""),F504=Dashboard!$H$5),OR(OR(Dashboard!$B$5="All",Dashboard!$B$5=""),C504=Dashboard!$B$5),OR(OR(Dashboard!$K$5="All",Dashboard!$K$5=""),A504=Dashboard!$K$5),OR(OR(Dashboard!$N$5="All",Dashboard!$N$5=""),B504=Dashboard!$N$5),OR(OR(Dashboard!$Q$5="All",Dashboard!$Q$5=""),D504=Dashboard!$Q$5),OR(OR(Dashboard!$U$5="All",Dashboard!$U$5=""),E504=Dashboard!$U$5)),1,0))</f>
        <v>1</v>
      </c>
      <c r="N504" s="178">
        <f>IF(E504="",0,IF(AND(OR(OR(Dashboard!$E$5="All",Dashboard!$E$5=""),AG504=Dashboard!$E$5),OR(OR(Dashboard!$B$5="All",Dashboard!$B$5=""),C504=Dashboard!$B$5),OR(OR(Dashboard!$K$5="All",Dashboard!$K$5=""),A504=Dashboard!$K$5),OR(OR(Dashboard!$N$5="All",Dashboard!$N$5=""),B504=Dashboard!$N$5),OR(OR(Dashboard!$Q$5="All",Dashboard!$Q$5=""),D504=Dashboard!$Q$5),OR(OR(Dashboard!$U$5="All",Dashboard!$U$5=""),E504=Dashboard!$U$5)),1,0))</f>
        <v>1</v>
      </c>
      <c r="O504" s="165">
        <f t="shared" si="62"/>
        <v>0</v>
      </c>
      <c r="AG504" s="178" t="str">
        <f>IF(E504="","",IFERROR(IF(INDEX('Item Purchases'!$AM$4:$AM$30,MATCH(E504,'Item Purchases'!$B$4:$B$30,0))="","Uncategorised",INDEX('Item Purchases'!$AM$4:$AM$30,MATCH(E504,'Item Purchases'!$B$4:$B$30,0))),"Uncategorised"))</f>
        <v>Beverages</v>
      </c>
      <c r="AH504" s="165">
        <f>IF(AND(E504&lt;&gt;"",L504=1),COUNTIFS($E$2:E504,E504,$L$2:L504,1),0)</f>
        <v>3</v>
      </c>
      <c r="AI504" s="165">
        <f t="shared" si="63"/>
        <v>0</v>
      </c>
      <c r="AJ504" s="165">
        <f t="shared" si="64"/>
        <v>0</v>
      </c>
    </row>
    <row r="505" spans="1:36" x14ac:dyDescent="0.25">
      <c r="A505" s="177">
        <f t="shared" si="66"/>
        <v>46290</v>
      </c>
      <c r="B505" s="178" t="str">
        <f t="shared" si="59"/>
        <v>Fri</v>
      </c>
      <c r="C505" s="178" t="str">
        <f>'Pantry Inventory'!$A$98</f>
        <v>Sep Week 4</v>
      </c>
      <c r="D505" s="178" t="str">
        <f>IF('Pantry Inventory'!A118="","",'Pantry Inventory'!A118)</f>
        <v>Coca Cola</v>
      </c>
      <c r="E505" s="178" t="str">
        <f>IF('Pantry Inventory'!B118="","",'Pantry Inventory'!B118)</f>
        <v>COKE ZERO  325ML</v>
      </c>
      <c r="F505" s="178" t="str">
        <f>IF(E505="","",IFERROR(IF(INDEX('Item Purchases'!$S$4:$S$30,MATCH(E505,'Item Purchases'!$B$4:$B$30,0))="","Uncategorised",INDEX('Item Purchases'!$S$4:$S$30,MATCH(E505,'Item Purchases'!$B$4:$B$30,0))),"Uncategorised"))</f>
        <v>Other</v>
      </c>
      <c r="G505" s="178">
        <f>IF(E505="",0,'Pantry Inventory'!M118)</f>
        <v>0</v>
      </c>
      <c r="H505" s="178">
        <f>IF(E505="","",IF('Pantry Inventory'!N118="","",'Pantry Inventory'!N118))</f>
        <v>44</v>
      </c>
      <c r="I505" s="178">
        <f>IF(H505="","",'Pantry Inventory'!O118)</f>
        <v>10</v>
      </c>
      <c r="J505" s="179">
        <f>IF(E505="",0,IFERROR(INDEX('Item Purchases'!$Q$4:$Q$30,MATCH(E505,'Item Purchases'!$B$4:$B$30,0)),0))</f>
        <v>1.83</v>
      </c>
      <c r="K505" s="180">
        <f t="shared" si="60"/>
        <v>18.3</v>
      </c>
      <c r="L505" s="178">
        <f t="shared" si="61"/>
        <v>1</v>
      </c>
      <c r="M505" s="178">
        <f>IF(E505="",0,IF(AND(OR(OR(Dashboard!$E$5="All",Dashboard!$E$5=""),AG505=Dashboard!$E$5),OR(OR(Dashboard!$H$5="All",Dashboard!$H$5=""),F505=Dashboard!$H$5),OR(OR(Dashboard!$B$5="All",Dashboard!$B$5=""),C505=Dashboard!$B$5),OR(OR(Dashboard!$K$5="All",Dashboard!$K$5=""),A505=Dashboard!$K$5),OR(OR(Dashboard!$N$5="All",Dashboard!$N$5=""),B505=Dashboard!$N$5),OR(OR(Dashboard!$Q$5="All",Dashboard!$Q$5=""),D505=Dashboard!$Q$5),OR(OR(Dashboard!$U$5="All",Dashboard!$U$5=""),E505=Dashboard!$U$5)),1,0))</f>
        <v>1</v>
      </c>
      <c r="N505" s="178">
        <f>IF(E505="",0,IF(AND(OR(OR(Dashboard!$E$5="All",Dashboard!$E$5=""),AG505=Dashboard!$E$5),OR(OR(Dashboard!$B$5="All",Dashboard!$B$5=""),C505=Dashboard!$B$5),OR(OR(Dashboard!$K$5="All",Dashboard!$K$5=""),A505=Dashboard!$K$5),OR(OR(Dashboard!$N$5="All",Dashboard!$N$5=""),B505=Dashboard!$N$5),OR(OR(Dashboard!$Q$5="All",Dashboard!$Q$5=""),D505=Dashboard!$Q$5),OR(OR(Dashboard!$U$5="All",Dashboard!$U$5=""),E505=Dashboard!$U$5)),1,0))</f>
        <v>1</v>
      </c>
      <c r="O505" s="165">
        <f t="shared" si="62"/>
        <v>100</v>
      </c>
      <c r="AG505" s="178" t="str">
        <f>IF(E505="","",IFERROR(IF(INDEX('Item Purchases'!$AM$4:$AM$30,MATCH(E505,'Item Purchases'!$B$4:$B$30,0))="","Uncategorised",INDEX('Item Purchases'!$AM$4:$AM$30,MATCH(E505,'Item Purchases'!$B$4:$B$30,0))),"Uncategorised"))</f>
        <v>Beverages</v>
      </c>
      <c r="AH505" s="165">
        <f>IF(AND(E505&lt;&gt;"",L505=1),COUNTIFS($E$2:E505,E505,$L$2:L505,1),0)</f>
        <v>19</v>
      </c>
      <c r="AI505" s="165">
        <f t="shared" si="63"/>
        <v>10</v>
      </c>
      <c r="AJ505" s="165">
        <f t="shared" si="64"/>
        <v>1</v>
      </c>
    </row>
    <row r="506" spans="1:36" x14ac:dyDescent="0.25">
      <c r="A506" s="177">
        <f t="shared" si="66"/>
        <v>46290</v>
      </c>
      <c r="B506" s="178" t="str">
        <f t="shared" si="59"/>
        <v>Fri</v>
      </c>
      <c r="C506" s="178" t="str">
        <f>'Pantry Inventory'!$A$98</f>
        <v>Sep Week 4</v>
      </c>
      <c r="D506" s="178" t="str">
        <f>IF('Pantry Inventory'!A119="","",'Pantry Inventory'!A119)</f>
        <v>Coca Cola</v>
      </c>
      <c r="E506" s="178" t="str">
        <f>IF('Pantry Inventory'!B119="","",'Pantry Inventory'!B119)</f>
        <v>Ayataka Tea 300ml</v>
      </c>
      <c r="F506" s="178" t="str">
        <f>IF(E506="","",IFERROR(IF(INDEX('Item Purchases'!$S$4:$S$30,MATCH(E506,'Item Purchases'!$B$4:$B$30,0))="","Uncategorised",INDEX('Item Purchases'!$S$4:$S$30,MATCH(E506,'Item Purchases'!$B$4:$B$30,0))),"Uncategorised"))</f>
        <v>Tea</v>
      </c>
      <c r="G506" s="178">
        <f>IF(E506="",0,'Pantry Inventory'!M119)</f>
        <v>24</v>
      </c>
      <c r="H506" s="178">
        <f>IF(E506="","",IF('Pantry Inventory'!N119="","",'Pantry Inventory'!N119))</f>
        <v>24</v>
      </c>
      <c r="I506" s="178">
        <f>IF(H506="","",'Pantry Inventory'!O119)</f>
        <v>0</v>
      </c>
      <c r="J506" s="179">
        <f>IF(E506="",0,IFERROR(INDEX('Item Purchases'!$Q$4:$Q$30,MATCH(E506,'Item Purchases'!$B$4:$B$30,0)),0))</f>
        <v>1.75</v>
      </c>
      <c r="K506" s="180">
        <f t="shared" si="60"/>
        <v>0</v>
      </c>
      <c r="L506" s="178">
        <f t="shared" si="61"/>
        <v>1</v>
      </c>
      <c r="M506" s="178">
        <f>IF(E506="",0,IF(AND(OR(OR(Dashboard!$E$5="All",Dashboard!$E$5=""),AG506=Dashboard!$E$5),OR(OR(Dashboard!$H$5="All",Dashboard!$H$5=""),F506=Dashboard!$H$5),OR(OR(Dashboard!$B$5="All",Dashboard!$B$5=""),C506=Dashboard!$B$5),OR(OR(Dashboard!$K$5="All",Dashboard!$K$5=""),A506=Dashboard!$K$5),OR(OR(Dashboard!$N$5="All",Dashboard!$N$5=""),B506=Dashboard!$N$5),OR(OR(Dashboard!$Q$5="All",Dashboard!$Q$5=""),D506=Dashboard!$Q$5),OR(OR(Dashboard!$U$5="All",Dashboard!$U$5=""),E506=Dashboard!$U$5)),1,0))</f>
        <v>1</v>
      </c>
      <c r="N506" s="178">
        <f>IF(E506="",0,IF(AND(OR(OR(Dashboard!$E$5="All",Dashboard!$E$5=""),AG506=Dashboard!$E$5),OR(OR(Dashboard!$B$5="All",Dashboard!$B$5=""),C506=Dashboard!$B$5),OR(OR(Dashboard!$K$5="All",Dashboard!$K$5=""),A506=Dashboard!$K$5),OR(OR(Dashboard!$N$5="All",Dashboard!$N$5=""),B506=Dashboard!$N$5),OR(OR(Dashboard!$Q$5="All",Dashboard!$Q$5=""),D506=Dashboard!$Q$5),OR(OR(Dashboard!$U$5="All",Dashboard!$U$5=""),E506=Dashboard!$U$5)),1,0))</f>
        <v>1</v>
      </c>
      <c r="O506" s="165">
        <f t="shared" si="62"/>
        <v>0</v>
      </c>
      <c r="AG506" s="178" t="str">
        <f>IF(E506="","",IFERROR(IF(INDEX('Item Purchases'!$AM$4:$AM$30,MATCH(E506,'Item Purchases'!$B$4:$B$30,0))="","Uncategorised",INDEX('Item Purchases'!$AM$4:$AM$30,MATCH(E506,'Item Purchases'!$B$4:$B$30,0))),"Uncategorised"))</f>
        <v>Beverages</v>
      </c>
      <c r="AH506" s="165">
        <f>IF(AND(E506&lt;&gt;"",L506=1),COUNTIFS($E$2:E506,E506,$L$2:L506,1),0)</f>
        <v>19</v>
      </c>
      <c r="AI506" s="165">
        <f t="shared" si="63"/>
        <v>0</v>
      </c>
      <c r="AJ506" s="165">
        <f t="shared" si="64"/>
        <v>1</v>
      </c>
    </row>
    <row r="507" spans="1:36" x14ac:dyDescent="0.25">
      <c r="A507" s="177">
        <f t="shared" si="66"/>
        <v>46290</v>
      </c>
      <c r="B507" s="178" t="str">
        <f t="shared" si="59"/>
        <v>Fri</v>
      </c>
      <c r="C507" s="178" t="str">
        <f>'Pantry Inventory'!$A$98</f>
        <v>Sep Week 4</v>
      </c>
      <c r="D507" s="178" t="str">
        <f>IF('Pantry Inventory'!A120="","",'Pantry Inventory'!A120)</f>
        <v>Coca Cola</v>
      </c>
      <c r="E507" s="178" t="str">
        <f>IF('Pantry Inventory'!B120="","",'Pantry Inventory'!B120)</f>
        <v>Oolong Tea 300ml</v>
      </c>
      <c r="F507" s="178" t="str">
        <f>IF(E507="","",IFERROR(IF(INDEX('Item Purchases'!$S$4:$S$30,MATCH(E507,'Item Purchases'!$B$4:$B$30,0))="","Uncategorised",INDEX('Item Purchases'!$S$4:$S$30,MATCH(E507,'Item Purchases'!$B$4:$B$30,0))),"Uncategorised"))</f>
        <v>Tea</v>
      </c>
      <c r="G507" s="178">
        <f>IF(E507="",0,'Pantry Inventory'!M120)</f>
        <v>12</v>
      </c>
      <c r="H507" s="178">
        <f>IF(E507="","",IF('Pantry Inventory'!N120="","",'Pantry Inventory'!N120))</f>
        <v>45</v>
      </c>
      <c r="I507" s="178">
        <f>IF(H507="","",'Pantry Inventory'!O120)</f>
        <v>20</v>
      </c>
      <c r="J507" s="179">
        <f>IF(E507="",0,IFERROR(INDEX('Item Purchases'!$Q$4:$Q$30,MATCH(E507,'Item Purchases'!$B$4:$B$30,0)),0))</f>
        <v>1.75</v>
      </c>
      <c r="K507" s="180">
        <f t="shared" si="60"/>
        <v>35</v>
      </c>
      <c r="L507" s="178">
        <f t="shared" si="61"/>
        <v>1</v>
      </c>
      <c r="M507" s="178">
        <f>IF(E507="",0,IF(AND(OR(OR(Dashboard!$E$5="All",Dashboard!$E$5=""),AG507=Dashboard!$E$5),OR(OR(Dashboard!$H$5="All",Dashboard!$H$5=""),F507=Dashboard!$H$5),OR(OR(Dashboard!$B$5="All",Dashboard!$B$5=""),C507=Dashboard!$B$5),OR(OR(Dashboard!$K$5="All",Dashboard!$K$5=""),A507=Dashboard!$K$5),OR(OR(Dashboard!$N$5="All",Dashboard!$N$5=""),B507=Dashboard!$N$5),OR(OR(Dashboard!$Q$5="All",Dashboard!$Q$5=""),D507=Dashboard!$Q$5),OR(OR(Dashboard!$U$5="All",Dashboard!$U$5=""),E507=Dashboard!$U$5)),1,0))</f>
        <v>1</v>
      </c>
      <c r="N507" s="178">
        <f>IF(E507="",0,IF(AND(OR(OR(Dashboard!$E$5="All",Dashboard!$E$5=""),AG507=Dashboard!$E$5),OR(OR(Dashboard!$B$5="All",Dashboard!$B$5=""),C507=Dashboard!$B$5),OR(OR(Dashboard!$K$5="All",Dashboard!$K$5=""),A507=Dashboard!$K$5),OR(OR(Dashboard!$N$5="All",Dashboard!$N$5=""),B507=Dashboard!$N$5),OR(OR(Dashboard!$Q$5="All",Dashboard!$Q$5=""),D507=Dashboard!$Q$5),OR(OR(Dashboard!$U$5="All",Dashboard!$U$5=""),E507=Dashboard!$U$5)),1,0))</f>
        <v>1</v>
      </c>
      <c r="O507" s="165">
        <f t="shared" si="62"/>
        <v>400</v>
      </c>
      <c r="AG507" s="178" t="str">
        <f>IF(E507="","",IFERROR(IF(INDEX('Item Purchases'!$AM$4:$AM$30,MATCH(E507,'Item Purchases'!$B$4:$B$30,0))="","Uncategorised",INDEX('Item Purchases'!$AM$4:$AM$30,MATCH(E507,'Item Purchases'!$B$4:$B$30,0))),"Uncategorised"))</f>
        <v>Beverages</v>
      </c>
      <c r="AH507" s="165">
        <f>IF(AND(E507&lt;&gt;"",L507=1),COUNTIFS($E$2:E507,E507,$L$2:L507,1),0)</f>
        <v>19</v>
      </c>
      <c r="AI507" s="165">
        <f t="shared" si="63"/>
        <v>20</v>
      </c>
      <c r="AJ507" s="165">
        <f t="shared" si="64"/>
        <v>1</v>
      </c>
    </row>
    <row r="508" spans="1:36" x14ac:dyDescent="0.25">
      <c r="A508" s="177">
        <f t="shared" si="66"/>
        <v>46290</v>
      </c>
      <c r="B508" s="178" t="str">
        <f t="shared" si="59"/>
        <v>Fri</v>
      </c>
      <c r="C508" s="178" t="str">
        <f>'Pantry Inventory'!$A$98</f>
        <v>Sep Week 4</v>
      </c>
      <c r="D508" s="178" t="str">
        <f>IF('Pantry Inventory'!A121="","",'Pantry Inventory'!A121)</f>
        <v>Vsoy</v>
      </c>
      <c r="E508" s="178" t="str">
        <f>IF('Pantry Inventory'!B121="","",'Pantry Inventory'!B121)</f>
        <v>Vsoy Soya Bean  250ml</v>
      </c>
      <c r="F508" s="178" t="str">
        <f>IF(E508="","",IFERROR(IF(INDEX('Item Purchases'!$S$4:$S$30,MATCH(E508,'Item Purchases'!$B$4:$B$30,0))="","Uncategorised",INDEX('Item Purchases'!$S$4:$S$30,MATCH(E508,'Item Purchases'!$B$4:$B$30,0))),"Uncategorised"))</f>
        <v>Other</v>
      </c>
      <c r="G508" s="178">
        <f>IF(E508="",0,'Pantry Inventory'!M121)</f>
        <v>0</v>
      </c>
      <c r="H508" s="178">
        <f>IF(E508="","",IF('Pantry Inventory'!N121="","",'Pantry Inventory'!N121))</f>
        <v>74</v>
      </c>
      <c r="I508" s="178">
        <f>IF(H508="","",'Pantry Inventory'!O121)</f>
        <v>14</v>
      </c>
      <c r="J508" s="179">
        <f>IF(E508="",0,IFERROR(INDEX('Item Purchases'!$Q$4:$Q$30,MATCH(E508,'Item Purchases'!$B$4:$B$30,0)),0))</f>
        <v>1.25</v>
      </c>
      <c r="K508" s="180">
        <f t="shared" si="60"/>
        <v>17.5</v>
      </c>
      <c r="L508" s="178">
        <f t="shared" si="61"/>
        <v>1</v>
      </c>
      <c r="M508" s="178">
        <f>IF(E508="",0,IF(AND(OR(OR(Dashboard!$E$5="All",Dashboard!$E$5=""),AG508=Dashboard!$E$5),OR(OR(Dashboard!$H$5="All",Dashboard!$H$5=""),F508=Dashboard!$H$5),OR(OR(Dashboard!$B$5="All",Dashboard!$B$5=""),C508=Dashboard!$B$5),OR(OR(Dashboard!$K$5="All",Dashboard!$K$5=""),A508=Dashboard!$K$5),OR(OR(Dashboard!$N$5="All",Dashboard!$N$5=""),B508=Dashboard!$N$5),OR(OR(Dashboard!$Q$5="All",Dashboard!$Q$5=""),D508=Dashboard!$Q$5),OR(OR(Dashboard!$U$5="All",Dashboard!$U$5=""),E508=Dashboard!$U$5)),1,0))</f>
        <v>1</v>
      </c>
      <c r="N508" s="178">
        <f>IF(E508="",0,IF(AND(OR(OR(Dashboard!$E$5="All",Dashboard!$E$5=""),AG508=Dashboard!$E$5),OR(OR(Dashboard!$B$5="All",Dashboard!$B$5=""),C508=Dashboard!$B$5),OR(OR(Dashboard!$K$5="All",Dashboard!$K$5=""),A508=Dashboard!$K$5),OR(OR(Dashboard!$N$5="All",Dashboard!$N$5=""),B508=Dashboard!$N$5),OR(OR(Dashboard!$Q$5="All",Dashboard!$Q$5=""),D508=Dashboard!$Q$5),OR(OR(Dashboard!$U$5="All",Dashboard!$U$5=""),E508=Dashboard!$U$5)),1,0))</f>
        <v>1</v>
      </c>
      <c r="O508" s="165">
        <f t="shared" si="62"/>
        <v>196</v>
      </c>
      <c r="AG508" s="178" t="str">
        <f>IF(E508="","",IFERROR(IF(INDEX('Item Purchases'!$AM$4:$AM$30,MATCH(E508,'Item Purchases'!$B$4:$B$30,0))="","Uncategorised",INDEX('Item Purchases'!$AM$4:$AM$30,MATCH(E508,'Item Purchases'!$B$4:$B$30,0))),"Uncategorised"))</f>
        <v>Beverages</v>
      </c>
      <c r="AH508" s="165">
        <f>IF(AND(E508&lt;&gt;"",L508=1),COUNTIFS($E$2:E508,E508,$L$2:L508,1),0)</f>
        <v>19</v>
      </c>
      <c r="AI508" s="165">
        <f t="shared" si="63"/>
        <v>14</v>
      </c>
      <c r="AJ508" s="165">
        <f t="shared" si="64"/>
        <v>1</v>
      </c>
    </row>
    <row r="509" spans="1:36" x14ac:dyDescent="0.25">
      <c r="A509" s="177">
        <f t="shared" si="66"/>
        <v>46290</v>
      </c>
      <c r="B509" s="178" t="str">
        <f t="shared" si="59"/>
        <v>Fri</v>
      </c>
      <c r="C509" s="178" t="str">
        <f>'Pantry Inventory'!$A$98</f>
        <v>Sep Week 4</v>
      </c>
      <c r="D509" s="178" t="str">
        <f>IF('Pantry Inventory'!A122="","",'Pantry Inventory'!A122)</f>
        <v>BingRae</v>
      </c>
      <c r="E509" s="178" t="str">
        <f>IF('Pantry Inventory'!B122="","",'Pantry Inventory'!B122)</f>
        <v>BingRae Banana Milk 200ml</v>
      </c>
      <c r="F509" s="178" t="str">
        <f>IF(E509="","",IFERROR(IF(INDEX('Item Purchases'!$S$4:$S$30,MATCH(E509,'Item Purchases'!$B$4:$B$30,0))="","Uncategorised",INDEX('Item Purchases'!$S$4:$S$30,MATCH(E509,'Item Purchases'!$B$4:$B$30,0))),"Uncategorised"))</f>
        <v>Other</v>
      </c>
      <c r="G509" s="178">
        <f>IF(E509="",0,'Pantry Inventory'!M122)</f>
        <v>0</v>
      </c>
      <c r="H509" s="178">
        <f>IF(E509="","",IF('Pantry Inventory'!N122="","",'Pantry Inventory'!N122))</f>
        <v>0</v>
      </c>
      <c r="I509" s="178">
        <f>IF(H509="","",'Pantry Inventory'!O122)</f>
        <v>0</v>
      </c>
      <c r="J509" s="179">
        <f>IF(E509="",0,IFERROR(INDEX('Item Purchases'!$Q$4:$Q$30,MATCH(E509,'Item Purchases'!$B$4:$B$30,0)),0))</f>
        <v>3.3159999999999998</v>
      </c>
      <c r="K509" s="180">
        <f t="shared" si="60"/>
        <v>0</v>
      </c>
      <c r="L509" s="178">
        <f t="shared" si="61"/>
        <v>1</v>
      </c>
      <c r="M509" s="178">
        <f>IF(E509="",0,IF(AND(OR(OR(Dashboard!$E$5="All",Dashboard!$E$5=""),AG509=Dashboard!$E$5),OR(OR(Dashboard!$H$5="All",Dashboard!$H$5=""),F509=Dashboard!$H$5),OR(OR(Dashboard!$B$5="All",Dashboard!$B$5=""),C509=Dashboard!$B$5),OR(OR(Dashboard!$K$5="All",Dashboard!$K$5=""),A509=Dashboard!$K$5),OR(OR(Dashboard!$N$5="All",Dashboard!$N$5=""),B509=Dashboard!$N$5),OR(OR(Dashboard!$Q$5="All",Dashboard!$Q$5=""),D509=Dashboard!$Q$5),OR(OR(Dashboard!$U$5="All",Dashboard!$U$5=""),E509=Dashboard!$U$5)),1,0))</f>
        <v>1</v>
      </c>
      <c r="N509" s="178">
        <f>IF(E509="",0,IF(AND(OR(OR(Dashboard!$E$5="All",Dashboard!$E$5=""),AG509=Dashboard!$E$5),OR(OR(Dashboard!$B$5="All",Dashboard!$B$5=""),C509=Dashboard!$B$5),OR(OR(Dashboard!$K$5="All",Dashboard!$K$5=""),A509=Dashboard!$K$5),OR(OR(Dashboard!$N$5="All",Dashboard!$N$5=""),B509=Dashboard!$N$5),OR(OR(Dashboard!$Q$5="All",Dashboard!$Q$5=""),D509=Dashboard!$Q$5),OR(OR(Dashboard!$U$5="All",Dashboard!$U$5=""),E509=Dashboard!$U$5)),1,0))</f>
        <v>1</v>
      </c>
      <c r="O509" s="165">
        <f t="shared" si="62"/>
        <v>0</v>
      </c>
      <c r="AG509" s="178" t="str">
        <f>IF(E509="","",IFERROR(IF(INDEX('Item Purchases'!$AM$4:$AM$30,MATCH(E509,'Item Purchases'!$B$4:$B$30,0))="","Uncategorised",INDEX('Item Purchases'!$AM$4:$AM$30,MATCH(E509,'Item Purchases'!$B$4:$B$30,0))),"Uncategorised"))</f>
        <v>Beverages</v>
      </c>
      <c r="AH509" s="165">
        <f>IF(AND(E509&lt;&gt;"",L509=1),COUNTIFS($E$2:E509,E509,$L$2:L509,1),0)</f>
        <v>19</v>
      </c>
      <c r="AI509" s="165">
        <f t="shared" si="63"/>
        <v>0</v>
      </c>
      <c r="AJ509" s="165">
        <f t="shared" si="64"/>
        <v>0</v>
      </c>
    </row>
    <row r="510" spans="1:36" x14ac:dyDescent="0.25">
      <c r="A510" s="177">
        <f t="shared" si="66"/>
        <v>46290</v>
      </c>
      <c r="B510" s="178" t="str">
        <f t="shared" si="59"/>
        <v>Fri</v>
      </c>
      <c r="C510" s="178" t="str">
        <f>'Pantry Inventory'!$A$98</f>
        <v>Sep Week 4</v>
      </c>
      <c r="D510" s="178" t="str">
        <f>IF('Pantry Inventory'!A123="","",'Pantry Inventory'!A123)</f>
        <v>Fuze Tea</v>
      </c>
      <c r="E510" s="178" t="str">
        <f>IF('Pantry Inventory'!B123="","",'Pantry Inventory'!B123)</f>
        <v>Fuze Tea by Heaven and Earth Jasmine Tea</v>
      </c>
      <c r="F510" s="178" t="str">
        <f>IF(E510="","",IFERROR(IF(INDEX('Item Purchases'!$S$4:$S$30,MATCH(E510,'Item Purchases'!$B$4:$B$30,0))="","Uncategorised",INDEX('Item Purchases'!$S$4:$S$30,MATCH(E510,'Item Purchases'!$B$4:$B$30,0))),"Uncategorised"))</f>
        <v>Tea</v>
      </c>
      <c r="G510" s="178">
        <f>IF(E510="",0,'Pantry Inventory'!M123)</f>
        <v>0</v>
      </c>
      <c r="H510" s="178">
        <f>IF(E510="","",IF('Pantry Inventory'!N123="","",'Pantry Inventory'!N123))</f>
        <v>0</v>
      </c>
      <c r="I510" s="178">
        <f>IF(H510="","",'Pantry Inventory'!O123)</f>
        <v>0</v>
      </c>
      <c r="J510" s="179">
        <f>IF(E510="",0,IFERROR(INDEX('Item Purchases'!$Q$4:$Q$30,MATCH(E510,'Item Purchases'!$B$4:$B$30,0)),0))</f>
        <v>1.167</v>
      </c>
      <c r="K510" s="180">
        <f t="shared" si="60"/>
        <v>0</v>
      </c>
      <c r="L510" s="178">
        <f t="shared" si="61"/>
        <v>1</v>
      </c>
      <c r="M510" s="178">
        <f>IF(E510="",0,IF(AND(OR(OR(Dashboard!$E$5="All",Dashboard!$E$5=""),AG510=Dashboard!$E$5),OR(OR(Dashboard!$H$5="All",Dashboard!$H$5=""),F510=Dashboard!$H$5),OR(OR(Dashboard!$B$5="All",Dashboard!$B$5=""),C510=Dashboard!$B$5),OR(OR(Dashboard!$K$5="All",Dashboard!$K$5=""),A510=Dashboard!$K$5),OR(OR(Dashboard!$N$5="All",Dashboard!$N$5=""),B510=Dashboard!$N$5),OR(OR(Dashboard!$Q$5="All",Dashboard!$Q$5=""),D510=Dashboard!$Q$5),OR(OR(Dashboard!$U$5="All",Dashboard!$U$5=""),E510=Dashboard!$U$5)),1,0))</f>
        <v>1</v>
      </c>
      <c r="N510" s="178">
        <f>IF(E510="",0,IF(AND(OR(OR(Dashboard!$E$5="All",Dashboard!$E$5=""),AG510=Dashboard!$E$5),OR(OR(Dashboard!$B$5="All",Dashboard!$B$5=""),C510=Dashboard!$B$5),OR(OR(Dashboard!$K$5="All",Dashboard!$K$5=""),A510=Dashboard!$K$5),OR(OR(Dashboard!$N$5="All",Dashboard!$N$5=""),B510=Dashboard!$N$5),OR(OR(Dashboard!$Q$5="All",Dashboard!$Q$5=""),D510=Dashboard!$Q$5),OR(OR(Dashboard!$U$5="All",Dashboard!$U$5=""),E510=Dashboard!$U$5)),1,0))</f>
        <v>1</v>
      </c>
      <c r="O510" s="165">
        <f t="shared" si="62"/>
        <v>0</v>
      </c>
      <c r="AG510" s="178" t="str">
        <f>IF(E510="","",IFERROR(IF(INDEX('Item Purchases'!$AM$4:$AM$30,MATCH(E510,'Item Purchases'!$B$4:$B$30,0))="","Uncategorised",INDEX('Item Purchases'!$AM$4:$AM$30,MATCH(E510,'Item Purchases'!$B$4:$B$30,0))),"Uncategorised"))</f>
        <v>Beverages</v>
      </c>
      <c r="AH510" s="165">
        <f>IF(AND(E510&lt;&gt;"",L510=1),COUNTIFS($E$2:E510,E510,$L$2:L510,1),0)</f>
        <v>19</v>
      </c>
      <c r="AI510" s="165">
        <f t="shared" si="63"/>
        <v>0</v>
      </c>
      <c r="AJ510" s="165">
        <f t="shared" si="64"/>
        <v>0</v>
      </c>
    </row>
    <row r="511" spans="1:36" x14ac:dyDescent="0.25">
      <c r="A511" s="177">
        <f t="shared" si="66"/>
        <v>46290</v>
      </c>
      <c r="B511" s="178" t="str">
        <f t="shared" si="59"/>
        <v>Fri</v>
      </c>
      <c r="C511" s="178" t="str">
        <f>'Pantry Inventory'!$A$98</f>
        <v>Sep Week 4</v>
      </c>
      <c r="D511" s="178" t="str">
        <f>IF('Pantry Inventory'!A124="","",'Pantry Inventory'!A124)</f>
        <v>F&amp;N</v>
      </c>
      <c r="E511" s="178" t="str">
        <f>IF('Pantry Inventory'!B124="","",'Pantry Inventory'!B124)</f>
        <v>FN 100 plus (original) 325ml</v>
      </c>
      <c r="F511" s="178" t="str">
        <f>IF(E511="","",IFERROR(IF(INDEX('Item Purchases'!$S$4:$S$30,MATCH(E511,'Item Purchases'!$B$4:$B$30,0))="","Uncategorised",INDEX('Item Purchases'!$S$4:$S$30,MATCH(E511,'Item Purchases'!$B$4:$B$30,0))),"Uncategorised"))</f>
        <v>Other</v>
      </c>
      <c r="G511" s="178">
        <f>IF(E511="",0,'Pantry Inventory'!M124)</f>
        <v>0</v>
      </c>
      <c r="H511" s="178">
        <f>IF(E511="","",IF('Pantry Inventory'!N124="","",'Pantry Inventory'!N124))</f>
        <v>26</v>
      </c>
      <c r="I511" s="178">
        <f>IF(H511="","",'Pantry Inventory'!O124)</f>
        <v>8</v>
      </c>
      <c r="J511" s="179">
        <f>IF(E511="",0,IFERROR(INDEX('Item Purchases'!$Q$4:$Q$30,MATCH(E511,'Item Purchases'!$B$4:$B$30,0)),0))</f>
        <v>1.58</v>
      </c>
      <c r="K511" s="180">
        <f t="shared" si="60"/>
        <v>12.64</v>
      </c>
      <c r="L511" s="178">
        <f t="shared" si="61"/>
        <v>1</v>
      </c>
      <c r="M511" s="178">
        <f>IF(E511="",0,IF(AND(OR(OR(Dashboard!$E$5="All",Dashboard!$E$5=""),AG511=Dashboard!$E$5),OR(OR(Dashboard!$H$5="All",Dashboard!$H$5=""),F511=Dashboard!$H$5),OR(OR(Dashboard!$B$5="All",Dashboard!$B$5=""),C511=Dashboard!$B$5),OR(OR(Dashboard!$K$5="All",Dashboard!$K$5=""),A511=Dashboard!$K$5),OR(OR(Dashboard!$N$5="All",Dashboard!$N$5=""),B511=Dashboard!$N$5),OR(OR(Dashboard!$Q$5="All",Dashboard!$Q$5=""),D511=Dashboard!$Q$5),OR(OR(Dashboard!$U$5="All",Dashboard!$U$5=""),E511=Dashboard!$U$5)),1,0))</f>
        <v>1</v>
      </c>
      <c r="N511" s="178">
        <f>IF(E511="",0,IF(AND(OR(OR(Dashboard!$E$5="All",Dashboard!$E$5=""),AG511=Dashboard!$E$5),OR(OR(Dashboard!$B$5="All",Dashboard!$B$5=""),C511=Dashboard!$B$5),OR(OR(Dashboard!$K$5="All",Dashboard!$K$5=""),A511=Dashboard!$K$5),OR(OR(Dashboard!$N$5="All",Dashboard!$N$5=""),B511=Dashboard!$N$5),OR(OR(Dashboard!$Q$5="All",Dashboard!$Q$5=""),D511=Dashboard!$Q$5),OR(OR(Dashboard!$U$5="All",Dashboard!$U$5=""),E511=Dashboard!$U$5)),1,0))</f>
        <v>1</v>
      </c>
      <c r="O511" s="165">
        <f t="shared" si="62"/>
        <v>64</v>
      </c>
      <c r="AG511" s="178" t="str">
        <f>IF(E511="","",IFERROR(IF(INDEX('Item Purchases'!$AM$4:$AM$30,MATCH(E511,'Item Purchases'!$B$4:$B$30,0))="","Uncategorised",INDEX('Item Purchases'!$AM$4:$AM$30,MATCH(E511,'Item Purchases'!$B$4:$B$30,0))),"Uncategorised"))</f>
        <v>Beverages</v>
      </c>
      <c r="AH511" s="165">
        <f>IF(AND(E511&lt;&gt;"",L511=1),COUNTIFS($E$2:E511,E511,$L$2:L511,1),0)</f>
        <v>19</v>
      </c>
      <c r="AI511" s="165">
        <f t="shared" si="63"/>
        <v>8</v>
      </c>
      <c r="AJ511" s="165">
        <f t="shared" si="64"/>
        <v>1</v>
      </c>
    </row>
    <row r="512" spans="1:36" x14ac:dyDescent="0.25">
      <c r="A512" s="177">
        <f t="shared" si="66"/>
        <v>46290</v>
      </c>
      <c r="B512" s="178" t="str">
        <f t="shared" si="59"/>
        <v>Fri</v>
      </c>
      <c r="C512" s="178" t="str">
        <f>'Pantry Inventory'!$A$98</f>
        <v>Sep Week 4</v>
      </c>
      <c r="D512" s="178" t="str">
        <f>IF('Pantry Inventory'!A125="","",'Pantry Inventory'!A125)</f>
        <v>Spritzer</v>
      </c>
      <c r="E512" s="178" t="str">
        <f>IF('Pantry Inventory'!B125="","",'Pantry Inventory'!B125)</f>
        <v>Spritzer sparkling water (original) 400ml</v>
      </c>
      <c r="F512" s="178" t="str">
        <f>IF(E512="","",IFERROR(IF(INDEX('Item Purchases'!$S$4:$S$30,MATCH(E512,'Item Purchases'!$B$4:$B$30,0))="","Uncategorised",INDEX('Item Purchases'!$S$4:$S$30,MATCH(E512,'Item Purchases'!$B$4:$B$30,0))),"Uncategorised"))</f>
        <v>Other</v>
      </c>
      <c r="G512" s="178">
        <f>IF(E512="",0,'Pantry Inventory'!M125)</f>
        <v>24</v>
      </c>
      <c r="H512" s="178">
        <f>IF(E512="","",IF('Pantry Inventory'!N125="","",'Pantry Inventory'!N125))</f>
        <v>25</v>
      </c>
      <c r="I512" s="178">
        <f>IF(H512="","",'Pantry Inventory'!O125)</f>
        <v>29</v>
      </c>
      <c r="J512" s="179">
        <f>IF(E512="",0,IFERROR(INDEX('Item Purchases'!$Q$4:$Q$30,MATCH(E512,'Item Purchases'!$B$4:$B$30,0)),0))</f>
        <v>1.616666666666666</v>
      </c>
      <c r="K512" s="180">
        <f t="shared" si="60"/>
        <v>46.883333333333312</v>
      </c>
      <c r="L512" s="178">
        <f t="shared" si="61"/>
        <v>1</v>
      </c>
      <c r="M512" s="178">
        <f>IF(E512="",0,IF(AND(OR(OR(Dashboard!$E$5="All",Dashboard!$E$5=""),AG512=Dashboard!$E$5),OR(OR(Dashboard!$H$5="All",Dashboard!$H$5=""),F512=Dashboard!$H$5),OR(OR(Dashboard!$B$5="All",Dashboard!$B$5=""),C512=Dashboard!$B$5),OR(OR(Dashboard!$K$5="All",Dashboard!$K$5=""),A512=Dashboard!$K$5),OR(OR(Dashboard!$N$5="All",Dashboard!$N$5=""),B512=Dashboard!$N$5),OR(OR(Dashboard!$Q$5="All",Dashboard!$Q$5=""),D512=Dashboard!$Q$5),OR(OR(Dashboard!$U$5="All",Dashboard!$U$5=""),E512=Dashboard!$U$5)),1,0))</f>
        <v>1</v>
      </c>
      <c r="N512" s="178">
        <f>IF(E512="",0,IF(AND(OR(OR(Dashboard!$E$5="All",Dashboard!$E$5=""),AG512=Dashboard!$E$5),OR(OR(Dashboard!$B$5="All",Dashboard!$B$5=""),C512=Dashboard!$B$5),OR(OR(Dashboard!$K$5="All",Dashboard!$K$5=""),A512=Dashboard!$K$5),OR(OR(Dashboard!$N$5="All",Dashboard!$N$5=""),B512=Dashboard!$N$5),OR(OR(Dashboard!$Q$5="All",Dashboard!$Q$5=""),D512=Dashboard!$Q$5),OR(OR(Dashboard!$U$5="All",Dashboard!$U$5=""),E512=Dashboard!$U$5)),1,0))</f>
        <v>1</v>
      </c>
      <c r="O512" s="165">
        <f t="shared" si="62"/>
        <v>841</v>
      </c>
      <c r="AG512" s="178" t="str">
        <f>IF(E512="","",IFERROR(IF(INDEX('Item Purchases'!$AM$4:$AM$30,MATCH(E512,'Item Purchases'!$B$4:$B$30,0))="","Uncategorised",INDEX('Item Purchases'!$AM$4:$AM$30,MATCH(E512,'Item Purchases'!$B$4:$B$30,0))),"Uncategorised"))</f>
        <v>Beverages</v>
      </c>
      <c r="AH512" s="165">
        <f>IF(AND(E512&lt;&gt;"",L512=1),COUNTIFS($E$2:E512,E512,$L$2:L512,1),0)</f>
        <v>19</v>
      </c>
      <c r="AI512" s="165">
        <f t="shared" si="63"/>
        <v>29</v>
      </c>
      <c r="AJ512" s="165">
        <f t="shared" si="64"/>
        <v>1</v>
      </c>
    </row>
    <row r="513" spans="1:36" x14ac:dyDescent="0.25">
      <c r="A513" s="177">
        <f t="shared" si="66"/>
        <v>46290</v>
      </c>
      <c r="B513" s="178" t="str">
        <f t="shared" si="59"/>
        <v>Fri</v>
      </c>
      <c r="C513" s="178" t="str">
        <f>'Pantry Inventory'!$A$98</f>
        <v>Sep Week 4</v>
      </c>
      <c r="D513" s="178" t="str">
        <f>IF('Pantry Inventory'!A126="","",'Pantry Inventory'!A126)</f>
        <v>Oat Side</v>
      </c>
      <c r="E513" s="178" t="str">
        <f>IF('Pantry Inventory'!B126="","",'Pantry Inventory'!B126)</f>
        <v>Oat Side Original 200ml</v>
      </c>
      <c r="F513" s="178" t="str">
        <f>IF(E513="","",IFERROR(IF(INDEX('Item Purchases'!$S$4:$S$30,MATCH(E513,'Item Purchases'!$B$4:$B$30,0))="","Uncategorised",INDEX('Item Purchases'!$S$4:$S$30,MATCH(E513,'Item Purchases'!$B$4:$B$30,0))),"Uncategorised"))</f>
        <v>Other</v>
      </c>
      <c r="G513" s="178">
        <f>IF(E513="",0,'Pantry Inventory'!M126)</f>
        <v>0</v>
      </c>
      <c r="H513" s="178">
        <f>IF(E513="","",IF('Pantry Inventory'!N126="","",'Pantry Inventory'!N126))</f>
        <v>44</v>
      </c>
      <c r="I513" s="178">
        <f>IF(H513="","",'Pantry Inventory'!O126)</f>
        <v>13</v>
      </c>
      <c r="J513" s="179">
        <f>IF(E513="",0,IFERROR(INDEX('Item Purchases'!$Q$4:$Q$30,MATCH(E513,'Item Purchases'!$B$4:$B$30,0)),0))</f>
        <v>3</v>
      </c>
      <c r="K513" s="180">
        <f t="shared" si="60"/>
        <v>39</v>
      </c>
      <c r="L513" s="178">
        <f t="shared" si="61"/>
        <v>1</v>
      </c>
      <c r="M513" s="178">
        <f>IF(E513="",0,IF(AND(OR(OR(Dashboard!$E$5="All",Dashboard!$E$5=""),AG513=Dashboard!$E$5),OR(OR(Dashboard!$H$5="All",Dashboard!$H$5=""),F513=Dashboard!$H$5),OR(OR(Dashboard!$B$5="All",Dashboard!$B$5=""),C513=Dashboard!$B$5),OR(OR(Dashboard!$K$5="All",Dashboard!$K$5=""),A513=Dashboard!$K$5),OR(OR(Dashboard!$N$5="All",Dashboard!$N$5=""),B513=Dashboard!$N$5),OR(OR(Dashboard!$Q$5="All",Dashboard!$Q$5=""),D513=Dashboard!$Q$5),OR(OR(Dashboard!$U$5="All",Dashboard!$U$5=""),E513=Dashboard!$U$5)),1,0))</f>
        <v>1</v>
      </c>
      <c r="N513" s="178">
        <f>IF(E513="",0,IF(AND(OR(OR(Dashboard!$E$5="All",Dashboard!$E$5=""),AG513=Dashboard!$E$5),OR(OR(Dashboard!$B$5="All",Dashboard!$B$5=""),C513=Dashboard!$B$5),OR(OR(Dashboard!$K$5="All",Dashboard!$K$5=""),A513=Dashboard!$K$5),OR(OR(Dashboard!$N$5="All",Dashboard!$N$5=""),B513=Dashboard!$N$5),OR(OR(Dashboard!$Q$5="All",Dashboard!$Q$5=""),D513=Dashboard!$Q$5),OR(OR(Dashboard!$U$5="All",Dashboard!$U$5=""),E513=Dashboard!$U$5)),1,0))</f>
        <v>1</v>
      </c>
      <c r="O513" s="165">
        <f t="shared" si="62"/>
        <v>169</v>
      </c>
      <c r="AG513" s="178" t="str">
        <f>IF(E513="","",IFERROR(IF(INDEX('Item Purchases'!$AM$4:$AM$30,MATCH(E513,'Item Purchases'!$B$4:$B$30,0))="","Uncategorised",INDEX('Item Purchases'!$AM$4:$AM$30,MATCH(E513,'Item Purchases'!$B$4:$B$30,0))),"Uncategorised"))</f>
        <v>Beverages</v>
      </c>
      <c r="AH513" s="165">
        <f>IF(AND(E513&lt;&gt;"",L513=1),COUNTIFS($E$2:E513,E513,$L$2:L513,1),0)</f>
        <v>19</v>
      </c>
      <c r="AI513" s="165">
        <f t="shared" si="63"/>
        <v>13</v>
      </c>
      <c r="AJ513" s="165">
        <f t="shared" si="64"/>
        <v>1</v>
      </c>
    </row>
    <row r="514" spans="1:36" x14ac:dyDescent="0.25">
      <c r="A514" s="177">
        <f t="shared" si="66"/>
        <v>46290</v>
      </c>
      <c r="B514" s="178" t="str">
        <f t="shared" ref="B514:B577" si="67">IF(A514=0,"",CHOOSE(WEEKDAY(A514,2),"Mon","Tue","Wed","Thu","Fri","Sat","Sun"))</f>
        <v>Fri</v>
      </c>
      <c r="C514" s="178" t="str">
        <f>'Pantry Inventory'!$A$98</f>
        <v>Sep Week 4</v>
      </c>
      <c r="D514" s="178" t="str">
        <f>IF('Pantry Inventory'!A127="","",'Pantry Inventory'!A127)</f>
        <v>Oat Side</v>
      </c>
      <c r="E514" s="178" t="str">
        <f>IF('Pantry Inventory'!B127="","",'Pantry Inventory'!B127)</f>
        <v>Oat Side Chocolate 200ml</v>
      </c>
      <c r="F514" s="178" t="str">
        <f>IF(E514="","",IFERROR(IF(INDEX('Item Purchases'!$S$4:$S$30,MATCH(E514,'Item Purchases'!$B$4:$B$30,0))="","Uncategorised",INDEX('Item Purchases'!$S$4:$S$30,MATCH(E514,'Item Purchases'!$B$4:$B$30,0))),"Uncategorised"))</f>
        <v>Other</v>
      </c>
      <c r="G514" s="178">
        <f>IF(E514="",0,'Pantry Inventory'!M127)</f>
        <v>0</v>
      </c>
      <c r="H514" s="178">
        <f>IF(E514="","",IF('Pantry Inventory'!N127="","",'Pantry Inventory'!N127))</f>
        <v>11</v>
      </c>
      <c r="I514" s="178">
        <f>IF(H514="","",'Pantry Inventory'!O127)</f>
        <v>28</v>
      </c>
      <c r="J514" s="179">
        <f>IF(E514="",0,IFERROR(INDEX('Item Purchases'!$Q$4:$Q$30,MATCH(E514,'Item Purchases'!$B$4:$B$30,0)),0))</f>
        <v>3</v>
      </c>
      <c r="K514" s="180">
        <f t="shared" ref="K514:K577" si="68">IF(I514="","",I514*J514)</f>
        <v>84</v>
      </c>
      <c r="L514" s="178">
        <f t="shared" ref="L514:L577" si="69">IF(H514="",0,1)</f>
        <v>1</v>
      </c>
      <c r="M514" s="178">
        <f>IF(E514="",0,IF(AND(OR(OR(Dashboard!$E$5="All",Dashboard!$E$5=""),AG514=Dashboard!$E$5),OR(OR(Dashboard!$H$5="All",Dashboard!$H$5=""),F514=Dashboard!$H$5),OR(OR(Dashboard!$B$5="All",Dashboard!$B$5=""),C514=Dashboard!$B$5),OR(OR(Dashboard!$K$5="All",Dashboard!$K$5=""),A514=Dashboard!$K$5),OR(OR(Dashboard!$N$5="All",Dashboard!$N$5=""),B514=Dashboard!$N$5),OR(OR(Dashboard!$Q$5="All",Dashboard!$Q$5=""),D514=Dashboard!$Q$5),OR(OR(Dashboard!$U$5="All",Dashboard!$U$5=""),E514=Dashboard!$U$5)),1,0))</f>
        <v>1</v>
      </c>
      <c r="N514" s="178">
        <f>IF(E514="",0,IF(AND(OR(OR(Dashboard!$E$5="All",Dashboard!$E$5=""),AG514=Dashboard!$E$5),OR(OR(Dashboard!$B$5="All",Dashboard!$B$5=""),C514=Dashboard!$B$5),OR(OR(Dashboard!$K$5="All",Dashboard!$K$5=""),A514=Dashboard!$K$5),OR(OR(Dashboard!$N$5="All",Dashboard!$N$5=""),B514=Dashboard!$N$5),OR(OR(Dashboard!$Q$5="All",Dashboard!$Q$5=""),D514=Dashboard!$Q$5),OR(OR(Dashboard!$U$5="All",Dashboard!$U$5=""),E514=Dashboard!$U$5)),1,0))</f>
        <v>1</v>
      </c>
      <c r="O514" s="165">
        <f t="shared" ref="O514:O577" si="70">IF(AND(N(H514)&gt;0,ISNUMBER(I514)),I514^2,0)</f>
        <v>784</v>
      </c>
      <c r="AG514" s="178" t="str">
        <f>IF(E514="","",IFERROR(IF(INDEX('Item Purchases'!$AM$4:$AM$30,MATCH(E514,'Item Purchases'!$B$4:$B$30,0))="","Uncategorised",INDEX('Item Purchases'!$AM$4:$AM$30,MATCH(E514,'Item Purchases'!$B$4:$B$30,0))),"Uncategorised"))</f>
        <v>Beverages</v>
      </c>
      <c r="AH514" s="165">
        <f>IF(AND(E514&lt;&gt;"",L514=1),COUNTIFS($E$2:E514,E514,$L$2:L514,1),0)</f>
        <v>19</v>
      </c>
      <c r="AI514" s="165">
        <f t="shared" ref="AI514:AI577" si="71">IF(ISNUMBER(I514),I514,0)</f>
        <v>28</v>
      </c>
      <c r="AJ514" s="165">
        <f t="shared" ref="AJ514:AJ577" si="72">IF(AND(L514=1,N(H514)&gt;0),1,0)</f>
        <v>1</v>
      </c>
    </row>
    <row r="515" spans="1:36" x14ac:dyDescent="0.25">
      <c r="A515" s="177">
        <f t="shared" ref="A515:A541" si="73">IF($Z$21="",0,$Z$21)</f>
        <v>46293</v>
      </c>
      <c r="B515" s="178" t="str">
        <f t="shared" si="67"/>
        <v>Mon</v>
      </c>
      <c r="C515" s="178" t="str">
        <f>'Pantry Inventory'!$A$98</f>
        <v>Sep Week 4</v>
      </c>
      <c r="D515" s="178" t="str">
        <f>IF('Pantry Inventory'!A101="","",'Pantry Inventory'!A101)</f>
        <v>Julie's</v>
      </c>
      <c r="E515" s="178" t="str">
        <f>IF('Pantry Inventory'!B101="","",'Pantry Inventory'!B101)</f>
        <v>Julie's Peanut Butter Sandwich 360g (12pkts x 30g)</v>
      </c>
      <c r="F515" s="178" t="str">
        <f>IF(E515="","",IFERROR(IF(INDEX('Item Purchases'!$S$4:$S$30,MATCH(E515,'Item Purchases'!$B$4:$B$30,0))="","Uncategorised",INDEX('Item Purchases'!$S$4:$S$30,MATCH(E515,'Item Purchases'!$B$4:$B$30,0))),"Uncategorised"))</f>
        <v>Sweet</v>
      </c>
      <c r="G515" s="178">
        <f>IF(E515="",0,'Pantry Inventory'!P101)</f>
        <v>24</v>
      </c>
      <c r="H515" s="178">
        <f>IF(E515="","",IF('Pantry Inventory'!Q101="","",'Pantry Inventory'!Q101))</f>
        <v>45</v>
      </c>
      <c r="I515" s="178">
        <f>IF(H515="","",'Pantry Inventory'!R101)</f>
        <v>10</v>
      </c>
      <c r="J515" s="179">
        <f>IF(E515="",0,IFERROR(INDEX('Item Purchases'!$Q$4:$Q$30,MATCH(E515,'Item Purchases'!$B$4:$B$30,0)),0))</f>
        <v>1.083</v>
      </c>
      <c r="K515" s="180">
        <f t="shared" si="68"/>
        <v>10.83</v>
      </c>
      <c r="L515" s="178">
        <f t="shared" si="69"/>
        <v>1</v>
      </c>
      <c r="M515" s="178">
        <f>IF(E515="",0,IF(AND(OR(OR(Dashboard!$E$5="All",Dashboard!$E$5=""),AG515=Dashboard!$E$5),OR(OR(Dashboard!$H$5="All",Dashboard!$H$5=""),F515=Dashboard!$H$5),OR(OR(Dashboard!$B$5="All",Dashboard!$B$5=""),C515=Dashboard!$B$5),OR(OR(Dashboard!$K$5="All",Dashboard!$K$5=""),A515=Dashboard!$K$5),OR(OR(Dashboard!$N$5="All",Dashboard!$N$5=""),B515=Dashboard!$N$5),OR(OR(Dashboard!$Q$5="All",Dashboard!$Q$5=""),D515=Dashboard!$Q$5),OR(OR(Dashboard!$U$5="All",Dashboard!$U$5=""),E515=Dashboard!$U$5)),1,0))</f>
        <v>1</v>
      </c>
      <c r="N515" s="178">
        <f>IF(E515="",0,IF(AND(OR(OR(Dashboard!$E$5="All",Dashboard!$E$5=""),AG515=Dashboard!$E$5),OR(OR(Dashboard!$B$5="All",Dashboard!$B$5=""),C515=Dashboard!$B$5),OR(OR(Dashboard!$K$5="All",Dashboard!$K$5=""),A515=Dashboard!$K$5),OR(OR(Dashboard!$N$5="All",Dashboard!$N$5=""),B515=Dashboard!$N$5),OR(OR(Dashboard!$Q$5="All",Dashboard!$Q$5=""),D515=Dashboard!$Q$5),OR(OR(Dashboard!$U$5="All",Dashboard!$U$5=""),E515=Dashboard!$U$5)),1,0))</f>
        <v>1</v>
      </c>
      <c r="O515" s="165">
        <f t="shared" si="70"/>
        <v>100</v>
      </c>
      <c r="AG515" s="178" t="str">
        <f>IF(E515="","",IFERROR(IF(INDEX('Item Purchases'!$AM$4:$AM$30,MATCH(E515,'Item Purchases'!$B$4:$B$30,0))="","Uncategorised",INDEX('Item Purchases'!$AM$4:$AM$30,MATCH(E515,'Item Purchases'!$B$4:$B$30,0))),"Uncategorised"))</f>
        <v>Snacks</v>
      </c>
      <c r="AH515" s="165">
        <f>IF(AND(E515&lt;&gt;"",L515=1),COUNTIFS($E$2:E515,E515,$L$2:L515,1),0)</f>
        <v>20</v>
      </c>
      <c r="AI515" s="165">
        <f t="shared" si="71"/>
        <v>10</v>
      </c>
      <c r="AJ515" s="165">
        <f t="shared" si="72"/>
        <v>1</v>
      </c>
    </row>
    <row r="516" spans="1:36" x14ac:dyDescent="0.25">
      <c r="A516" s="177">
        <f t="shared" si="73"/>
        <v>46293</v>
      </c>
      <c r="B516" s="178" t="str">
        <f t="shared" si="67"/>
        <v>Mon</v>
      </c>
      <c r="C516" s="178" t="str">
        <f>'Pantry Inventory'!$A$98</f>
        <v>Sep Week 4</v>
      </c>
      <c r="D516" s="178" t="str">
        <f>IF('Pantry Inventory'!A102="","",'Pantry Inventory'!A102)</f>
        <v>Julie's</v>
      </c>
      <c r="E516" s="178" t="str">
        <f>IF('Pantry Inventory'!B102="","",'Pantry Inventory'!B102)</f>
        <v>Julies Butter Waffles</v>
      </c>
      <c r="F516" s="178" t="str">
        <f>IF(E516="","",IFERROR(IF(INDEX('Item Purchases'!$S$4:$S$30,MATCH(E516,'Item Purchases'!$B$4:$B$30,0))="","Uncategorised",INDEX('Item Purchases'!$S$4:$S$30,MATCH(E516,'Item Purchases'!$B$4:$B$30,0))),"Uncategorised"))</f>
        <v>Sweet</v>
      </c>
      <c r="G516" s="178">
        <f>IF(E516="",0,'Pantry Inventory'!P102)</f>
        <v>0</v>
      </c>
      <c r="H516" s="178">
        <f>IF(E516="","",IF('Pantry Inventory'!Q102="","",'Pantry Inventory'!Q102))</f>
        <v>0</v>
      </c>
      <c r="I516" s="178">
        <f>IF(H516="","",'Pantry Inventory'!R102)</f>
        <v>5</v>
      </c>
      <c r="J516" s="179">
        <f>IF(E516="",0,IFERROR(INDEX('Item Purchases'!$Q$4:$Q$30,MATCH(E516,'Item Purchases'!$B$4:$B$30,0)),0))</f>
        <v>5.15</v>
      </c>
      <c r="K516" s="180">
        <f t="shared" si="68"/>
        <v>25.75</v>
      </c>
      <c r="L516" s="178">
        <f t="shared" si="69"/>
        <v>1</v>
      </c>
      <c r="M516" s="178">
        <f>IF(E516="",0,IF(AND(OR(OR(Dashboard!$E$5="All",Dashboard!$E$5=""),AG516=Dashboard!$E$5),OR(OR(Dashboard!$H$5="All",Dashboard!$H$5=""),F516=Dashboard!$H$5),OR(OR(Dashboard!$B$5="All",Dashboard!$B$5=""),C516=Dashboard!$B$5),OR(OR(Dashboard!$K$5="All",Dashboard!$K$5=""),A516=Dashboard!$K$5),OR(OR(Dashboard!$N$5="All",Dashboard!$N$5=""),B516=Dashboard!$N$5),OR(OR(Dashboard!$Q$5="All",Dashboard!$Q$5=""),D516=Dashboard!$Q$5),OR(OR(Dashboard!$U$5="All",Dashboard!$U$5=""),E516=Dashboard!$U$5)),1,0))</f>
        <v>1</v>
      </c>
      <c r="N516" s="178">
        <f>IF(E516="",0,IF(AND(OR(OR(Dashboard!$E$5="All",Dashboard!$E$5=""),AG516=Dashboard!$E$5),OR(OR(Dashboard!$B$5="All",Dashboard!$B$5=""),C516=Dashboard!$B$5),OR(OR(Dashboard!$K$5="All",Dashboard!$K$5=""),A516=Dashboard!$K$5),OR(OR(Dashboard!$N$5="All",Dashboard!$N$5=""),B516=Dashboard!$N$5),OR(OR(Dashboard!$Q$5="All",Dashboard!$Q$5=""),D516=Dashboard!$Q$5),OR(OR(Dashboard!$U$5="All",Dashboard!$U$5=""),E516=Dashboard!$U$5)),1,0))</f>
        <v>1</v>
      </c>
      <c r="O516" s="165">
        <f t="shared" si="70"/>
        <v>0</v>
      </c>
      <c r="AG516" s="178" t="str">
        <f>IF(E516="","",IFERROR(IF(INDEX('Item Purchases'!$AM$4:$AM$30,MATCH(E516,'Item Purchases'!$B$4:$B$30,0))="","Uncategorised",INDEX('Item Purchases'!$AM$4:$AM$30,MATCH(E516,'Item Purchases'!$B$4:$B$30,0))),"Uncategorised"))</f>
        <v>Snacks</v>
      </c>
      <c r="AH516" s="165">
        <f>IF(AND(E516&lt;&gt;"",L516=1),COUNTIFS($E$2:E516,E516,$L$2:L516,1),0)</f>
        <v>20</v>
      </c>
      <c r="AI516" s="165">
        <f t="shared" si="71"/>
        <v>5</v>
      </c>
      <c r="AJ516" s="165">
        <f t="shared" si="72"/>
        <v>0</v>
      </c>
    </row>
    <row r="517" spans="1:36" x14ac:dyDescent="0.25">
      <c r="A517" s="177">
        <f t="shared" si="73"/>
        <v>46293</v>
      </c>
      <c r="B517" s="178" t="str">
        <f t="shared" si="67"/>
        <v>Mon</v>
      </c>
      <c r="C517" s="178" t="str">
        <f>'Pantry Inventory'!$A$98</f>
        <v>Sep Week 4</v>
      </c>
      <c r="D517" s="178" t="str">
        <f>IF('Pantry Inventory'!A103="","",'Pantry Inventory'!A103)</f>
        <v>Julie's</v>
      </c>
      <c r="E517" s="178" t="str">
        <f>IF('Pantry Inventory'!B103="","",'Pantry Inventory'!B103)</f>
        <v>Julies Choco More Sandwich (44G)</v>
      </c>
      <c r="F517" s="178" t="str">
        <f>IF(E517="","",IFERROR(IF(INDEX('Item Purchases'!$S$4:$S$30,MATCH(E517,'Item Purchases'!$B$4:$B$30,0))="","Uncategorised",INDEX('Item Purchases'!$S$4:$S$30,MATCH(E517,'Item Purchases'!$B$4:$B$30,0))),"Uncategorised"))</f>
        <v>Sweet</v>
      </c>
      <c r="G517" s="178">
        <f>IF(E517="",0,'Pantry Inventory'!P103)</f>
        <v>40</v>
      </c>
      <c r="H517" s="178">
        <f>IF(E517="","",IF('Pantry Inventory'!Q103="","",'Pantry Inventory'!Q103))</f>
        <v>40</v>
      </c>
      <c r="I517" s="178">
        <f>IF(H517="","",'Pantry Inventory'!R103)</f>
        <v>1</v>
      </c>
      <c r="J517" s="179">
        <f>IF(E517="",0,IFERROR(INDEX('Item Purchases'!$Q$4:$Q$30,MATCH(E517,'Item Purchases'!$B$4:$B$30,0)),0))</f>
        <v>1.2</v>
      </c>
      <c r="K517" s="180">
        <f t="shared" si="68"/>
        <v>1.2</v>
      </c>
      <c r="L517" s="178">
        <f t="shared" si="69"/>
        <v>1</v>
      </c>
      <c r="M517" s="178">
        <f>IF(E517="",0,IF(AND(OR(OR(Dashboard!$E$5="All",Dashboard!$E$5=""),AG517=Dashboard!$E$5),OR(OR(Dashboard!$H$5="All",Dashboard!$H$5=""),F517=Dashboard!$H$5),OR(OR(Dashboard!$B$5="All",Dashboard!$B$5=""),C517=Dashboard!$B$5),OR(OR(Dashboard!$K$5="All",Dashboard!$K$5=""),A517=Dashboard!$K$5),OR(OR(Dashboard!$N$5="All",Dashboard!$N$5=""),B517=Dashboard!$N$5),OR(OR(Dashboard!$Q$5="All",Dashboard!$Q$5=""),D517=Dashboard!$Q$5),OR(OR(Dashboard!$U$5="All",Dashboard!$U$5=""),E517=Dashboard!$U$5)),1,0))</f>
        <v>1</v>
      </c>
      <c r="N517" s="178">
        <f>IF(E517="",0,IF(AND(OR(OR(Dashboard!$E$5="All",Dashboard!$E$5=""),AG517=Dashboard!$E$5),OR(OR(Dashboard!$B$5="All",Dashboard!$B$5=""),C517=Dashboard!$B$5),OR(OR(Dashboard!$K$5="All",Dashboard!$K$5=""),A517=Dashboard!$K$5),OR(OR(Dashboard!$N$5="All",Dashboard!$N$5=""),B517=Dashboard!$N$5),OR(OR(Dashboard!$Q$5="All",Dashboard!$Q$5=""),D517=Dashboard!$Q$5),OR(OR(Dashboard!$U$5="All",Dashboard!$U$5=""),E517=Dashboard!$U$5)),1,0))</f>
        <v>1</v>
      </c>
      <c r="O517" s="165">
        <f t="shared" si="70"/>
        <v>1</v>
      </c>
      <c r="AG517" s="178" t="str">
        <f>IF(E517="","",IFERROR(IF(INDEX('Item Purchases'!$AM$4:$AM$30,MATCH(E517,'Item Purchases'!$B$4:$B$30,0))="","Uncategorised",INDEX('Item Purchases'!$AM$4:$AM$30,MATCH(E517,'Item Purchases'!$B$4:$B$30,0))),"Uncategorised"))</f>
        <v>Snacks</v>
      </c>
      <c r="AH517" s="165">
        <f>IF(AND(E517&lt;&gt;"",L517=1),COUNTIFS($E$2:E517,E517,$L$2:L517,1),0)</f>
        <v>20</v>
      </c>
      <c r="AI517" s="165">
        <f t="shared" si="71"/>
        <v>1</v>
      </c>
      <c r="AJ517" s="165">
        <f t="shared" si="72"/>
        <v>1</v>
      </c>
    </row>
    <row r="518" spans="1:36" x14ac:dyDescent="0.25">
      <c r="A518" s="177">
        <f t="shared" si="73"/>
        <v>46293</v>
      </c>
      <c r="B518" s="178" t="str">
        <f t="shared" si="67"/>
        <v>Mon</v>
      </c>
      <c r="C518" s="178" t="str">
        <f>'Pantry Inventory'!$A$98</f>
        <v>Sep Week 4</v>
      </c>
      <c r="D518" s="178" t="str">
        <f>IF('Pantry Inventory'!A104="","",'Pantry Inventory'!A104)</f>
        <v>Julie's</v>
      </c>
      <c r="E518" s="178" t="str">
        <f>IF('Pantry Inventory'!B104="","",'Pantry Inventory'!B104)</f>
        <v>Julies Cheese Sandwich (28G)</v>
      </c>
      <c r="F518" s="178" t="str">
        <f>IF(E518="","",IFERROR(IF(INDEX('Item Purchases'!$S$4:$S$30,MATCH(E518,'Item Purchases'!$B$4:$B$30,0))="","Uncategorised",INDEX('Item Purchases'!$S$4:$S$30,MATCH(E518,'Item Purchases'!$B$4:$B$30,0))),"Uncategorised"))</f>
        <v>Savoury</v>
      </c>
      <c r="G518" s="178">
        <f>IF(E518="",0,'Pantry Inventory'!P104)</f>
        <v>36</v>
      </c>
      <c r="H518" s="178">
        <f>IF(E518="","",IF('Pantry Inventory'!Q104="","",'Pantry Inventory'!Q104))</f>
        <v>36</v>
      </c>
      <c r="I518" s="178">
        <f>IF(H518="","",'Pantry Inventory'!R104)</f>
        <v>0</v>
      </c>
      <c r="J518" s="179">
        <f>IF(E518="",0,IFERROR(INDEX('Item Purchases'!$Q$4:$Q$30,MATCH(E518,'Item Purchases'!$B$4:$B$30,0)),0))</f>
        <v>1.1000000000000001</v>
      </c>
      <c r="K518" s="180">
        <f t="shared" si="68"/>
        <v>0</v>
      </c>
      <c r="L518" s="178">
        <f t="shared" si="69"/>
        <v>1</v>
      </c>
      <c r="M518" s="178">
        <f>IF(E518="",0,IF(AND(OR(OR(Dashboard!$E$5="All",Dashboard!$E$5=""),AG518=Dashboard!$E$5),OR(OR(Dashboard!$H$5="All",Dashboard!$H$5=""),F518=Dashboard!$H$5),OR(OR(Dashboard!$B$5="All",Dashboard!$B$5=""),C518=Dashboard!$B$5),OR(OR(Dashboard!$K$5="All",Dashboard!$K$5=""),A518=Dashboard!$K$5),OR(OR(Dashboard!$N$5="All",Dashboard!$N$5=""),B518=Dashboard!$N$5),OR(OR(Dashboard!$Q$5="All",Dashboard!$Q$5=""),D518=Dashboard!$Q$5),OR(OR(Dashboard!$U$5="All",Dashboard!$U$5=""),E518=Dashboard!$U$5)),1,0))</f>
        <v>1</v>
      </c>
      <c r="N518" s="178">
        <f>IF(E518="",0,IF(AND(OR(OR(Dashboard!$E$5="All",Dashboard!$E$5=""),AG518=Dashboard!$E$5),OR(OR(Dashboard!$B$5="All",Dashboard!$B$5=""),C518=Dashboard!$B$5),OR(OR(Dashboard!$K$5="All",Dashboard!$K$5=""),A518=Dashboard!$K$5),OR(OR(Dashboard!$N$5="All",Dashboard!$N$5=""),B518=Dashboard!$N$5),OR(OR(Dashboard!$Q$5="All",Dashboard!$Q$5=""),D518=Dashboard!$Q$5),OR(OR(Dashboard!$U$5="All",Dashboard!$U$5=""),E518=Dashboard!$U$5)),1,0))</f>
        <v>1</v>
      </c>
      <c r="O518" s="165">
        <f t="shared" si="70"/>
        <v>0</v>
      </c>
      <c r="AG518" s="178" t="str">
        <f>IF(E518="","",IFERROR(IF(INDEX('Item Purchases'!$AM$4:$AM$30,MATCH(E518,'Item Purchases'!$B$4:$B$30,0))="","Uncategorised",INDEX('Item Purchases'!$AM$4:$AM$30,MATCH(E518,'Item Purchases'!$B$4:$B$30,0))),"Uncategorised"))</f>
        <v>Snacks</v>
      </c>
      <c r="AH518" s="165">
        <f>IF(AND(E518&lt;&gt;"",L518=1),COUNTIFS($E$2:E518,E518,$L$2:L518,1),0)</f>
        <v>20</v>
      </c>
      <c r="AI518" s="165">
        <f t="shared" si="71"/>
        <v>0</v>
      </c>
      <c r="AJ518" s="165">
        <f t="shared" si="72"/>
        <v>1</v>
      </c>
    </row>
    <row r="519" spans="1:36" x14ac:dyDescent="0.25">
      <c r="A519" s="177">
        <f t="shared" si="73"/>
        <v>46293</v>
      </c>
      <c r="B519" s="178" t="str">
        <f t="shared" si="67"/>
        <v>Mon</v>
      </c>
      <c r="C519" s="178" t="str">
        <f>'Pantry Inventory'!$A$98</f>
        <v>Sep Week 4</v>
      </c>
      <c r="D519" s="178" t="str">
        <f>IF('Pantry Inventory'!A105="","",'Pantry Inventory'!A105)</f>
        <v>Nature Valley</v>
      </c>
      <c r="E519" s="178" t="str">
        <f>IF('Pantry Inventory'!B105="","",'Pantry Inventory'!B105)</f>
        <v>NV OATS &amp; DARK CHOC 42GX5</v>
      </c>
      <c r="F519" s="178" t="str">
        <f>IF(E519="","",IFERROR(IF(INDEX('Item Purchases'!$S$4:$S$30,MATCH(E519,'Item Purchases'!$B$4:$B$30,0))="","Uncategorised",INDEX('Item Purchases'!$S$4:$S$30,MATCH(E519,'Item Purchases'!$B$4:$B$30,0))),"Uncategorised"))</f>
        <v>Sweet</v>
      </c>
      <c r="G519" s="178">
        <f>IF(E519="",0,'Pantry Inventory'!P105)</f>
        <v>0</v>
      </c>
      <c r="H519" s="178">
        <f>IF(E519="","",IF('Pantry Inventory'!Q105="","",'Pantry Inventory'!Q105))</f>
        <v>0</v>
      </c>
      <c r="I519" s="178">
        <f>IF(H519="","",'Pantry Inventory'!R105)</f>
        <v>0</v>
      </c>
      <c r="J519" s="179">
        <f>IF(E519="",0,IFERROR(INDEX('Item Purchases'!$Q$4:$Q$30,MATCH(E519,'Item Purchases'!$B$4:$B$30,0)),0))</f>
        <v>2.78</v>
      </c>
      <c r="K519" s="180">
        <f t="shared" si="68"/>
        <v>0</v>
      </c>
      <c r="L519" s="178">
        <f t="shared" si="69"/>
        <v>1</v>
      </c>
      <c r="M519" s="178">
        <f>IF(E519="",0,IF(AND(OR(OR(Dashboard!$E$5="All",Dashboard!$E$5=""),AG519=Dashboard!$E$5),OR(OR(Dashboard!$H$5="All",Dashboard!$H$5=""),F519=Dashboard!$H$5),OR(OR(Dashboard!$B$5="All",Dashboard!$B$5=""),C519=Dashboard!$B$5),OR(OR(Dashboard!$K$5="All",Dashboard!$K$5=""),A519=Dashboard!$K$5),OR(OR(Dashboard!$N$5="All",Dashboard!$N$5=""),B519=Dashboard!$N$5),OR(OR(Dashboard!$Q$5="All",Dashboard!$Q$5=""),D519=Dashboard!$Q$5),OR(OR(Dashboard!$U$5="All",Dashboard!$U$5=""),E519=Dashboard!$U$5)),1,0))</f>
        <v>1</v>
      </c>
      <c r="N519" s="178">
        <f>IF(E519="",0,IF(AND(OR(OR(Dashboard!$E$5="All",Dashboard!$E$5=""),AG519=Dashboard!$E$5),OR(OR(Dashboard!$B$5="All",Dashboard!$B$5=""),C519=Dashboard!$B$5),OR(OR(Dashboard!$K$5="All",Dashboard!$K$5=""),A519=Dashboard!$K$5),OR(OR(Dashboard!$N$5="All",Dashboard!$N$5=""),B519=Dashboard!$N$5),OR(OR(Dashboard!$Q$5="All",Dashboard!$Q$5=""),D519=Dashboard!$Q$5),OR(OR(Dashboard!$U$5="All",Dashboard!$U$5=""),E519=Dashboard!$U$5)),1,0))</f>
        <v>1</v>
      </c>
      <c r="O519" s="165">
        <f t="shared" si="70"/>
        <v>0</v>
      </c>
      <c r="AG519" s="178" t="str">
        <f>IF(E519="","",IFERROR(IF(INDEX('Item Purchases'!$AM$4:$AM$30,MATCH(E519,'Item Purchases'!$B$4:$B$30,0))="","Uncategorised",INDEX('Item Purchases'!$AM$4:$AM$30,MATCH(E519,'Item Purchases'!$B$4:$B$30,0))),"Uncategorised"))</f>
        <v>Snacks</v>
      </c>
      <c r="AH519" s="165">
        <f>IF(AND(E519&lt;&gt;"",L519=1),COUNTIFS($E$2:E519,E519,$L$2:L519,1),0)</f>
        <v>20</v>
      </c>
      <c r="AI519" s="165">
        <f t="shared" si="71"/>
        <v>0</v>
      </c>
      <c r="AJ519" s="165">
        <f t="shared" si="72"/>
        <v>0</v>
      </c>
    </row>
    <row r="520" spans="1:36" x14ac:dyDescent="0.25">
      <c r="A520" s="177">
        <f t="shared" si="73"/>
        <v>46293</v>
      </c>
      <c r="B520" s="178" t="str">
        <f t="shared" si="67"/>
        <v>Mon</v>
      </c>
      <c r="C520" s="178" t="str">
        <f>'Pantry Inventory'!$A$98</f>
        <v>Sep Week 4</v>
      </c>
      <c r="D520" s="178" t="str">
        <f>IF('Pantry Inventory'!A106="","",'Pantry Inventory'!A106)</f>
        <v>Nature Valley</v>
      </c>
      <c r="E520" s="178" t="str">
        <f>IF('Pantry Inventory'!B106="","",'Pantry Inventory'!B106)</f>
        <v xml:space="preserve">NV PROTEIN - SALTED CARAMEL 40G </v>
      </c>
      <c r="F520" s="178" t="str">
        <f>IF(E520="","",IFERROR(IF(INDEX('Item Purchases'!$S$4:$S$30,MATCH(E520,'Item Purchases'!$B$4:$B$30,0))="","Uncategorised",INDEX('Item Purchases'!$S$4:$S$30,MATCH(E520,'Item Purchases'!$B$4:$B$30,0))),"Uncategorised"))</f>
        <v>Sweet</v>
      </c>
      <c r="G520" s="178">
        <f>IF(E520="",0,'Pantry Inventory'!P106)</f>
        <v>0</v>
      </c>
      <c r="H520" s="178">
        <f>IF(E520="","",IF('Pantry Inventory'!Q106="","",'Pantry Inventory'!Q106))</f>
        <v>0</v>
      </c>
      <c r="I520" s="178">
        <f>IF(H520="","",'Pantry Inventory'!R106)</f>
        <v>0</v>
      </c>
      <c r="J520" s="179">
        <f>IF(E520="",0,IFERROR(INDEX('Item Purchases'!$Q$4:$Q$30,MATCH(E520,'Item Purchases'!$B$4:$B$30,0)),0))</f>
        <v>4.9000000000000004</v>
      </c>
      <c r="K520" s="180">
        <f t="shared" si="68"/>
        <v>0</v>
      </c>
      <c r="L520" s="178">
        <f t="shared" si="69"/>
        <v>1</v>
      </c>
      <c r="M520" s="178">
        <f>IF(E520="",0,IF(AND(OR(OR(Dashboard!$E$5="All",Dashboard!$E$5=""),AG520=Dashboard!$E$5),OR(OR(Dashboard!$H$5="All",Dashboard!$H$5=""),F520=Dashboard!$H$5),OR(OR(Dashboard!$B$5="All",Dashboard!$B$5=""),C520=Dashboard!$B$5),OR(OR(Dashboard!$K$5="All",Dashboard!$K$5=""),A520=Dashboard!$K$5),OR(OR(Dashboard!$N$5="All",Dashboard!$N$5=""),B520=Dashboard!$N$5),OR(OR(Dashboard!$Q$5="All",Dashboard!$Q$5=""),D520=Dashboard!$Q$5),OR(OR(Dashboard!$U$5="All",Dashboard!$U$5=""),E520=Dashboard!$U$5)),1,0))</f>
        <v>1</v>
      </c>
      <c r="N520" s="178">
        <f>IF(E520="",0,IF(AND(OR(OR(Dashboard!$E$5="All",Dashboard!$E$5=""),AG520=Dashboard!$E$5),OR(OR(Dashboard!$B$5="All",Dashboard!$B$5=""),C520=Dashboard!$B$5),OR(OR(Dashboard!$K$5="All",Dashboard!$K$5=""),A520=Dashboard!$K$5),OR(OR(Dashboard!$N$5="All",Dashboard!$N$5=""),B520=Dashboard!$N$5),OR(OR(Dashboard!$Q$5="All",Dashboard!$Q$5=""),D520=Dashboard!$Q$5),OR(OR(Dashboard!$U$5="All",Dashboard!$U$5=""),E520=Dashboard!$U$5)),1,0))</f>
        <v>1</v>
      </c>
      <c r="O520" s="165">
        <f t="shared" si="70"/>
        <v>0</v>
      </c>
      <c r="AG520" s="178" t="str">
        <f>IF(E520="","",IFERROR(IF(INDEX('Item Purchases'!$AM$4:$AM$30,MATCH(E520,'Item Purchases'!$B$4:$B$30,0))="","Uncategorised",INDEX('Item Purchases'!$AM$4:$AM$30,MATCH(E520,'Item Purchases'!$B$4:$B$30,0))),"Uncategorised"))</f>
        <v>Snacks</v>
      </c>
      <c r="AH520" s="165">
        <f>IF(AND(E520&lt;&gt;"",L520=1),COUNTIFS($E$2:E520,E520,$L$2:L520,1),0)</f>
        <v>20</v>
      </c>
      <c r="AI520" s="165">
        <f t="shared" si="71"/>
        <v>0</v>
      </c>
      <c r="AJ520" s="165">
        <f t="shared" si="72"/>
        <v>0</v>
      </c>
    </row>
    <row r="521" spans="1:36" x14ac:dyDescent="0.25">
      <c r="A521" s="177">
        <f t="shared" si="73"/>
        <v>46293</v>
      </c>
      <c r="B521" s="178" t="str">
        <f t="shared" si="67"/>
        <v>Mon</v>
      </c>
      <c r="C521" s="178" t="str">
        <f>'Pantry Inventory'!$A$98</f>
        <v>Sep Week 4</v>
      </c>
      <c r="D521" s="178" t="str">
        <f>IF('Pantry Inventory'!A107="","",'Pantry Inventory'!A107)</f>
        <v>BBMG</v>
      </c>
      <c r="E521" s="178" t="str">
        <f>IF('Pantry Inventory'!B107="","",'Pantry Inventory'!B107)</f>
        <v>BBMG 90G</v>
      </c>
      <c r="F521" s="178" t="str">
        <f>IF(E521="","",IFERROR(IF(INDEX('Item Purchases'!$S$4:$S$30,MATCH(E521,'Item Purchases'!$B$4:$B$30,0))="","Uncategorised",INDEX('Item Purchases'!$S$4:$S$30,MATCH(E521,'Item Purchases'!$B$4:$B$30,0))),"Uncategorised"))</f>
        <v>Savoury</v>
      </c>
      <c r="G521" s="178">
        <f>IF(E521="",0,'Pantry Inventory'!P107)</f>
        <v>160</v>
      </c>
      <c r="H521" s="178">
        <f>IF(E521="","",IF('Pantry Inventory'!Q107="","",'Pantry Inventory'!Q107))</f>
        <v>161</v>
      </c>
      <c r="I521" s="178">
        <f>IF(H521="","",'Pantry Inventory'!R107)</f>
        <v>43</v>
      </c>
      <c r="J521" s="179">
        <f>IF(E521="",0,IFERROR(INDEX('Item Purchases'!$Q$4:$Q$30,MATCH(E521,'Item Purchases'!$B$4:$B$30,0)),0))</f>
        <v>0.34300000000000003</v>
      </c>
      <c r="K521" s="180">
        <f t="shared" si="68"/>
        <v>14.749000000000001</v>
      </c>
      <c r="L521" s="178">
        <f t="shared" si="69"/>
        <v>1</v>
      </c>
      <c r="M521" s="178">
        <f>IF(E521="",0,IF(AND(OR(OR(Dashboard!$E$5="All",Dashboard!$E$5=""),AG521=Dashboard!$E$5),OR(OR(Dashboard!$H$5="All",Dashboard!$H$5=""),F521=Dashboard!$H$5),OR(OR(Dashboard!$B$5="All",Dashboard!$B$5=""),C521=Dashboard!$B$5),OR(OR(Dashboard!$K$5="All",Dashboard!$K$5=""),A521=Dashboard!$K$5),OR(OR(Dashboard!$N$5="All",Dashboard!$N$5=""),B521=Dashboard!$N$5),OR(OR(Dashboard!$Q$5="All",Dashboard!$Q$5=""),D521=Dashboard!$Q$5),OR(OR(Dashboard!$U$5="All",Dashboard!$U$5=""),E521=Dashboard!$U$5)),1,0))</f>
        <v>1</v>
      </c>
      <c r="N521" s="178">
        <f>IF(E521="",0,IF(AND(OR(OR(Dashboard!$E$5="All",Dashboard!$E$5=""),AG521=Dashboard!$E$5),OR(OR(Dashboard!$B$5="All",Dashboard!$B$5=""),C521=Dashboard!$B$5),OR(OR(Dashboard!$K$5="All",Dashboard!$K$5=""),A521=Dashboard!$K$5),OR(OR(Dashboard!$N$5="All",Dashboard!$N$5=""),B521=Dashboard!$N$5),OR(OR(Dashboard!$Q$5="All",Dashboard!$Q$5=""),D521=Dashboard!$Q$5),OR(OR(Dashboard!$U$5="All",Dashboard!$U$5=""),E521=Dashboard!$U$5)),1,0))</f>
        <v>1</v>
      </c>
      <c r="O521" s="165">
        <f t="shared" si="70"/>
        <v>1849</v>
      </c>
      <c r="AG521" s="178" t="str">
        <f>IF(E521="","",IFERROR(IF(INDEX('Item Purchases'!$AM$4:$AM$30,MATCH(E521,'Item Purchases'!$B$4:$B$30,0))="","Uncategorised",INDEX('Item Purchases'!$AM$4:$AM$30,MATCH(E521,'Item Purchases'!$B$4:$B$30,0))),"Uncategorised"))</f>
        <v>Snacks</v>
      </c>
      <c r="AH521" s="165">
        <f>IF(AND(E521&lt;&gt;"",L521=1),COUNTIFS($E$2:E521,E521,$L$2:L521,1),0)</f>
        <v>20</v>
      </c>
      <c r="AI521" s="165">
        <f t="shared" si="71"/>
        <v>43</v>
      </c>
      <c r="AJ521" s="165">
        <f t="shared" si="72"/>
        <v>1</v>
      </c>
    </row>
    <row r="522" spans="1:36" x14ac:dyDescent="0.25">
      <c r="A522" s="177">
        <f t="shared" si="73"/>
        <v>46293</v>
      </c>
      <c r="B522" s="178" t="str">
        <f t="shared" si="67"/>
        <v>Mon</v>
      </c>
      <c r="C522" s="178" t="str">
        <f>'Pantry Inventory'!$A$98</f>
        <v>Sep Week 4</v>
      </c>
      <c r="D522" s="178" t="str">
        <f>IF('Pantry Inventory'!A108="","",'Pantry Inventory'!A108)</f>
        <v>Lays</v>
      </c>
      <c r="E522" s="178" t="str">
        <f>IF('Pantry Inventory'!B108="","",'Pantry Inventory'!B108)</f>
        <v>Lays Potato Chips (Original) 50g</v>
      </c>
      <c r="F522" s="178" t="str">
        <f>IF(E522="","",IFERROR(IF(INDEX('Item Purchases'!$S$4:$S$30,MATCH(E522,'Item Purchases'!$B$4:$B$30,0))="","Uncategorised",INDEX('Item Purchases'!$S$4:$S$30,MATCH(E522,'Item Purchases'!$B$4:$B$30,0))),"Uncategorised"))</f>
        <v>Savoury</v>
      </c>
      <c r="G522" s="178">
        <f>IF(E522="",0,'Pantry Inventory'!P108)</f>
        <v>24</v>
      </c>
      <c r="H522" s="178">
        <f>IF(E522="","",IF('Pantry Inventory'!Q108="","",'Pantry Inventory'!Q108))</f>
        <v>28</v>
      </c>
      <c r="I522" s="178">
        <f>IF(H522="","",'Pantry Inventory'!R108)</f>
        <v>9</v>
      </c>
      <c r="J522" s="179">
        <f>IF(E522="",0,IFERROR(INDEX('Item Purchases'!$Q$4:$Q$30,MATCH(E522,'Item Purchases'!$B$4:$B$30,0)),0))</f>
        <v>3.4580000000000002</v>
      </c>
      <c r="K522" s="180">
        <f t="shared" si="68"/>
        <v>31.122</v>
      </c>
      <c r="L522" s="178">
        <f t="shared" si="69"/>
        <v>1</v>
      </c>
      <c r="M522" s="178">
        <f>IF(E522="",0,IF(AND(OR(OR(Dashboard!$E$5="All",Dashboard!$E$5=""),AG522=Dashboard!$E$5),OR(OR(Dashboard!$H$5="All",Dashboard!$H$5=""),F522=Dashboard!$H$5),OR(OR(Dashboard!$B$5="All",Dashboard!$B$5=""),C522=Dashboard!$B$5),OR(OR(Dashboard!$K$5="All",Dashboard!$K$5=""),A522=Dashboard!$K$5),OR(OR(Dashboard!$N$5="All",Dashboard!$N$5=""),B522=Dashboard!$N$5),OR(OR(Dashboard!$Q$5="All",Dashboard!$Q$5=""),D522=Dashboard!$Q$5),OR(OR(Dashboard!$U$5="All",Dashboard!$U$5=""),E522=Dashboard!$U$5)),1,0))</f>
        <v>1</v>
      </c>
      <c r="N522" s="178">
        <f>IF(E522="",0,IF(AND(OR(OR(Dashboard!$E$5="All",Dashboard!$E$5=""),AG522=Dashboard!$E$5),OR(OR(Dashboard!$B$5="All",Dashboard!$B$5=""),C522=Dashboard!$B$5),OR(OR(Dashboard!$K$5="All",Dashboard!$K$5=""),A522=Dashboard!$K$5),OR(OR(Dashboard!$N$5="All",Dashboard!$N$5=""),B522=Dashboard!$N$5),OR(OR(Dashboard!$Q$5="All",Dashboard!$Q$5=""),D522=Dashboard!$Q$5),OR(OR(Dashboard!$U$5="All",Dashboard!$U$5=""),E522=Dashboard!$U$5)),1,0))</f>
        <v>1</v>
      </c>
      <c r="O522" s="165">
        <f t="shared" si="70"/>
        <v>81</v>
      </c>
      <c r="AG522" s="178" t="str">
        <f>IF(E522="","",IFERROR(IF(INDEX('Item Purchases'!$AM$4:$AM$30,MATCH(E522,'Item Purchases'!$B$4:$B$30,0))="","Uncategorised",INDEX('Item Purchases'!$AM$4:$AM$30,MATCH(E522,'Item Purchases'!$B$4:$B$30,0))),"Uncategorised"))</f>
        <v>Snacks</v>
      </c>
      <c r="AH522" s="165">
        <f>IF(AND(E522&lt;&gt;"",L522=1),COUNTIFS($E$2:E522,E522,$L$2:L522,1),0)</f>
        <v>20</v>
      </c>
      <c r="AI522" s="165">
        <f t="shared" si="71"/>
        <v>9</v>
      </c>
      <c r="AJ522" s="165">
        <f t="shared" si="72"/>
        <v>1</v>
      </c>
    </row>
    <row r="523" spans="1:36" x14ac:dyDescent="0.25">
      <c r="A523" s="177">
        <f t="shared" si="73"/>
        <v>46293</v>
      </c>
      <c r="B523" s="178" t="str">
        <f t="shared" si="67"/>
        <v>Mon</v>
      </c>
      <c r="C523" s="178" t="str">
        <f>'Pantry Inventory'!$A$98</f>
        <v>Sep Week 4</v>
      </c>
      <c r="D523" s="178" t="str">
        <f>IF('Pantry Inventory'!A109="","",'Pantry Inventory'!A109)</f>
        <v>Lays</v>
      </c>
      <c r="E523" s="178" t="str">
        <f>IF('Pantry Inventory'!B109="","",'Pantry Inventory'!B109)</f>
        <v xml:space="preserve">Lays Double Crunch - Seaweed Flav (50g) </v>
      </c>
      <c r="F523" s="178" t="str">
        <f>IF(E523="","",IFERROR(IF(INDEX('Item Purchases'!$S$4:$S$30,MATCH(E523,'Item Purchases'!$B$4:$B$30,0))="","Uncategorised",INDEX('Item Purchases'!$S$4:$S$30,MATCH(E523,'Item Purchases'!$B$4:$B$30,0))),"Uncategorised"))</f>
        <v>Savoury</v>
      </c>
      <c r="G523" s="178">
        <f>IF(E523="",0,'Pantry Inventory'!P109)</f>
        <v>24</v>
      </c>
      <c r="H523" s="178">
        <f>IF(E523="","",IF('Pantry Inventory'!Q109="","",'Pantry Inventory'!Q109))</f>
        <v>37</v>
      </c>
      <c r="I523" s="178">
        <f>IF(H523="","",'Pantry Inventory'!R109)</f>
        <v>22</v>
      </c>
      <c r="J523" s="179">
        <f>IF(E523="",0,IFERROR(INDEX('Item Purchases'!$Q$4:$Q$30,MATCH(E523,'Item Purchases'!$B$4:$B$30,0)),0))</f>
        <v>4</v>
      </c>
      <c r="K523" s="180">
        <f t="shared" si="68"/>
        <v>88</v>
      </c>
      <c r="L523" s="178">
        <f t="shared" si="69"/>
        <v>1</v>
      </c>
      <c r="M523" s="178">
        <f>IF(E523="",0,IF(AND(OR(OR(Dashboard!$E$5="All",Dashboard!$E$5=""),AG523=Dashboard!$E$5),OR(OR(Dashboard!$H$5="All",Dashboard!$H$5=""),F523=Dashboard!$H$5),OR(OR(Dashboard!$B$5="All",Dashboard!$B$5=""),C523=Dashboard!$B$5),OR(OR(Dashboard!$K$5="All",Dashboard!$K$5=""),A523=Dashboard!$K$5),OR(OR(Dashboard!$N$5="All",Dashboard!$N$5=""),B523=Dashboard!$N$5),OR(OR(Dashboard!$Q$5="All",Dashboard!$Q$5=""),D523=Dashboard!$Q$5),OR(OR(Dashboard!$U$5="All",Dashboard!$U$5=""),E523=Dashboard!$U$5)),1,0))</f>
        <v>1</v>
      </c>
      <c r="N523" s="178">
        <f>IF(E523="",0,IF(AND(OR(OR(Dashboard!$E$5="All",Dashboard!$E$5=""),AG523=Dashboard!$E$5),OR(OR(Dashboard!$B$5="All",Dashboard!$B$5=""),C523=Dashboard!$B$5),OR(OR(Dashboard!$K$5="All",Dashboard!$K$5=""),A523=Dashboard!$K$5),OR(OR(Dashboard!$N$5="All",Dashboard!$N$5=""),B523=Dashboard!$N$5),OR(OR(Dashboard!$Q$5="All",Dashboard!$Q$5=""),D523=Dashboard!$Q$5),OR(OR(Dashboard!$U$5="All",Dashboard!$U$5=""),E523=Dashboard!$U$5)),1,0))</f>
        <v>1</v>
      </c>
      <c r="O523" s="165">
        <f t="shared" si="70"/>
        <v>484</v>
      </c>
      <c r="AG523" s="178" t="str">
        <f>IF(E523="","",IFERROR(IF(INDEX('Item Purchases'!$AM$4:$AM$30,MATCH(E523,'Item Purchases'!$B$4:$B$30,0))="","Uncategorised",INDEX('Item Purchases'!$AM$4:$AM$30,MATCH(E523,'Item Purchases'!$B$4:$B$30,0))),"Uncategorised"))</f>
        <v>Snacks</v>
      </c>
      <c r="AH523" s="165">
        <f>IF(AND(E523&lt;&gt;"",L523=1),COUNTIFS($E$2:E523,E523,$L$2:L523,1),0)</f>
        <v>20</v>
      </c>
      <c r="AI523" s="165">
        <f t="shared" si="71"/>
        <v>22</v>
      </c>
      <c r="AJ523" s="165">
        <f t="shared" si="72"/>
        <v>1</v>
      </c>
    </row>
    <row r="524" spans="1:36" x14ac:dyDescent="0.25">
      <c r="A524" s="177">
        <f t="shared" si="73"/>
        <v>46293</v>
      </c>
      <c r="B524" s="178" t="str">
        <f t="shared" si="67"/>
        <v>Mon</v>
      </c>
      <c r="C524" s="178" t="str">
        <f>'Pantry Inventory'!$A$98</f>
        <v>Sep Week 4</v>
      </c>
      <c r="D524" s="178" t="str">
        <f>IF('Pantry Inventory'!A110="","",'Pantry Inventory'!A110)</f>
        <v>Munchy</v>
      </c>
      <c r="E524" s="178" t="str">
        <f>IF('Pantry Inventory'!B110="","",'Pantry Inventory'!B110)</f>
        <v>Munchy Oat Krunch - Dark Choco</v>
      </c>
      <c r="F524" s="178" t="str">
        <f>IF(E524="","",IFERROR(IF(INDEX('Item Purchases'!$S$4:$S$30,MATCH(E524,'Item Purchases'!$B$4:$B$30,0))="","Uncategorised",INDEX('Item Purchases'!$S$4:$S$30,MATCH(E524,'Item Purchases'!$B$4:$B$30,0))),"Uncategorised"))</f>
        <v>Sweet</v>
      </c>
      <c r="G524" s="178">
        <f>IF(E524="",0,'Pantry Inventory'!P110)</f>
        <v>0</v>
      </c>
      <c r="H524" s="178">
        <f>IF(E524="","",IF('Pantry Inventory'!Q110="","",'Pantry Inventory'!Q110))</f>
        <v>18</v>
      </c>
      <c r="I524" s="178">
        <f>IF(H524="","",'Pantry Inventory'!R110)</f>
        <v>12</v>
      </c>
      <c r="J524" s="179">
        <f>IF(E524="",0,IFERROR(INDEX('Item Purchases'!$Q$4:$Q$30,MATCH(E524,'Item Purchases'!$B$4:$B$30,0)),0))</f>
        <v>0.73</v>
      </c>
      <c r="K524" s="180">
        <f t="shared" si="68"/>
        <v>8.76</v>
      </c>
      <c r="L524" s="178">
        <f t="shared" si="69"/>
        <v>1</v>
      </c>
      <c r="M524" s="178">
        <f>IF(E524="",0,IF(AND(OR(OR(Dashboard!$E$5="All",Dashboard!$E$5=""),AG524=Dashboard!$E$5),OR(OR(Dashboard!$H$5="All",Dashboard!$H$5=""),F524=Dashboard!$H$5),OR(OR(Dashboard!$B$5="All",Dashboard!$B$5=""),C524=Dashboard!$B$5),OR(OR(Dashboard!$K$5="All",Dashboard!$K$5=""),A524=Dashboard!$K$5),OR(OR(Dashboard!$N$5="All",Dashboard!$N$5=""),B524=Dashboard!$N$5),OR(OR(Dashboard!$Q$5="All",Dashboard!$Q$5=""),D524=Dashboard!$Q$5),OR(OR(Dashboard!$U$5="All",Dashboard!$U$5=""),E524=Dashboard!$U$5)),1,0))</f>
        <v>1</v>
      </c>
      <c r="N524" s="178">
        <f>IF(E524="",0,IF(AND(OR(OR(Dashboard!$E$5="All",Dashboard!$E$5=""),AG524=Dashboard!$E$5),OR(OR(Dashboard!$B$5="All",Dashboard!$B$5=""),C524=Dashboard!$B$5),OR(OR(Dashboard!$K$5="All",Dashboard!$K$5=""),A524=Dashboard!$K$5),OR(OR(Dashboard!$N$5="All",Dashboard!$N$5=""),B524=Dashboard!$N$5),OR(OR(Dashboard!$Q$5="All",Dashboard!$Q$5=""),D524=Dashboard!$Q$5),OR(OR(Dashboard!$U$5="All",Dashboard!$U$5=""),E524=Dashboard!$U$5)),1,0))</f>
        <v>1</v>
      </c>
      <c r="O524" s="165">
        <f t="shared" si="70"/>
        <v>144</v>
      </c>
      <c r="AG524" s="178" t="str">
        <f>IF(E524="","",IFERROR(IF(INDEX('Item Purchases'!$AM$4:$AM$30,MATCH(E524,'Item Purchases'!$B$4:$B$30,0))="","Uncategorised",INDEX('Item Purchases'!$AM$4:$AM$30,MATCH(E524,'Item Purchases'!$B$4:$B$30,0))),"Uncategorised"))</f>
        <v>Snacks</v>
      </c>
      <c r="AH524" s="165">
        <f>IF(AND(E524&lt;&gt;"",L524=1),COUNTIFS($E$2:E524,E524,$L$2:L524,1),0)</f>
        <v>20</v>
      </c>
      <c r="AI524" s="165">
        <f t="shared" si="71"/>
        <v>12</v>
      </c>
      <c r="AJ524" s="165">
        <f t="shared" si="72"/>
        <v>1</v>
      </c>
    </row>
    <row r="525" spans="1:36" x14ac:dyDescent="0.25">
      <c r="A525" s="177">
        <f t="shared" si="73"/>
        <v>46293</v>
      </c>
      <c r="B525" s="178" t="str">
        <f t="shared" si="67"/>
        <v>Mon</v>
      </c>
      <c r="C525" s="178" t="str">
        <f>'Pantry Inventory'!$A$98</f>
        <v>Sep Week 4</v>
      </c>
      <c r="D525" s="178" t="str">
        <f>IF('Pantry Inventory'!A111="","",'Pantry Inventory'!A111)</f>
        <v>Munchy</v>
      </c>
      <c r="E525" s="178" t="str">
        <f>IF('Pantry Inventory'!B111="","",'Pantry Inventory'!B111)</f>
        <v>Munchy Oat Krunch - Strawberry &amp; Blackcurrant</v>
      </c>
      <c r="F525" s="178" t="str">
        <f>IF(E525="","",IFERROR(IF(INDEX('Item Purchases'!$S$4:$S$30,MATCH(E525,'Item Purchases'!$B$4:$B$30,0))="","Uncategorised",INDEX('Item Purchases'!$S$4:$S$30,MATCH(E525,'Item Purchases'!$B$4:$B$30,0))),"Uncategorised"))</f>
        <v>Sweet</v>
      </c>
      <c r="G525" s="178">
        <f>IF(E525="",0,'Pantry Inventory'!P111)</f>
        <v>0</v>
      </c>
      <c r="H525" s="178">
        <f>IF(E525="","",IF('Pantry Inventory'!Q111="","",'Pantry Inventory'!Q111))</f>
        <v>31</v>
      </c>
      <c r="I525" s="178">
        <f>IF(H525="","",'Pantry Inventory'!R111)</f>
        <v>12</v>
      </c>
      <c r="J525" s="179">
        <f>IF(E525="",0,IFERROR(INDEX('Item Purchases'!$Q$4:$Q$30,MATCH(E525,'Item Purchases'!$B$4:$B$30,0)),0))</f>
        <v>0.73</v>
      </c>
      <c r="K525" s="180">
        <f t="shared" si="68"/>
        <v>8.76</v>
      </c>
      <c r="L525" s="178">
        <f t="shared" si="69"/>
        <v>1</v>
      </c>
      <c r="M525" s="178">
        <f>IF(E525="",0,IF(AND(OR(OR(Dashboard!$E$5="All",Dashboard!$E$5=""),AG525=Dashboard!$E$5),OR(OR(Dashboard!$H$5="All",Dashboard!$H$5=""),F525=Dashboard!$H$5),OR(OR(Dashboard!$B$5="All",Dashboard!$B$5=""),C525=Dashboard!$B$5),OR(OR(Dashboard!$K$5="All",Dashboard!$K$5=""),A525=Dashboard!$K$5),OR(OR(Dashboard!$N$5="All",Dashboard!$N$5=""),B525=Dashboard!$N$5),OR(OR(Dashboard!$Q$5="All",Dashboard!$Q$5=""),D525=Dashboard!$Q$5),OR(OR(Dashboard!$U$5="All",Dashboard!$U$5=""),E525=Dashboard!$U$5)),1,0))</f>
        <v>1</v>
      </c>
      <c r="N525" s="178">
        <f>IF(E525="",0,IF(AND(OR(OR(Dashboard!$E$5="All",Dashboard!$E$5=""),AG525=Dashboard!$E$5),OR(OR(Dashboard!$B$5="All",Dashboard!$B$5=""),C525=Dashboard!$B$5),OR(OR(Dashboard!$K$5="All",Dashboard!$K$5=""),A525=Dashboard!$K$5),OR(OR(Dashboard!$N$5="All",Dashboard!$N$5=""),B525=Dashboard!$N$5),OR(OR(Dashboard!$Q$5="All",Dashboard!$Q$5=""),D525=Dashboard!$Q$5),OR(OR(Dashboard!$U$5="All",Dashboard!$U$5=""),E525=Dashboard!$U$5)),1,0))</f>
        <v>1</v>
      </c>
      <c r="O525" s="165">
        <f t="shared" si="70"/>
        <v>144</v>
      </c>
      <c r="AG525" s="178" t="str">
        <f>IF(E525="","",IFERROR(IF(INDEX('Item Purchases'!$AM$4:$AM$30,MATCH(E525,'Item Purchases'!$B$4:$B$30,0))="","Uncategorised",INDEX('Item Purchases'!$AM$4:$AM$30,MATCH(E525,'Item Purchases'!$B$4:$B$30,0))),"Uncategorised"))</f>
        <v>Snacks</v>
      </c>
      <c r="AH525" s="165">
        <f>IF(AND(E525&lt;&gt;"",L525=1),COUNTIFS($E$2:E525,E525,$L$2:L525,1),0)</f>
        <v>20</v>
      </c>
      <c r="AI525" s="165">
        <f t="shared" si="71"/>
        <v>12</v>
      </c>
      <c r="AJ525" s="165">
        <f t="shared" si="72"/>
        <v>1</v>
      </c>
    </row>
    <row r="526" spans="1:36" x14ac:dyDescent="0.25">
      <c r="A526" s="177">
        <f t="shared" si="73"/>
        <v>46293</v>
      </c>
      <c r="B526" s="178" t="str">
        <f t="shared" si="67"/>
        <v>Mon</v>
      </c>
      <c r="C526" s="178" t="str">
        <f>'Pantry Inventory'!$A$98</f>
        <v>Sep Week 4</v>
      </c>
      <c r="D526" s="178" t="str">
        <f>IF('Pantry Inventory'!A112="","",'Pantry Inventory'!A112)</f>
        <v/>
      </c>
      <c r="E526" s="178" t="str">
        <f>IF('Pantry Inventory'!B112="","",'Pantry Inventory'!B112)</f>
        <v/>
      </c>
      <c r="F526" s="178" t="str">
        <f>IF(E526="","",IFERROR(IF(INDEX('Item Purchases'!$S$4:$S$30,MATCH(E526,'Item Purchases'!$B$4:$B$30,0))="","Uncategorised",INDEX('Item Purchases'!$S$4:$S$30,MATCH(E526,'Item Purchases'!$B$4:$B$30,0))),"Uncategorised"))</f>
        <v/>
      </c>
      <c r="G526" s="178">
        <f>IF(E526="",0,'Pantry Inventory'!P112)</f>
        <v>0</v>
      </c>
      <c r="H526" s="178" t="str">
        <f>IF(E526="","",IF('Pantry Inventory'!Q112="","",'Pantry Inventory'!Q112))</f>
        <v/>
      </c>
      <c r="I526" s="178" t="str">
        <f>IF(H526="","",'Pantry Inventory'!R112)</f>
        <v/>
      </c>
      <c r="J526" s="179">
        <f>IF(E526="",0,IFERROR(INDEX('Item Purchases'!$Q$4:$Q$30,MATCH(E526,'Item Purchases'!$B$4:$B$30,0)),0))</f>
        <v>0</v>
      </c>
      <c r="K526" s="180" t="str">
        <f t="shared" si="68"/>
        <v/>
      </c>
      <c r="L526" s="178">
        <f t="shared" si="69"/>
        <v>0</v>
      </c>
      <c r="M526" s="178">
        <f>IF(E526="",0,IF(AND(OR(OR(Dashboard!$E$5="All",Dashboard!$E$5=""),AG526=Dashboard!$E$5),OR(OR(Dashboard!$H$5="All",Dashboard!$H$5=""),F526=Dashboard!$H$5),OR(OR(Dashboard!$B$5="All",Dashboard!$B$5=""),C526=Dashboard!$B$5),OR(OR(Dashboard!$K$5="All",Dashboard!$K$5=""),A526=Dashboard!$K$5),OR(OR(Dashboard!$N$5="All",Dashboard!$N$5=""),B526=Dashboard!$N$5),OR(OR(Dashboard!$Q$5="All",Dashboard!$Q$5=""),D526=Dashboard!$Q$5),OR(OR(Dashboard!$U$5="All",Dashboard!$U$5=""),E526=Dashboard!$U$5)),1,0))</f>
        <v>0</v>
      </c>
      <c r="N526" s="178">
        <f>IF(E526="",0,IF(AND(OR(OR(Dashboard!$E$5="All",Dashboard!$E$5=""),AG526=Dashboard!$E$5),OR(OR(Dashboard!$B$5="All",Dashboard!$B$5=""),C526=Dashboard!$B$5),OR(OR(Dashboard!$K$5="All",Dashboard!$K$5=""),A526=Dashboard!$K$5),OR(OR(Dashboard!$N$5="All",Dashboard!$N$5=""),B526=Dashboard!$N$5),OR(OR(Dashboard!$Q$5="All",Dashboard!$Q$5=""),D526=Dashboard!$Q$5),OR(OR(Dashboard!$U$5="All",Dashboard!$U$5=""),E526=Dashboard!$U$5)),1,0))</f>
        <v>0</v>
      </c>
      <c r="O526" s="165">
        <f t="shared" si="70"/>
        <v>0</v>
      </c>
      <c r="AG526" s="178" t="str">
        <f>IF(E526="","",IFERROR(IF(INDEX('Item Purchases'!$AM$4:$AM$30,MATCH(E526,'Item Purchases'!$B$4:$B$30,0))="","Uncategorised",INDEX('Item Purchases'!$AM$4:$AM$30,MATCH(E526,'Item Purchases'!$B$4:$B$30,0))),"Uncategorised"))</f>
        <v/>
      </c>
      <c r="AH526" s="165">
        <f>IF(AND(E526&lt;&gt;"",L526=1),COUNTIFS($E$2:E526,E526,$L$2:L526,1),0)</f>
        <v>0</v>
      </c>
      <c r="AI526" s="165">
        <f t="shared" si="71"/>
        <v>0</v>
      </c>
      <c r="AJ526" s="165">
        <f t="shared" si="72"/>
        <v>0</v>
      </c>
    </row>
    <row r="527" spans="1:36" x14ac:dyDescent="0.25">
      <c r="A527" s="177">
        <f t="shared" si="73"/>
        <v>46293</v>
      </c>
      <c r="B527" s="178" t="str">
        <f t="shared" si="67"/>
        <v>Mon</v>
      </c>
      <c r="C527" s="178" t="str">
        <f>'Pantry Inventory'!$A$98</f>
        <v>Sep Week 4</v>
      </c>
      <c r="D527" s="178" t="str">
        <f>IF('Pantry Inventory'!A113="","",'Pantry Inventory'!A113)</f>
        <v>Nestle</v>
      </c>
      <c r="E527" s="178" t="str">
        <f>IF('Pantry Inventory'!B113="","",'Pantry Inventory'!B113)</f>
        <v>Milo 200ml</v>
      </c>
      <c r="F527" s="178" t="str">
        <f>IF(E527="","",IFERROR(IF(INDEX('Item Purchases'!$S$4:$S$30,MATCH(E527,'Item Purchases'!$B$4:$B$30,0))="","Uncategorised",INDEX('Item Purchases'!$S$4:$S$30,MATCH(E527,'Item Purchases'!$B$4:$B$30,0))),"Uncategorised"))</f>
        <v>Other</v>
      </c>
      <c r="G527" s="178">
        <f>IF(E527="",0,'Pantry Inventory'!P113)</f>
        <v>48</v>
      </c>
      <c r="H527" s="178">
        <f>IF(E527="","",IF('Pantry Inventory'!Q113="","",'Pantry Inventory'!Q113))</f>
        <v>48</v>
      </c>
      <c r="I527" s="178">
        <f>IF(H527="","",'Pantry Inventory'!R113)</f>
        <v>0</v>
      </c>
      <c r="J527" s="179">
        <f>IF(E527="",0,IFERROR(INDEX('Item Purchases'!$Q$4:$Q$30,MATCH(E527,'Item Purchases'!$B$4:$B$30,0)),0))</f>
        <v>2.37</v>
      </c>
      <c r="K527" s="180">
        <f t="shared" si="68"/>
        <v>0</v>
      </c>
      <c r="L527" s="178">
        <f t="shared" si="69"/>
        <v>1</v>
      </c>
      <c r="M527" s="178">
        <f>IF(E527="",0,IF(AND(OR(OR(Dashboard!$E$5="All",Dashboard!$E$5=""),AG527=Dashboard!$E$5),OR(OR(Dashboard!$H$5="All",Dashboard!$H$5=""),F527=Dashboard!$H$5),OR(OR(Dashboard!$B$5="All",Dashboard!$B$5=""),C527=Dashboard!$B$5),OR(OR(Dashboard!$K$5="All",Dashboard!$K$5=""),A527=Dashboard!$K$5),OR(OR(Dashboard!$N$5="All",Dashboard!$N$5=""),B527=Dashboard!$N$5),OR(OR(Dashboard!$Q$5="All",Dashboard!$Q$5=""),D527=Dashboard!$Q$5),OR(OR(Dashboard!$U$5="All",Dashboard!$U$5=""),E527=Dashboard!$U$5)),1,0))</f>
        <v>1</v>
      </c>
      <c r="N527" s="178">
        <f>IF(E527="",0,IF(AND(OR(OR(Dashboard!$E$5="All",Dashboard!$E$5=""),AG527=Dashboard!$E$5),OR(OR(Dashboard!$B$5="All",Dashboard!$B$5=""),C527=Dashboard!$B$5),OR(OR(Dashboard!$K$5="All",Dashboard!$K$5=""),A527=Dashboard!$K$5),OR(OR(Dashboard!$N$5="All",Dashboard!$N$5=""),B527=Dashboard!$N$5),OR(OR(Dashboard!$Q$5="All",Dashboard!$Q$5=""),D527=Dashboard!$Q$5),OR(OR(Dashboard!$U$5="All",Dashboard!$U$5=""),E527=Dashboard!$U$5)),1,0))</f>
        <v>1</v>
      </c>
      <c r="O527" s="165">
        <f t="shared" si="70"/>
        <v>0</v>
      </c>
      <c r="AG527" s="178" t="str">
        <f>IF(E527="","",IFERROR(IF(INDEX('Item Purchases'!$AM$4:$AM$30,MATCH(E527,'Item Purchases'!$B$4:$B$30,0))="","Uncategorised",INDEX('Item Purchases'!$AM$4:$AM$30,MATCH(E527,'Item Purchases'!$B$4:$B$30,0))),"Uncategorised"))</f>
        <v>Beverages</v>
      </c>
      <c r="AH527" s="165">
        <f>IF(AND(E527&lt;&gt;"",L527=1),COUNTIFS($E$2:E527,E527,$L$2:L527,1),0)</f>
        <v>20</v>
      </c>
      <c r="AI527" s="165">
        <f t="shared" si="71"/>
        <v>0</v>
      </c>
      <c r="AJ527" s="165">
        <f t="shared" si="72"/>
        <v>1</v>
      </c>
    </row>
    <row r="528" spans="1:36" x14ac:dyDescent="0.25">
      <c r="A528" s="177">
        <f t="shared" si="73"/>
        <v>46293</v>
      </c>
      <c r="B528" s="178" t="str">
        <f t="shared" si="67"/>
        <v>Mon</v>
      </c>
      <c r="C528" s="178" t="str">
        <f>'Pantry Inventory'!$A$98</f>
        <v>Sep Week 4</v>
      </c>
      <c r="D528" s="178" t="str">
        <f>IF('Pantry Inventory'!A114="","",'Pantry Inventory'!A114)</f>
        <v>Nestle</v>
      </c>
      <c r="E528" s="178" t="str">
        <f>IF('Pantry Inventory'!B114="","",'Pantry Inventory'!B114)</f>
        <v>Nescafe Latte 240ml</v>
      </c>
      <c r="F528" s="178" t="str">
        <f>IF(E528="","",IFERROR(IF(INDEX('Item Purchases'!$S$4:$S$30,MATCH(E528,'Item Purchases'!$B$4:$B$30,0))="","Uncategorised",INDEX('Item Purchases'!$S$4:$S$30,MATCH(E528,'Item Purchases'!$B$4:$B$30,0))),"Uncategorised"))</f>
        <v>Coffee</v>
      </c>
      <c r="G528" s="178">
        <f>IF(E528="",0,'Pantry Inventory'!P114)</f>
        <v>0</v>
      </c>
      <c r="H528" s="178">
        <f>IF(E528="","",IF('Pantry Inventory'!Q114="","",'Pantry Inventory'!Q114))</f>
        <v>38</v>
      </c>
      <c r="I528" s="178">
        <f>IF(H528="","",'Pantry Inventory'!R114)</f>
        <v>3</v>
      </c>
      <c r="J528" s="179">
        <f>IF(E528="",0,IFERROR(INDEX('Item Purchases'!$Q$4:$Q$30,MATCH(E528,'Item Purchases'!$B$4:$B$30,0)),0))</f>
        <v>2.1875</v>
      </c>
      <c r="K528" s="180">
        <f t="shared" si="68"/>
        <v>6.5625</v>
      </c>
      <c r="L528" s="178">
        <f t="shared" si="69"/>
        <v>1</v>
      </c>
      <c r="M528" s="178">
        <f>IF(E528="",0,IF(AND(OR(OR(Dashboard!$E$5="All",Dashboard!$E$5=""),AG528=Dashboard!$E$5),OR(OR(Dashboard!$H$5="All",Dashboard!$H$5=""),F528=Dashboard!$H$5),OR(OR(Dashboard!$B$5="All",Dashboard!$B$5=""),C528=Dashboard!$B$5),OR(OR(Dashboard!$K$5="All",Dashboard!$K$5=""),A528=Dashboard!$K$5),OR(OR(Dashboard!$N$5="All",Dashboard!$N$5=""),B528=Dashboard!$N$5),OR(OR(Dashboard!$Q$5="All",Dashboard!$Q$5=""),D528=Dashboard!$Q$5),OR(OR(Dashboard!$U$5="All",Dashboard!$U$5=""),E528=Dashboard!$U$5)),1,0))</f>
        <v>1</v>
      </c>
      <c r="N528" s="178">
        <f>IF(E528="",0,IF(AND(OR(OR(Dashboard!$E$5="All",Dashboard!$E$5=""),AG528=Dashboard!$E$5),OR(OR(Dashboard!$B$5="All",Dashboard!$B$5=""),C528=Dashboard!$B$5),OR(OR(Dashboard!$K$5="All",Dashboard!$K$5=""),A528=Dashboard!$K$5),OR(OR(Dashboard!$N$5="All",Dashboard!$N$5=""),B528=Dashboard!$N$5),OR(OR(Dashboard!$Q$5="All",Dashboard!$Q$5=""),D528=Dashboard!$Q$5),OR(OR(Dashboard!$U$5="All",Dashboard!$U$5=""),E528=Dashboard!$U$5)),1,0))</f>
        <v>1</v>
      </c>
      <c r="O528" s="165">
        <f t="shared" si="70"/>
        <v>9</v>
      </c>
      <c r="AG528" s="178" t="str">
        <f>IF(E528="","",IFERROR(IF(INDEX('Item Purchases'!$AM$4:$AM$30,MATCH(E528,'Item Purchases'!$B$4:$B$30,0))="","Uncategorised",INDEX('Item Purchases'!$AM$4:$AM$30,MATCH(E528,'Item Purchases'!$B$4:$B$30,0))),"Uncategorised"))</f>
        <v>Beverages</v>
      </c>
      <c r="AH528" s="165">
        <f>IF(AND(E528&lt;&gt;"",L528=1),COUNTIFS($E$2:E528,E528,$L$2:L528,1),0)</f>
        <v>20</v>
      </c>
      <c r="AI528" s="165">
        <f t="shared" si="71"/>
        <v>3</v>
      </c>
      <c r="AJ528" s="165">
        <f t="shared" si="72"/>
        <v>1</v>
      </c>
    </row>
    <row r="529" spans="1:36" x14ac:dyDescent="0.25">
      <c r="A529" s="177">
        <f t="shared" si="73"/>
        <v>46293</v>
      </c>
      <c r="B529" s="178" t="str">
        <f t="shared" si="67"/>
        <v>Mon</v>
      </c>
      <c r="C529" s="178" t="str">
        <f>'Pantry Inventory'!$A$98</f>
        <v>Sep Week 4</v>
      </c>
      <c r="D529" s="178" t="str">
        <f>IF('Pantry Inventory'!A115="","",'Pantry Inventory'!A115)</f>
        <v>Nestle</v>
      </c>
      <c r="E529" s="178" t="str">
        <f>IF('Pantry Inventory'!B115="","",'Pantry Inventory'!B115)</f>
        <v>Nescafe original 240ml</v>
      </c>
      <c r="F529" s="178" t="str">
        <f>IF(E529="","",IFERROR(IF(INDEX('Item Purchases'!$S$4:$S$30,MATCH(E529,'Item Purchases'!$B$4:$B$30,0))="","Uncategorised",INDEX('Item Purchases'!$S$4:$S$30,MATCH(E529,'Item Purchases'!$B$4:$B$30,0))),"Uncategorised"))</f>
        <v>Coffee</v>
      </c>
      <c r="G529" s="178">
        <f>IF(E529="",0,'Pantry Inventory'!P115)</f>
        <v>0</v>
      </c>
      <c r="H529" s="178">
        <f>IF(E529="","",IF('Pantry Inventory'!Q115="","",'Pantry Inventory'!Q115))</f>
        <v>22</v>
      </c>
      <c r="I529" s="178">
        <f>IF(H529="","",'Pantry Inventory'!R115)</f>
        <v>1</v>
      </c>
      <c r="J529" s="179">
        <f>IF(E529="",0,IFERROR(INDEX('Item Purchases'!$Q$4:$Q$30,MATCH(E529,'Item Purchases'!$B$4:$B$30,0)),0))</f>
        <v>2.1875</v>
      </c>
      <c r="K529" s="180">
        <f t="shared" si="68"/>
        <v>2.1875</v>
      </c>
      <c r="L529" s="178">
        <f t="shared" si="69"/>
        <v>1</v>
      </c>
      <c r="M529" s="178">
        <f>IF(E529="",0,IF(AND(OR(OR(Dashboard!$E$5="All",Dashboard!$E$5=""),AG529=Dashboard!$E$5),OR(OR(Dashboard!$H$5="All",Dashboard!$H$5=""),F529=Dashboard!$H$5),OR(OR(Dashboard!$B$5="All",Dashboard!$B$5=""),C529=Dashboard!$B$5),OR(OR(Dashboard!$K$5="All",Dashboard!$K$5=""),A529=Dashboard!$K$5),OR(OR(Dashboard!$N$5="All",Dashboard!$N$5=""),B529=Dashboard!$N$5),OR(OR(Dashboard!$Q$5="All",Dashboard!$Q$5=""),D529=Dashboard!$Q$5),OR(OR(Dashboard!$U$5="All",Dashboard!$U$5=""),E529=Dashboard!$U$5)),1,0))</f>
        <v>1</v>
      </c>
      <c r="N529" s="178">
        <f>IF(E529="",0,IF(AND(OR(OR(Dashboard!$E$5="All",Dashboard!$E$5=""),AG529=Dashboard!$E$5),OR(OR(Dashboard!$B$5="All",Dashboard!$B$5=""),C529=Dashboard!$B$5),OR(OR(Dashboard!$K$5="All",Dashboard!$K$5=""),A529=Dashboard!$K$5),OR(OR(Dashboard!$N$5="All",Dashboard!$N$5=""),B529=Dashboard!$N$5),OR(OR(Dashboard!$Q$5="All",Dashboard!$Q$5=""),D529=Dashboard!$Q$5),OR(OR(Dashboard!$U$5="All",Dashboard!$U$5=""),E529=Dashboard!$U$5)),1,0))</f>
        <v>1</v>
      </c>
      <c r="O529" s="165">
        <f t="shared" si="70"/>
        <v>1</v>
      </c>
      <c r="AG529" s="178" t="str">
        <f>IF(E529="","",IFERROR(IF(INDEX('Item Purchases'!$AM$4:$AM$30,MATCH(E529,'Item Purchases'!$B$4:$B$30,0))="","Uncategorised",INDEX('Item Purchases'!$AM$4:$AM$30,MATCH(E529,'Item Purchases'!$B$4:$B$30,0))),"Uncategorised"))</f>
        <v>Beverages</v>
      </c>
      <c r="AH529" s="165">
        <f>IF(AND(E529&lt;&gt;"",L529=1),COUNTIFS($E$2:E529,E529,$L$2:L529,1),0)</f>
        <v>20</v>
      </c>
      <c r="AI529" s="165">
        <f t="shared" si="71"/>
        <v>1</v>
      </c>
      <c r="AJ529" s="165">
        <f t="shared" si="72"/>
        <v>1</v>
      </c>
    </row>
    <row r="530" spans="1:36" x14ac:dyDescent="0.25">
      <c r="A530" s="177">
        <f t="shared" si="73"/>
        <v>46293</v>
      </c>
      <c r="B530" s="178" t="str">
        <f t="shared" si="67"/>
        <v>Mon</v>
      </c>
      <c r="C530" s="178" t="str">
        <f>'Pantry Inventory'!$A$98</f>
        <v>Sep Week 4</v>
      </c>
      <c r="D530" s="178" t="str">
        <f>IF('Pantry Inventory'!A116="","",'Pantry Inventory'!A116)</f>
        <v>COWA</v>
      </c>
      <c r="E530" s="178" t="str">
        <f>IF('Pantry Inventory'!B116="","",'Pantry Inventory'!B116)</f>
        <v>COWA Coconut Water 330 ml</v>
      </c>
      <c r="F530" s="178" t="str">
        <f>IF(E530="","",IFERROR(IF(INDEX('Item Purchases'!$S$4:$S$30,MATCH(E530,'Item Purchases'!$B$4:$B$30,0))="","Uncategorised",INDEX('Item Purchases'!$S$4:$S$30,MATCH(E530,'Item Purchases'!$B$4:$B$30,0))),"Uncategorised"))</f>
        <v>Other</v>
      </c>
      <c r="G530" s="178">
        <f>IF(E530="",0,'Pantry Inventory'!P116)</f>
        <v>0</v>
      </c>
      <c r="H530" s="178">
        <f>IF(E530="","",IF('Pantry Inventory'!Q116="","",'Pantry Inventory'!Q116))</f>
        <v>159</v>
      </c>
      <c r="I530" s="178">
        <f>IF(H530="","",'Pantry Inventory'!R116)</f>
        <v>15</v>
      </c>
      <c r="J530" s="179">
        <f>IF(E530="",0,IFERROR(INDEX('Item Purchases'!$Q$4:$Q$30,MATCH(E530,'Item Purchases'!$B$4:$B$30,0)),0))</f>
        <v>3</v>
      </c>
      <c r="K530" s="180">
        <f t="shared" si="68"/>
        <v>45</v>
      </c>
      <c r="L530" s="178">
        <f t="shared" si="69"/>
        <v>1</v>
      </c>
      <c r="M530" s="178">
        <f>IF(E530="",0,IF(AND(OR(OR(Dashboard!$E$5="All",Dashboard!$E$5=""),AG530=Dashboard!$E$5),OR(OR(Dashboard!$H$5="All",Dashboard!$H$5=""),F530=Dashboard!$H$5),OR(OR(Dashboard!$B$5="All",Dashboard!$B$5=""),C530=Dashboard!$B$5),OR(OR(Dashboard!$K$5="All",Dashboard!$K$5=""),A530=Dashboard!$K$5),OR(OR(Dashboard!$N$5="All",Dashboard!$N$5=""),B530=Dashboard!$N$5),OR(OR(Dashboard!$Q$5="All",Dashboard!$Q$5=""),D530=Dashboard!$Q$5),OR(OR(Dashboard!$U$5="All",Dashboard!$U$5=""),E530=Dashboard!$U$5)),1,0))</f>
        <v>1</v>
      </c>
      <c r="N530" s="178">
        <f>IF(E530="",0,IF(AND(OR(OR(Dashboard!$E$5="All",Dashboard!$E$5=""),AG530=Dashboard!$E$5),OR(OR(Dashboard!$B$5="All",Dashboard!$B$5=""),C530=Dashboard!$B$5),OR(OR(Dashboard!$K$5="All",Dashboard!$K$5=""),A530=Dashboard!$K$5),OR(OR(Dashboard!$N$5="All",Dashboard!$N$5=""),B530=Dashboard!$N$5),OR(OR(Dashboard!$Q$5="All",Dashboard!$Q$5=""),D530=Dashboard!$Q$5),OR(OR(Dashboard!$U$5="All",Dashboard!$U$5=""),E530=Dashboard!$U$5)),1,0))</f>
        <v>1</v>
      </c>
      <c r="O530" s="165">
        <f t="shared" si="70"/>
        <v>225</v>
      </c>
      <c r="AG530" s="178" t="str">
        <f>IF(E530="","",IFERROR(IF(INDEX('Item Purchases'!$AM$4:$AM$30,MATCH(E530,'Item Purchases'!$B$4:$B$30,0))="","Uncategorised",INDEX('Item Purchases'!$AM$4:$AM$30,MATCH(E530,'Item Purchases'!$B$4:$B$30,0))),"Uncategorised"))</f>
        <v>Beverages</v>
      </c>
      <c r="AH530" s="165">
        <f>IF(AND(E530&lt;&gt;"",L530=1),COUNTIFS($E$2:E530,E530,$L$2:L530,1),0)</f>
        <v>20</v>
      </c>
      <c r="AI530" s="165">
        <f t="shared" si="71"/>
        <v>15</v>
      </c>
      <c r="AJ530" s="165">
        <f t="shared" si="72"/>
        <v>1</v>
      </c>
    </row>
    <row r="531" spans="1:36" x14ac:dyDescent="0.25">
      <c r="A531" s="177">
        <f t="shared" si="73"/>
        <v>46293</v>
      </c>
      <c r="B531" s="178" t="str">
        <f t="shared" si="67"/>
        <v>Mon</v>
      </c>
      <c r="C531" s="178" t="str">
        <f>'Pantry Inventory'!$A$98</f>
        <v>Sep Week 4</v>
      </c>
      <c r="D531" s="178" t="str">
        <f>IF('Pantry Inventory'!A117="","",'Pantry Inventory'!A117)</f>
        <v>KARTA</v>
      </c>
      <c r="E531" s="178" t="str">
        <f>IF('Pantry Inventory'!B117="","",'Pantry Inventory'!B117)</f>
        <v>KARTA Coconut Water 330 ml</v>
      </c>
      <c r="F531" s="178" t="str">
        <f>IF(E531="","",IFERROR(IF(INDEX('Item Purchases'!$S$4:$S$30,MATCH(E531,'Item Purchases'!$B$4:$B$30,0))="","Uncategorised",INDEX('Item Purchases'!$S$4:$S$30,MATCH(E531,'Item Purchases'!$B$4:$B$30,0))),"Uncategorised"))</f>
        <v>Other</v>
      </c>
      <c r="G531" s="178">
        <f>IF(E531="",0,'Pantry Inventory'!P117)</f>
        <v>0</v>
      </c>
      <c r="H531" s="178">
        <f>IF(E531="","",IF('Pantry Inventory'!Q117="","",'Pantry Inventory'!Q117))</f>
        <v>0</v>
      </c>
      <c r="I531" s="178">
        <f>IF(H531="","",'Pantry Inventory'!R117)</f>
        <v>0</v>
      </c>
      <c r="J531" s="179">
        <f>IF(E531="",0,IFERROR(INDEX('Item Purchases'!$Q$4:$Q$30,MATCH(E531,'Item Purchases'!$B$4:$B$30,0)),0))</f>
        <v>2.2999999999999998</v>
      </c>
      <c r="K531" s="180">
        <f t="shared" si="68"/>
        <v>0</v>
      </c>
      <c r="L531" s="178">
        <f t="shared" si="69"/>
        <v>1</v>
      </c>
      <c r="M531" s="178">
        <f>IF(E531="",0,IF(AND(OR(OR(Dashboard!$E$5="All",Dashboard!$E$5=""),AG531=Dashboard!$E$5),OR(OR(Dashboard!$H$5="All",Dashboard!$H$5=""),F531=Dashboard!$H$5),OR(OR(Dashboard!$B$5="All",Dashboard!$B$5=""),C531=Dashboard!$B$5),OR(OR(Dashboard!$K$5="All",Dashboard!$K$5=""),A531=Dashboard!$K$5),OR(OR(Dashboard!$N$5="All",Dashboard!$N$5=""),B531=Dashboard!$N$5),OR(OR(Dashboard!$Q$5="All",Dashboard!$Q$5=""),D531=Dashboard!$Q$5),OR(OR(Dashboard!$U$5="All",Dashboard!$U$5=""),E531=Dashboard!$U$5)),1,0))</f>
        <v>1</v>
      </c>
      <c r="N531" s="178">
        <f>IF(E531="",0,IF(AND(OR(OR(Dashboard!$E$5="All",Dashboard!$E$5=""),AG531=Dashboard!$E$5),OR(OR(Dashboard!$B$5="All",Dashboard!$B$5=""),C531=Dashboard!$B$5),OR(OR(Dashboard!$K$5="All",Dashboard!$K$5=""),A531=Dashboard!$K$5),OR(OR(Dashboard!$N$5="All",Dashboard!$N$5=""),B531=Dashboard!$N$5),OR(OR(Dashboard!$Q$5="All",Dashboard!$Q$5=""),D531=Dashboard!$Q$5),OR(OR(Dashboard!$U$5="All",Dashboard!$U$5=""),E531=Dashboard!$U$5)),1,0))</f>
        <v>1</v>
      </c>
      <c r="O531" s="165">
        <f t="shared" si="70"/>
        <v>0</v>
      </c>
      <c r="AG531" s="178" t="str">
        <f>IF(E531="","",IFERROR(IF(INDEX('Item Purchases'!$AM$4:$AM$30,MATCH(E531,'Item Purchases'!$B$4:$B$30,0))="","Uncategorised",INDEX('Item Purchases'!$AM$4:$AM$30,MATCH(E531,'Item Purchases'!$B$4:$B$30,0))),"Uncategorised"))</f>
        <v>Beverages</v>
      </c>
      <c r="AH531" s="165">
        <f>IF(AND(E531&lt;&gt;"",L531=1),COUNTIFS($E$2:E531,E531,$L$2:L531,1),0)</f>
        <v>4</v>
      </c>
      <c r="AI531" s="165">
        <f t="shared" si="71"/>
        <v>0</v>
      </c>
      <c r="AJ531" s="165">
        <f t="shared" si="72"/>
        <v>0</v>
      </c>
    </row>
    <row r="532" spans="1:36" x14ac:dyDescent="0.25">
      <c r="A532" s="177">
        <f t="shared" si="73"/>
        <v>46293</v>
      </c>
      <c r="B532" s="178" t="str">
        <f t="shared" si="67"/>
        <v>Mon</v>
      </c>
      <c r="C532" s="178" t="str">
        <f>'Pantry Inventory'!$A$98</f>
        <v>Sep Week 4</v>
      </c>
      <c r="D532" s="178" t="str">
        <f>IF('Pantry Inventory'!A118="","",'Pantry Inventory'!A118)</f>
        <v>Coca Cola</v>
      </c>
      <c r="E532" s="178" t="str">
        <f>IF('Pantry Inventory'!B118="","",'Pantry Inventory'!B118)</f>
        <v>COKE ZERO  325ML</v>
      </c>
      <c r="F532" s="178" t="str">
        <f>IF(E532="","",IFERROR(IF(INDEX('Item Purchases'!$S$4:$S$30,MATCH(E532,'Item Purchases'!$B$4:$B$30,0))="","Uncategorised",INDEX('Item Purchases'!$S$4:$S$30,MATCH(E532,'Item Purchases'!$B$4:$B$30,0))),"Uncategorised"))</f>
        <v>Other</v>
      </c>
      <c r="G532" s="178">
        <f>IF(E532="",0,'Pantry Inventory'!P118)</f>
        <v>0</v>
      </c>
      <c r="H532" s="178">
        <f>IF(E532="","",IF('Pantry Inventory'!Q118="","",'Pantry Inventory'!Q118))</f>
        <v>34</v>
      </c>
      <c r="I532" s="178">
        <f>IF(H532="","",'Pantry Inventory'!R118)</f>
        <v>10</v>
      </c>
      <c r="J532" s="179">
        <f>IF(E532="",0,IFERROR(INDEX('Item Purchases'!$Q$4:$Q$30,MATCH(E532,'Item Purchases'!$B$4:$B$30,0)),0))</f>
        <v>1.83</v>
      </c>
      <c r="K532" s="180">
        <f t="shared" si="68"/>
        <v>18.3</v>
      </c>
      <c r="L532" s="178">
        <f t="shared" si="69"/>
        <v>1</v>
      </c>
      <c r="M532" s="178">
        <f>IF(E532="",0,IF(AND(OR(OR(Dashboard!$E$5="All",Dashboard!$E$5=""),AG532=Dashboard!$E$5),OR(OR(Dashboard!$H$5="All",Dashboard!$H$5=""),F532=Dashboard!$H$5),OR(OR(Dashboard!$B$5="All",Dashboard!$B$5=""),C532=Dashboard!$B$5),OR(OR(Dashboard!$K$5="All",Dashboard!$K$5=""),A532=Dashboard!$K$5),OR(OR(Dashboard!$N$5="All",Dashboard!$N$5=""),B532=Dashboard!$N$5),OR(OR(Dashboard!$Q$5="All",Dashboard!$Q$5=""),D532=Dashboard!$Q$5),OR(OR(Dashboard!$U$5="All",Dashboard!$U$5=""),E532=Dashboard!$U$5)),1,0))</f>
        <v>1</v>
      </c>
      <c r="N532" s="178">
        <f>IF(E532="",0,IF(AND(OR(OR(Dashboard!$E$5="All",Dashboard!$E$5=""),AG532=Dashboard!$E$5),OR(OR(Dashboard!$B$5="All",Dashboard!$B$5=""),C532=Dashboard!$B$5),OR(OR(Dashboard!$K$5="All",Dashboard!$K$5=""),A532=Dashboard!$K$5),OR(OR(Dashboard!$N$5="All",Dashboard!$N$5=""),B532=Dashboard!$N$5),OR(OR(Dashboard!$Q$5="All",Dashboard!$Q$5=""),D532=Dashboard!$Q$5),OR(OR(Dashboard!$U$5="All",Dashboard!$U$5=""),E532=Dashboard!$U$5)),1,0))</f>
        <v>1</v>
      </c>
      <c r="O532" s="165">
        <f t="shared" si="70"/>
        <v>100</v>
      </c>
      <c r="AG532" s="178" t="str">
        <f>IF(E532="","",IFERROR(IF(INDEX('Item Purchases'!$AM$4:$AM$30,MATCH(E532,'Item Purchases'!$B$4:$B$30,0))="","Uncategorised",INDEX('Item Purchases'!$AM$4:$AM$30,MATCH(E532,'Item Purchases'!$B$4:$B$30,0))),"Uncategorised"))</f>
        <v>Beverages</v>
      </c>
      <c r="AH532" s="165">
        <f>IF(AND(E532&lt;&gt;"",L532=1),COUNTIFS($E$2:E532,E532,$L$2:L532,1),0)</f>
        <v>20</v>
      </c>
      <c r="AI532" s="165">
        <f t="shared" si="71"/>
        <v>10</v>
      </c>
      <c r="AJ532" s="165">
        <f t="shared" si="72"/>
        <v>1</v>
      </c>
    </row>
    <row r="533" spans="1:36" x14ac:dyDescent="0.25">
      <c r="A533" s="177">
        <f t="shared" si="73"/>
        <v>46293</v>
      </c>
      <c r="B533" s="178" t="str">
        <f t="shared" si="67"/>
        <v>Mon</v>
      </c>
      <c r="C533" s="178" t="str">
        <f>'Pantry Inventory'!$A$98</f>
        <v>Sep Week 4</v>
      </c>
      <c r="D533" s="178" t="str">
        <f>IF('Pantry Inventory'!A119="","",'Pantry Inventory'!A119)</f>
        <v>Coca Cola</v>
      </c>
      <c r="E533" s="178" t="str">
        <f>IF('Pantry Inventory'!B119="","",'Pantry Inventory'!B119)</f>
        <v>Ayataka Tea 300ml</v>
      </c>
      <c r="F533" s="178" t="str">
        <f>IF(E533="","",IFERROR(IF(INDEX('Item Purchases'!$S$4:$S$30,MATCH(E533,'Item Purchases'!$B$4:$B$30,0))="","Uncategorised",INDEX('Item Purchases'!$S$4:$S$30,MATCH(E533,'Item Purchases'!$B$4:$B$30,0))),"Uncategorised"))</f>
        <v>Tea</v>
      </c>
      <c r="G533" s="178">
        <f>IF(E533="",0,'Pantry Inventory'!P119)</f>
        <v>36</v>
      </c>
      <c r="H533" s="178">
        <f>IF(E533="","",IF('Pantry Inventory'!Q119="","",'Pantry Inventory'!Q119))</f>
        <v>36</v>
      </c>
      <c r="I533" s="178">
        <f>IF(H533="","",'Pantry Inventory'!R119)</f>
        <v>24</v>
      </c>
      <c r="J533" s="179">
        <f>IF(E533="",0,IFERROR(INDEX('Item Purchases'!$Q$4:$Q$30,MATCH(E533,'Item Purchases'!$B$4:$B$30,0)),0))</f>
        <v>1.75</v>
      </c>
      <c r="K533" s="180">
        <f t="shared" si="68"/>
        <v>42</v>
      </c>
      <c r="L533" s="178">
        <f t="shared" si="69"/>
        <v>1</v>
      </c>
      <c r="M533" s="178">
        <f>IF(E533="",0,IF(AND(OR(OR(Dashboard!$E$5="All",Dashboard!$E$5=""),AG533=Dashboard!$E$5),OR(OR(Dashboard!$H$5="All",Dashboard!$H$5=""),F533=Dashboard!$H$5),OR(OR(Dashboard!$B$5="All",Dashboard!$B$5=""),C533=Dashboard!$B$5),OR(OR(Dashboard!$K$5="All",Dashboard!$K$5=""),A533=Dashboard!$K$5),OR(OR(Dashboard!$N$5="All",Dashboard!$N$5=""),B533=Dashboard!$N$5),OR(OR(Dashboard!$Q$5="All",Dashboard!$Q$5=""),D533=Dashboard!$Q$5),OR(OR(Dashboard!$U$5="All",Dashboard!$U$5=""),E533=Dashboard!$U$5)),1,0))</f>
        <v>1</v>
      </c>
      <c r="N533" s="178">
        <f>IF(E533="",0,IF(AND(OR(OR(Dashboard!$E$5="All",Dashboard!$E$5=""),AG533=Dashboard!$E$5),OR(OR(Dashboard!$B$5="All",Dashboard!$B$5=""),C533=Dashboard!$B$5),OR(OR(Dashboard!$K$5="All",Dashboard!$K$5=""),A533=Dashboard!$K$5),OR(OR(Dashboard!$N$5="All",Dashboard!$N$5=""),B533=Dashboard!$N$5),OR(OR(Dashboard!$Q$5="All",Dashboard!$Q$5=""),D533=Dashboard!$Q$5),OR(OR(Dashboard!$U$5="All",Dashboard!$U$5=""),E533=Dashboard!$U$5)),1,0))</f>
        <v>1</v>
      </c>
      <c r="O533" s="165">
        <f t="shared" si="70"/>
        <v>576</v>
      </c>
      <c r="AG533" s="178" t="str">
        <f>IF(E533="","",IFERROR(IF(INDEX('Item Purchases'!$AM$4:$AM$30,MATCH(E533,'Item Purchases'!$B$4:$B$30,0))="","Uncategorised",INDEX('Item Purchases'!$AM$4:$AM$30,MATCH(E533,'Item Purchases'!$B$4:$B$30,0))),"Uncategorised"))</f>
        <v>Beverages</v>
      </c>
      <c r="AH533" s="165">
        <f>IF(AND(E533&lt;&gt;"",L533=1),COUNTIFS($E$2:E533,E533,$L$2:L533,1),0)</f>
        <v>20</v>
      </c>
      <c r="AI533" s="165">
        <f t="shared" si="71"/>
        <v>24</v>
      </c>
      <c r="AJ533" s="165">
        <f t="shared" si="72"/>
        <v>1</v>
      </c>
    </row>
    <row r="534" spans="1:36" x14ac:dyDescent="0.25">
      <c r="A534" s="177">
        <f t="shared" si="73"/>
        <v>46293</v>
      </c>
      <c r="B534" s="178" t="str">
        <f t="shared" si="67"/>
        <v>Mon</v>
      </c>
      <c r="C534" s="178" t="str">
        <f>'Pantry Inventory'!$A$98</f>
        <v>Sep Week 4</v>
      </c>
      <c r="D534" s="178" t="str">
        <f>IF('Pantry Inventory'!A120="","",'Pantry Inventory'!A120)</f>
        <v>Coca Cola</v>
      </c>
      <c r="E534" s="178" t="str">
        <f>IF('Pantry Inventory'!B120="","",'Pantry Inventory'!B120)</f>
        <v>Oolong Tea 300ml</v>
      </c>
      <c r="F534" s="178" t="str">
        <f>IF(E534="","",IFERROR(IF(INDEX('Item Purchases'!$S$4:$S$30,MATCH(E534,'Item Purchases'!$B$4:$B$30,0))="","Uncategorised",INDEX('Item Purchases'!$S$4:$S$30,MATCH(E534,'Item Purchases'!$B$4:$B$30,0))),"Uncategorised"))</f>
        <v>Tea</v>
      </c>
      <c r="G534" s="178">
        <f>IF(E534="",0,'Pantry Inventory'!P120)</f>
        <v>36</v>
      </c>
      <c r="H534" s="178">
        <f>IF(E534="","",IF('Pantry Inventory'!Q120="","",'Pantry Inventory'!Q120))</f>
        <v>58</v>
      </c>
      <c r="I534" s="178">
        <f>IF(H534="","",'Pantry Inventory'!R120)</f>
        <v>23</v>
      </c>
      <c r="J534" s="179">
        <f>IF(E534="",0,IFERROR(INDEX('Item Purchases'!$Q$4:$Q$30,MATCH(E534,'Item Purchases'!$B$4:$B$30,0)),0))</f>
        <v>1.75</v>
      </c>
      <c r="K534" s="180">
        <f t="shared" si="68"/>
        <v>40.25</v>
      </c>
      <c r="L534" s="178">
        <f t="shared" si="69"/>
        <v>1</v>
      </c>
      <c r="M534" s="178">
        <f>IF(E534="",0,IF(AND(OR(OR(Dashboard!$E$5="All",Dashboard!$E$5=""),AG534=Dashboard!$E$5),OR(OR(Dashboard!$H$5="All",Dashboard!$H$5=""),F534=Dashboard!$H$5),OR(OR(Dashboard!$B$5="All",Dashboard!$B$5=""),C534=Dashboard!$B$5),OR(OR(Dashboard!$K$5="All",Dashboard!$K$5=""),A534=Dashboard!$K$5),OR(OR(Dashboard!$N$5="All",Dashboard!$N$5=""),B534=Dashboard!$N$5),OR(OR(Dashboard!$Q$5="All",Dashboard!$Q$5=""),D534=Dashboard!$Q$5),OR(OR(Dashboard!$U$5="All",Dashboard!$U$5=""),E534=Dashboard!$U$5)),1,0))</f>
        <v>1</v>
      </c>
      <c r="N534" s="178">
        <f>IF(E534="",0,IF(AND(OR(OR(Dashboard!$E$5="All",Dashboard!$E$5=""),AG534=Dashboard!$E$5),OR(OR(Dashboard!$B$5="All",Dashboard!$B$5=""),C534=Dashboard!$B$5),OR(OR(Dashboard!$K$5="All",Dashboard!$K$5=""),A534=Dashboard!$K$5),OR(OR(Dashboard!$N$5="All",Dashboard!$N$5=""),B534=Dashboard!$N$5),OR(OR(Dashboard!$Q$5="All",Dashboard!$Q$5=""),D534=Dashboard!$Q$5),OR(OR(Dashboard!$U$5="All",Dashboard!$U$5=""),E534=Dashboard!$U$5)),1,0))</f>
        <v>1</v>
      </c>
      <c r="O534" s="165">
        <f t="shared" si="70"/>
        <v>529</v>
      </c>
      <c r="AG534" s="178" t="str">
        <f>IF(E534="","",IFERROR(IF(INDEX('Item Purchases'!$AM$4:$AM$30,MATCH(E534,'Item Purchases'!$B$4:$B$30,0))="","Uncategorised",INDEX('Item Purchases'!$AM$4:$AM$30,MATCH(E534,'Item Purchases'!$B$4:$B$30,0))),"Uncategorised"))</f>
        <v>Beverages</v>
      </c>
      <c r="AH534" s="165">
        <f>IF(AND(E534&lt;&gt;"",L534=1),COUNTIFS($E$2:E534,E534,$L$2:L534,1),0)</f>
        <v>20</v>
      </c>
      <c r="AI534" s="165">
        <f t="shared" si="71"/>
        <v>23</v>
      </c>
      <c r="AJ534" s="165">
        <f t="shared" si="72"/>
        <v>1</v>
      </c>
    </row>
    <row r="535" spans="1:36" x14ac:dyDescent="0.25">
      <c r="A535" s="177">
        <f t="shared" si="73"/>
        <v>46293</v>
      </c>
      <c r="B535" s="178" t="str">
        <f t="shared" si="67"/>
        <v>Mon</v>
      </c>
      <c r="C535" s="178" t="str">
        <f>'Pantry Inventory'!$A$98</f>
        <v>Sep Week 4</v>
      </c>
      <c r="D535" s="178" t="str">
        <f>IF('Pantry Inventory'!A121="","",'Pantry Inventory'!A121)</f>
        <v>Vsoy</v>
      </c>
      <c r="E535" s="178" t="str">
        <f>IF('Pantry Inventory'!B121="","",'Pantry Inventory'!B121)</f>
        <v>Vsoy Soya Bean  250ml</v>
      </c>
      <c r="F535" s="178" t="str">
        <f>IF(E535="","",IFERROR(IF(INDEX('Item Purchases'!$S$4:$S$30,MATCH(E535,'Item Purchases'!$B$4:$B$30,0))="","Uncategorised",INDEX('Item Purchases'!$S$4:$S$30,MATCH(E535,'Item Purchases'!$B$4:$B$30,0))),"Uncategorised"))</f>
        <v>Other</v>
      </c>
      <c r="G535" s="178">
        <f>IF(E535="",0,'Pantry Inventory'!P121)</f>
        <v>0</v>
      </c>
      <c r="H535" s="178">
        <f>IF(E535="","",IF('Pantry Inventory'!Q121="","",'Pantry Inventory'!Q121))</f>
        <v>59</v>
      </c>
      <c r="I535" s="178">
        <f>IF(H535="","",'Pantry Inventory'!R121)</f>
        <v>15</v>
      </c>
      <c r="J535" s="179">
        <f>IF(E535="",0,IFERROR(INDEX('Item Purchases'!$Q$4:$Q$30,MATCH(E535,'Item Purchases'!$B$4:$B$30,0)),0))</f>
        <v>1.25</v>
      </c>
      <c r="K535" s="180">
        <f t="shared" si="68"/>
        <v>18.75</v>
      </c>
      <c r="L535" s="178">
        <f t="shared" si="69"/>
        <v>1</v>
      </c>
      <c r="M535" s="178">
        <f>IF(E535="",0,IF(AND(OR(OR(Dashboard!$E$5="All",Dashboard!$E$5=""),AG535=Dashboard!$E$5),OR(OR(Dashboard!$H$5="All",Dashboard!$H$5=""),F535=Dashboard!$H$5),OR(OR(Dashboard!$B$5="All",Dashboard!$B$5=""),C535=Dashboard!$B$5),OR(OR(Dashboard!$K$5="All",Dashboard!$K$5=""),A535=Dashboard!$K$5),OR(OR(Dashboard!$N$5="All",Dashboard!$N$5=""),B535=Dashboard!$N$5),OR(OR(Dashboard!$Q$5="All",Dashboard!$Q$5=""),D535=Dashboard!$Q$5),OR(OR(Dashboard!$U$5="All",Dashboard!$U$5=""),E535=Dashboard!$U$5)),1,0))</f>
        <v>1</v>
      </c>
      <c r="N535" s="178">
        <f>IF(E535="",0,IF(AND(OR(OR(Dashboard!$E$5="All",Dashboard!$E$5=""),AG535=Dashboard!$E$5),OR(OR(Dashboard!$B$5="All",Dashboard!$B$5=""),C535=Dashboard!$B$5),OR(OR(Dashboard!$K$5="All",Dashboard!$K$5=""),A535=Dashboard!$K$5),OR(OR(Dashboard!$N$5="All",Dashboard!$N$5=""),B535=Dashboard!$N$5),OR(OR(Dashboard!$Q$5="All",Dashboard!$Q$5=""),D535=Dashboard!$Q$5),OR(OR(Dashboard!$U$5="All",Dashboard!$U$5=""),E535=Dashboard!$U$5)),1,0))</f>
        <v>1</v>
      </c>
      <c r="O535" s="165">
        <f t="shared" si="70"/>
        <v>225</v>
      </c>
      <c r="AG535" s="178" t="str">
        <f>IF(E535="","",IFERROR(IF(INDEX('Item Purchases'!$AM$4:$AM$30,MATCH(E535,'Item Purchases'!$B$4:$B$30,0))="","Uncategorised",INDEX('Item Purchases'!$AM$4:$AM$30,MATCH(E535,'Item Purchases'!$B$4:$B$30,0))),"Uncategorised"))</f>
        <v>Beverages</v>
      </c>
      <c r="AH535" s="165">
        <f>IF(AND(E535&lt;&gt;"",L535=1),COUNTIFS($E$2:E535,E535,$L$2:L535,1),0)</f>
        <v>20</v>
      </c>
      <c r="AI535" s="165">
        <f t="shared" si="71"/>
        <v>15</v>
      </c>
      <c r="AJ535" s="165">
        <f t="shared" si="72"/>
        <v>1</v>
      </c>
    </row>
    <row r="536" spans="1:36" x14ac:dyDescent="0.25">
      <c r="A536" s="177">
        <f t="shared" si="73"/>
        <v>46293</v>
      </c>
      <c r="B536" s="178" t="str">
        <f t="shared" si="67"/>
        <v>Mon</v>
      </c>
      <c r="C536" s="178" t="str">
        <f>'Pantry Inventory'!$A$98</f>
        <v>Sep Week 4</v>
      </c>
      <c r="D536" s="178" t="str">
        <f>IF('Pantry Inventory'!A122="","",'Pantry Inventory'!A122)</f>
        <v>BingRae</v>
      </c>
      <c r="E536" s="178" t="str">
        <f>IF('Pantry Inventory'!B122="","",'Pantry Inventory'!B122)</f>
        <v>BingRae Banana Milk 200ml</v>
      </c>
      <c r="F536" s="178" t="str">
        <f>IF(E536="","",IFERROR(IF(INDEX('Item Purchases'!$S$4:$S$30,MATCH(E536,'Item Purchases'!$B$4:$B$30,0))="","Uncategorised",INDEX('Item Purchases'!$S$4:$S$30,MATCH(E536,'Item Purchases'!$B$4:$B$30,0))),"Uncategorised"))</f>
        <v>Other</v>
      </c>
      <c r="G536" s="178">
        <f>IF(E536="",0,'Pantry Inventory'!P122)</f>
        <v>72</v>
      </c>
      <c r="H536" s="178">
        <f>IF(E536="","",IF('Pantry Inventory'!Q122="","",'Pantry Inventory'!Q122))</f>
        <v>72</v>
      </c>
      <c r="I536" s="178">
        <f>IF(H536="","",'Pantry Inventory'!R122)</f>
        <v>0</v>
      </c>
      <c r="J536" s="179">
        <f>IF(E536="",0,IFERROR(INDEX('Item Purchases'!$Q$4:$Q$30,MATCH(E536,'Item Purchases'!$B$4:$B$30,0)),0))</f>
        <v>3.3159999999999998</v>
      </c>
      <c r="K536" s="180">
        <f t="shared" si="68"/>
        <v>0</v>
      </c>
      <c r="L536" s="178">
        <f t="shared" si="69"/>
        <v>1</v>
      </c>
      <c r="M536" s="178">
        <f>IF(E536="",0,IF(AND(OR(OR(Dashboard!$E$5="All",Dashboard!$E$5=""),AG536=Dashboard!$E$5),OR(OR(Dashboard!$H$5="All",Dashboard!$H$5=""),F536=Dashboard!$H$5),OR(OR(Dashboard!$B$5="All",Dashboard!$B$5=""),C536=Dashboard!$B$5),OR(OR(Dashboard!$K$5="All",Dashboard!$K$5=""),A536=Dashboard!$K$5),OR(OR(Dashboard!$N$5="All",Dashboard!$N$5=""),B536=Dashboard!$N$5),OR(OR(Dashboard!$Q$5="All",Dashboard!$Q$5=""),D536=Dashboard!$Q$5),OR(OR(Dashboard!$U$5="All",Dashboard!$U$5=""),E536=Dashboard!$U$5)),1,0))</f>
        <v>1</v>
      </c>
      <c r="N536" s="178">
        <f>IF(E536="",0,IF(AND(OR(OR(Dashboard!$E$5="All",Dashboard!$E$5=""),AG536=Dashboard!$E$5),OR(OR(Dashboard!$B$5="All",Dashboard!$B$5=""),C536=Dashboard!$B$5),OR(OR(Dashboard!$K$5="All",Dashboard!$K$5=""),A536=Dashboard!$K$5),OR(OR(Dashboard!$N$5="All",Dashboard!$N$5=""),B536=Dashboard!$N$5),OR(OR(Dashboard!$Q$5="All",Dashboard!$Q$5=""),D536=Dashboard!$Q$5),OR(OR(Dashboard!$U$5="All",Dashboard!$U$5=""),E536=Dashboard!$U$5)),1,0))</f>
        <v>1</v>
      </c>
      <c r="O536" s="165">
        <f t="shared" si="70"/>
        <v>0</v>
      </c>
      <c r="AG536" s="178" t="str">
        <f>IF(E536="","",IFERROR(IF(INDEX('Item Purchases'!$AM$4:$AM$30,MATCH(E536,'Item Purchases'!$B$4:$B$30,0))="","Uncategorised",INDEX('Item Purchases'!$AM$4:$AM$30,MATCH(E536,'Item Purchases'!$B$4:$B$30,0))),"Uncategorised"))</f>
        <v>Beverages</v>
      </c>
      <c r="AH536" s="165">
        <f>IF(AND(E536&lt;&gt;"",L536=1),COUNTIFS($E$2:E536,E536,$L$2:L536,1),0)</f>
        <v>20</v>
      </c>
      <c r="AI536" s="165">
        <f t="shared" si="71"/>
        <v>0</v>
      </c>
      <c r="AJ536" s="165">
        <f t="shared" si="72"/>
        <v>1</v>
      </c>
    </row>
    <row r="537" spans="1:36" x14ac:dyDescent="0.25">
      <c r="A537" s="177">
        <f t="shared" si="73"/>
        <v>46293</v>
      </c>
      <c r="B537" s="178" t="str">
        <f t="shared" si="67"/>
        <v>Mon</v>
      </c>
      <c r="C537" s="178" t="str">
        <f>'Pantry Inventory'!$A$98</f>
        <v>Sep Week 4</v>
      </c>
      <c r="D537" s="178" t="str">
        <f>IF('Pantry Inventory'!A123="","",'Pantry Inventory'!A123)</f>
        <v>Fuze Tea</v>
      </c>
      <c r="E537" s="178" t="str">
        <f>IF('Pantry Inventory'!B123="","",'Pantry Inventory'!B123)</f>
        <v>Fuze Tea by Heaven and Earth Jasmine Tea</v>
      </c>
      <c r="F537" s="178" t="str">
        <f>IF(E537="","",IFERROR(IF(INDEX('Item Purchases'!$S$4:$S$30,MATCH(E537,'Item Purchases'!$B$4:$B$30,0))="","Uncategorised",INDEX('Item Purchases'!$S$4:$S$30,MATCH(E537,'Item Purchases'!$B$4:$B$30,0))),"Uncategorised"))</f>
        <v>Tea</v>
      </c>
      <c r="G537" s="178">
        <f>IF(E537="",0,'Pantry Inventory'!P123)</f>
        <v>0</v>
      </c>
      <c r="H537" s="178">
        <f>IF(E537="","",IF('Pantry Inventory'!Q123="","",'Pantry Inventory'!Q123))</f>
        <v>0</v>
      </c>
      <c r="I537" s="178">
        <f>IF(H537="","",'Pantry Inventory'!R123)</f>
        <v>0</v>
      </c>
      <c r="J537" s="179">
        <f>IF(E537="",0,IFERROR(INDEX('Item Purchases'!$Q$4:$Q$30,MATCH(E537,'Item Purchases'!$B$4:$B$30,0)),0))</f>
        <v>1.167</v>
      </c>
      <c r="K537" s="180">
        <f t="shared" si="68"/>
        <v>0</v>
      </c>
      <c r="L537" s="178">
        <f t="shared" si="69"/>
        <v>1</v>
      </c>
      <c r="M537" s="178">
        <f>IF(E537="",0,IF(AND(OR(OR(Dashboard!$E$5="All",Dashboard!$E$5=""),AG537=Dashboard!$E$5),OR(OR(Dashboard!$H$5="All",Dashboard!$H$5=""),F537=Dashboard!$H$5),OR(OR(Dashboard!$B$5="All",Dashboard!$B$5=""),C537=Dashboard!$B$5),OR(OR(Dashboard!$K$5="All",Dashboard!$K$5=""),A537=Dashboard!$K$5),OR(OR(Dashboard!$N$5="All",Dashboard!$N$5=""),B537=Dashboard!$N$5),OR(OR(Dashboard!$Q$5="All",Dashboard!$Q$5=""),D537=Dashboard!$Q$5),OR(OR(Dashboard!$U$5="All",Dashboard!$U$5=""),E537=Dashboard!$U$5)),1,0))</f>
        <v>1</v>
      </c>
      <c r="N537" s="178">
        <f>IF(E537="",0,IF(AND(OR(OR(Dashboard!$E$5="All",Dashboard!$E$5=""),AG537=Dashboard!$E$5),OR(OR(Dashboard!$B$5="All",Dashboard!$B$5=""),C537=Dashboard!$B$5),OR(OR(Dashboard!$K$5="All",Dashboard!$K$5=""),A537=Dashboard!$K$5),OR(OR(Dashboard!$N$5="All",Dashboard!$N$5=""),B537=Dashboard!$N$5),OR(OR(Dashboard!$Q$5="All",Dashboard!$Q$5=""),D537=Dashboard!$Q$5),OR(OR(Dashboard!$U$5="All",Dashboard!$U$5=""),E537=Dashboard!$U$5)),1,0))</f>
        <v>1</v>
      </c>
      <c r="O537" s="165">
        <f t="shared" si="70"/>
        <v>0</v>
      </c>
      <c r="AG537" s="178" t="str">
        <f>IF(E537="","",IFERROR(IF(INDEX('Item Purchases'!$AM$4:$AM$30,MATCH(E537,'Item Purchases'!$B$4:$B$30,0))="","Uncategorised",INDEX('Item Purchases'!$AM$4:$AM$30,MATCH(E537,'Item Purchases'!$B$4:$B$30,0))),"Uncategorised"))</f>
        <v>Beverages</v>
      </c>
      <c r="AH537" s="165">
        <f>IF(AND(E537&lt;&gt;"",L537=1),COUNTIFS($E$2:E537,E537,$L$2:L537,1),0)</f>
        <v>20</v>
      </c>
      <c r="AI537" s="165">
        <f t="shared" si="71"/>
        <v>0</v>
      </c>
      <c r="AJ537" s="165">
        <f t="shared" si="72"/>
        <v>0</v>
      </c>
    </row>
    <row r="538" spans="1:36" x14ac:dyDescent="0.25">
      <c r="A538" s="177">
        <f t="shared" si="73"/>
        <v>46293</v>
      </c>
      <c r="B538" s="178" t="str">
        <f t="shared" si="67"/>
        <v>Mon</v>
      </c>
      <c r="C538" s="178" t="str">
        <f>'Pantry Inventory'!$A$98</f>
        <v>Sep Week 4</v>
      </c>
      <c r="D538" s="178" t="str">
        <f>IF('Pantry Inventory'!A124="","",'Pantry Inventory'!A124)</f>
        <v>F&amp;N</v>
      </c>
      <c r="E538" s="178" t="str">
        <f>IF('Pantry Inventory'!B124="","",'Pantry Inventory'!B124)</f>
        <v>FN 100 plus (original) 325ml</v>
      </c>
      <c r="F538" s="178" t="str">
        <f>IF(E538="","",IFERROR(IF(INDEX('Item Purchases'!$S$4:$S$30,MATCH(E538,'Item Purchases'!$B$4:$B$30,0))="","Uncategorised",INDEX('Item Purchases'!$S$4:$S$30,MATCH(E538,'Item Purchases'!$B$4:$B$30,0))),"Uncategorised"))</f>
        <v>Other</v>
      </c>
      <c r="G538" s="178">
        <f>IF(E538="",0,'Pantry Inventory'!P124)</f>
        <v>0</v>
      </c>
      <c r="H538" s="178">
        <f>IF(E538="","",IF('Pantry Inventory'!Q124="","",'Pantry Inventory'!Q124))</f>
        <v>18</v>
      </c>
      <c r="I538" s="178">
        <f>IF(H538="","",'Pantry Inventory'!R124)</f>
        <v>8</v>
      </c>
      <c r="J538" s="179">
        <f>IF(E538="",0,IFERROR(INDEX('Item Purchases'!$Q$4:$Q$30,MATCH(E538,'Item Purchases'!$B$4:$B$30,0)),0))</f>
        <v>1.58</v>
      </c>
      <c r="K538" s="180">
        <f t="shared" si="68"/>
        <v>12.64</v>
      </c>
      <c r="L538" s="178">
        <f t="shared" si="69"/>
        <v>1</v>
      </c>
      <c r="M538" s="178">
        <f>IF(E538="",0,IF(AND(OR(OR(Dashboard!$E$5="All",Dashboard!$E$5=""),AG538=Dashboard!$E$5),OR(OR(Dashboard!$H$5="All",Dashboard!$H$5=""),F538=Dashboard!$H$5),OR(OR(Dashboard!$B$5="All",Dashboard!$B$5=""),C538=Dashboard!$B$5),OR(OR(Dashboard!$K$5="All",Dashboard!$K$5=""),A538=Dashboard!$K$5),OR(OR(Dashboard!$N$5="All",Dashboard!$N$5=""),B538=Dashboard!$N$5),OR(OR(Dashboard!$Q$5="All",Dashboard!$Q$5=""),D538=Dashboard!$Q$5),OR(OR(Dashboard!$U$5="All",Dashboard!$U$5=""),E538=Dashboard!$U$5)),1,0))</f>
        <v>1</v>
      </c>
      <c r="N538" s="178">
        <f>IF(E538="",0,IF(AND(OR(OR(Dashboard!$E$5="All",Dashboard!$E$5=""),AG538=Dashboard!$E$5),OR(OR(Dashboard!$B$5="All",Dashboard!$B$5=""),C538=Dashboard!$B$5),OR(OR(Dashboard!$K$5="All",Dashboard!$K$5=""),A538=Dashboard!$K$5),OR(OR(Dashboard!$N$5="All",Dashboard!$N$5=""),B538=Dashboard!$N$5),OR(OR(Dashboard!$Q$5="All",Dashboard!$Q$5=""),D538=Dashboard!$Q$5),OR(OR(Dashboard!$U$5="All",Dashboard!$U$5=""),E538=Dashboard!$U$5)),1,0))</f>
        <v>1</v>
      </c>
      <c r="O538" s="165">
        <f t="shared" si="70"/>
        <v>64</v>
      </c>
      <c r="AG538" s="178" t="str">
        <f>IF(E538="","",IFERROR(IF(INDEX('Item Purchases'!$AM$4:$AM$30,MATCH(E538,'Item Purchases'!$B$4:$B$30,0))="","Uncategorised",INDEX('Item Purchases'!$AM$4:$AM$30,MATCH(E538,'Item Purchases'!$B$4:$B$30,0))),"Uncategorised"))</f>
        <v>Beverages</v>
      </c>
      <c r="AH538" s="165">
        <f>IF(AND(E538&lt;&gt;"",L538=1),COUNTIFS($E$2:E538,E538,$L$2:L538,1),0)</f>
        <v>20</v>
      </c>
      <c r="AI538" s="165">
        <f t="shared" si="71"/>
        <v>8</v>
      </c>
      <c r="AJ538" s="165">
        <f t="shared" si="72"/>
        <v>1</v>
      </c>
    </row>
    <row r="539" spans="1:36" x14ac:dyDescent="0.25">
      <c r="A539" s="177">
        <f t="shared" si="73"/>
        <v>46293</v>
      </c>
      <c r="B539" s="178" t="str">
        <f t="shared" si="67"/>
        <v>Mon</v>
      </c>
      <c r="C539" s="178" t="str">
        <f>'Pantry Inventory'!$A$98</f>
        <v>Sep Week 4</v>
      </c>
      <c r="D539" s="178" t="str">
        <f>IF('Pantry Inventory'!A125="","",'Pantry Inventory'!A125)</f>
        <v>Spritzer</v>
      </c>
      <c r="E539" s="178" t="str">
        <f>IF('Pantry Inventory'!B125="","",'Pantry Inventory'!B125)</f>
        <v>Spritzer sparkling water (original) 400ml</v>
      </c>
      <c r="F539" s="178" t="str">
        <f>IF(E539="","",IFERROR(IF(INDEX('Item Purchases'!$S$4:$S$30,MATCH(E539,'Item Purchases'!$B$4:$B$30,0))="","Uncategorised",INDEX('Item Purchases'!$S$4:$S$30,MATCH(E539,'Item Purchases'!$B$4:$B$30,0))),"Uncategorised"))</f>
        <v>Other</v>
      </c>
      <c r="G539" s="178">
        <f>IF(E539="",0,'Pantry Inventory'!P125)</f>
        <v>48</v>
      </c>
      <c r="H539" s="178">
        <f>IF(E539="","",IF('Pantry Inventory'!Q125="","",'Pantry Inventory'!Q125))</f>
        <v>48</v>
      </c>
      <c r="I539" s="178">
        <f>IF(H539="","",'Pantry Inventory'!R125)</f>
        <v>25</v>
      </c>
      <c r="J539" s="179">
        <f>IF(E539="",0,IFERROR(INDEX('Item Purchases'!$Q$4:$Q$30,MATCH(E539,'Item Purchases'!$B$4:$B$30,0)),0))</f>
        <v>1.616666666666666</v>
      </c>
      <c r="K539" s="180">
        <f t="shared" si="68"/>
        <v>40.41666666666665</v>
      </c>
      <c r="L539" s="178">
        <f t="shared" si="69"/>
        <v>1</v>
      </c>
      <c r="M539" s="178">
        <f>IF(E539="",0,IF(AND(OR(OR(Dashboard!$E$5="All",Dashboard!$E$5=""),AG539=Dashboard!$E$5),OR(OR(Dashboard!$H$5="All",Dashboard!$H$5=""),F539=Dashboard!$H$5),OR(OR(Dashboard!$B$5="All",Dashboard!$B$5=""),C539=Dashboard!$B$5),OR(OR(Dashboard!$K$5="All",Dashboard!$K$5=""),A539=Dashboard!$K$5),OR(OR(Dashboard!$N$5="All",Dashboard!$N$5=""),B539=Dashboard!$N$5),OR(OR(Dashboard!$Q$5="All",Dashboard!$Q$5=""),D539=Dashboard!$Q$5),OR(OR(Dashboard!$U$5="All",Dashboard!$U$5=""),E539=Dashboard!$U$5)),1,0))</f>
        <v>1</v>
      </c>
      <c r="N539" s="178">
        <f>IF(E539="",0,IF(AND(OR(OR(Dashboard!$E$5="All",Dashboard!$E$5=""),AG539=Dashboard!$E$5),OR(OR(Dashboard!$B$5="All",Dashboard!$B$5=""),C539=Dashboard!$B$5),OR(OR(Dashboard!$K$5="All",Dashboard!$K$5=""),A539=Dashboard!$K$5),OR(OR(Dashboard!$N$5="All",Dashboard!$N$5=""),B539=Dashboard!$N$5),OR(OR(Dashboard!$Q$5="All",Dashboard!$Q$5=""),D539=Dashboard!$Q$5),OR(OR(Dashboard!$U$5="All",Dashboard!$U$5=""),E539=Dashboard!$U$5)),1,0))</f>
        <v>1</v>
      </c>
      <c r="O539" s="165">
        <f t="shared" si="70"/>
        <v>625</v>
      </c>
      <c r="AG539" s="178" t="str">
        <f>IF(E539="","",IFERROR(IF(INDEX('Item Purchases'!$AM$4:$AM$30,MATCH(E539,'Item Purchases'!$B$4:$B$30,0))="","Uncategorised",INDEX('Item Purchases'!$AM$4:$AM$30,MATCH(E539,'Item Purchases'!$B$4:$B$30,0))),"Uncategorised"))</f>
        <v>Beverages</v>
      </c>
      <c r="AH539" s="165">
        <f>IF(AND(E539&lt;&gt;"",L539=1),COUNTIFS($E$2:E539,E539,$L$2:L539,1),0)</f>
        <v>20</v>
      </c>
      <c r="AI539" s="165">
        <f t="shared" si="71"/>
        <v>25</v>
      </c>
      <c r="AJ539" s="165">
        <f t="shared" si="72"/>
        <v>1</v>
      </c>
    </row>
    <row r="540" spans="1:36" x14ac:dyDescent="0.25">
      <c r="A540" s="177">
        <f t="shared" si="73"/>
        <v>46293</v>
      </c>
      <c r="B540" s="178" t="str">
        <f t="shared" si="67"/>
        <v>Mon</v>
      </c>
      <c r="C540" s="178" t="str">
        <f>'Pantry Inventory'!$A$98</f>
        <v>Sep Week 4</v>
      </c>
      <c r="D540" s="178" t="str">
        <f>IF('Pantry Inventory'!A126="","",'Pantry Inventory'!A126)</f>
        <v>Oat Side</v>
      </c>
      <c r="E540" s="178" t="str">
        <f>IF('Pantry Inventory'!B126="","",'Pantry Inventory'!B126)</f>
        <v>Oat Side Original 200ml</v>
      </c>
      <c r="F540" s="178" t="str">
        <f>IF(E540="","",IFERROR(IF(INDEX('Item Purchases'!$S$4:$S$30,MATCH(E540,'Item Purchases'!$B$4:$B$30,0))="","Uncategorised",INDEX('Item Purchases'!$S$4:$S$30,MATCH(E540,'Item Purchases'!$B$4:$B$30,0))),"Uncategorised"))</f>
        <v>Other</v>
      </c>
      <c r="G540" s="178">
        <f>IF(E540="",0,'Pantry Inventory'!P126)</f>
        <v>24</v>
      </c>
      <c r="H540" s="178">
        <f>IF(E540="","",IF('Pantry Inventory'!Q126="","",'Pantry Inventory'!Q126))</f>
        <v>42</v>
      </c>
      <c r="I540" s="178">
        <f>IF(H540="","",'Pantry Inventory'!R126)</f>
        <v>26</v>
      </c>
      <c r="J540" s="179">
        <f>IF(E540="",0,IFERROR(INDEX('Item Purchases'!$Q$4:$Q$30,MATCH(E540,'Item Purchases'!$B$4:$B$30,0)),0))</f>
        <v>3</v>
      </c>
      <c r="K540" s="180">
        <f t="shared" si="68"/>
        <v>78</v>
      </c>
      <c r="L540" s="178">
        <f t="shared" si="69"/>
        <v>1</v>
      </c>
      <c r="M540" s="178">
        <f>IF(E540="",0,IF(AND(OR(OR(Dashboard!$E$5="All",Dashboard!$E$5=""),AG540=Dashboard!$E$5),OR(OR(Dashboard!$H$5="All",Dashboard!$H$5=""),F540=Dashboard!$H$5),OR(OR(Dashboard!$B$5="All",Dashboard!$B$5=""),C540=Dashboard!$B$5),OR(OR(Dashboard!$K$5="All",Dashboard!$K$5=""),A540=Dashboard!$K$5),OR(OR(Dashboard!$N$5="All",Dashboard!$N$5=""),B540=Dashboard!$N$5),OR(OR(Dashboard!$Q$5="All",Dashboard!$Q$5=""),D540=Dashboard!$Q$5),OR(OR(Dashboard!$U$5="All",Dashboard!$U$5=""),E540=Dashboard!$U$5)),1,0))</f>
        <v>1</v>
      </c>
      <c r="N540" s="178">
        <f>IF(E540="",0,IF(AND(OR(OR(Dashboard!$E$5="All",Dashboard!$E$5=""),AG540=Dashboard!$E$5),OR(OR(Dashboard!$B$5="All",Dashboard!$B$5=""),C540=Dashboard!$B$5),OR(OR(Dashboard!$K$5="All",Dashboard!$K$5=""),A540=Dashboard!$K$5),OR(OR(Dashboard!$N$5="All",Dashboard!$N$5=""),B540=Dashboard!$N$5),OR(OR(Dashboard!$Q$5="All",Dashboard!$Q$5=""),D540=Dashboard!$Q$5),OR(OR(Dashboard!$U$5="All",Dashboard!$U$5=""),E540=Dashboard!$U$5)),1,0))</f>
        <v>1</v>
      </c>
      <c r="O540" s="165">
        <f t="shared" si="70"/>
        <v>676</v>
      </c>
      <c r="AG540" s="178" t="str">
        <f>IF(E540="","",IFERROR(IF(INDEX('Item Purchases'!$AM$4:$AM$30,MATCH(E540,'Item Purchases'!$B$4:$B$30,0))="","Uncategorised",INDEX('Item Purchases'!$AM$4:$AM$30,MATCH(E540,'Item Purchases'!$B$4:$B$30,0))),"Uncategorised"))</f>
        <v>Beverages</v>
      </c>
      <c r="AH540" s="165">
        <f>IF(AND(E540&lt;&gt;"",L540=1),COUNTIFS($E$2:E540,E540,$L$2:L540,1),0)</f>
        <v>20</v>
      </c>
      <c r="AI540" s="165">
        <f t="shared" si="71"/>
        <v>26</v>
      </c>
      <c r="AJ540" s="165">
        <f t="shared" si="72"/>
        <v>1</v>
      </c>
    </row>
    <row r="541" spans="1:36" x14ac:dyDescent="0.25">
      <c r="A541" s="177">
        <f t="shared" si="73"/>
        <v>46293</v>
      </c>
      <c r="B541" s="178" t="str">
        <f t="shared" si="67"/>
        <v>Mon</v>
      </c>
      <c r="C541" s="178" t="str">
        <f>'Pantry Inventory'!$A$98</f>
        <v>Sep Week 4</v>
      </c>
      <c r="D541" s="178" t="str">
        <f>IF('Pantry Inventory'!A127="","",'Pantry Inventory'!A127)</f>
        <v>Oat Side</v>
      </c>
      <c r="E541" s="178" t="str">
        <f>IF('Pantry Inventory'!B127="","",'Pantry Inventory'!B127)</f>
        <v>Oat Side Chocolate 200ml</v>
      </c>
      <c r="F541" s="178" t="str">
        <f>IF(E541="","",IFERROR(IF(INDEX('Item Purchases'!$S$4:$S$30,MATCH(E541,'Item Purchases'!$B$4:$B$30,0))="","Uncategorised",INDEX('Item Purchases'!$S$4:$S$30,MATCH(E541,'Item Purchases'!$B$4:$B$30,0))),"Uncategorised"))</f>
        <v>Other</v>
      </c>
      <c r="G541" s="178">
        <f>IF(E541="",0,'Pantry Inventory'!P127)</f>
        <v>24</v>
      </c>
      <c r="H541" s="178">
        <f>IF(E541="","",IF('Pantry Inventory'!Q127="","",'Pantry Inventory'!Q127))</f>
        <v>24</v>
      </c>
      <c r="I541" s="178">
        <f>IF(H541="","",'Pantry Inventory'!R127)</f>
        <v>11</v>
      </c>
      <c r="J541" s="179">
        <f>IF(E541="",0,IFERROR(INDEX('Item Purchases'!$Q$4:$Q$30,MATCH(E541,'Item Purchases'!$B$4:$B$30,0)),0))</f>
        <v>3</v>
      </c>
      <c r="K541" s="180">
        <f t="shared" si="68"/>
        <v>33</v>
      </c>
      <c r="L541" s="178">
        <f t="shared" si="69"/>
        <v>1</v>
      </c>
      <c r="M541" s="178">
        <f>IF(E541="",0,IF(AND(OR(OR(Dashboard!$E$5="All",Dashboard!$E$5=""),AG541=Dashboard!$E$5),OR(OR(Dashboard!$H$5="All",Dashboard!$H$5=""),F541=Dashboard!$H$5),OR(OR(Dashboard!$B$5="All",Dashboard!$B$5=""),C541=Dashboard!$B$5),OR(OR(Dashboard!$K$5="All",Dashboard!$K$5=""),A541=Dashboard!$K$5),OR(OR(Dashboard!$N$5="All",Dashboard!$N$5=""),B541=Dashboard!$N$5),OR(OR(Dashboard!$Q$5="All",Dashboard!$Q$5=""),D541=Dashboard!$Q$5),OR(OR(Dashboard!$U$5="All",Dashboard!$U$5=""),E541=Dashboard!$U$5)),1,0))</f>
        <v>1</v>
      </c>
      <c r="N541" s="178">
        <f>IF(E541="",0,IF(AND(OR(OR(Dashboard!$E$5="All",Dashboard!$E$5=""),AG541=Dashboard!$E$5),OR(OR(Dashboard!$B$5="All",Dashboard!$B$5=""),C541=Dashboard!$B$5),OR(OR(Dashboard!$K$5="All",Dashboard!$K$5=""),A541=Dashboard!$K$5),OR(OR(Dashboard!$N$5="All",Dashboard!$N$5=""),B541=Dashboard!$N$5),OR(OR(Dashboard!$Q$5="All",Dashboard!$Q$5=""),D541=Dashboard!$Q$5),OR(OR(Dashboard!$U$5="All",Dashboard!$U$5=""),E541=Dashboard!$U$5)),1,0))</f>
        <v>1</v>
      </c>
      <c r="O541" s="165">
        <f t="shared" si="70"/>
        <v>121</v>
      </c>
      <c r="AG541" s="178" t="str">
        <f>IF(E541="","",IFERROR(IF(INDEX('Item Purchases'!$AM$4:$AM$30,MATCH(E541,'Item Purchases'!$B$4:$B$30,0))="","Uncategorised",INDEX('Item Purchases'!$AM$4:$AM$30,MATCH(E541,'Item Purchases'!$B$4:$B$30,0))),"Uncategorised"))</f>
        <v>Beverages</v>
      </c>
      <c r="AH541" s="165">
        <f>IF(AND(E541&lt;&gt;"",L541=1),COUNTIFS($E$2:E541,E541,$L$2:L541,1),0)</f>
        <v>20</v>
      </c>
      <c r="AI541" s="165">
        <f t="shared" si="71"/>
        <v>11</v>
      </c>
      <c r="AJ541" s="165">
        <f t="shared" si="72"/>
        <v>1</v>
      </c>
    </row>
    <row r="542" spans="1:36" x14ac:dyDescent="0.25">
      <c r="A542" s="177">
        <f t="shared" ref="A542:A568" si="74">IF($Z$22="",0,$Z$22)</f>
        <v>0</v>
      </c>
      <c r="B542" s="178" t="str">
        <f t="shared" si="67"/>
        <v/>
      </c>
      <c r="C542" s="178" t="str">
        <f>'Pantry Inventory'!$A$132</f>
        <v>Sep Week 5</v>
      </c>
      <c r="D542" s="178" t="str">
        <f>IF('Pantry Inventory'!A135="","",'Pantry Inventory'!A135)</f>
        <v>Julie's</v>
      </c>
      <c r="E542" s="178" t="str">
        <f>IF('Pantry Inventory'!B135="","",'Pantry Inventory'!B135)</f>
        <v>Julie's Peanut Butter Sandwich 360g (12pkts x 30g)</v>
      </c>
      <c r="F542" s="178" t="str">
        <f>IF(E542="","",IFERROR(IF(INDEX('Item Purchases'!$S$4:$S$30,MATCH(E542,'Item Purchases'!$B$4:$B$30,0))="","Uncategorised",INDEX('Item Purchases'!$S$4:$S$30,MATCH(E542,'Item Purchases'!$B$4:$B$30,0))),"Uncategorised"))</f>
        <v>Sweet</v>
      </c>
      <c r="G542" s="178">
        <f>IF(E542="",0,'Pantry Inventory'!D135)</f>
        <v>0</v>
      </c>
      <c r="H542" s="178" t="str">
        <f>IF(E542="","",IF('Pantry Inventory'!E135="","",'Pantry Inventory'!E135))</f>
        <v/>
      </c>
      <c r="I542" s="178" t="str">
        <f>IF(H542="","",'Pantry Inventory'!F135)</f>
        <v/>
      </c>
      <c r="J542" s="179">
        <f>IF(E542="",0,IFERROR(INDEX('Item Purchases'!$Q$4:$Q$30,MATCH(E542,'Item Purchases'!$B$4:$B$30,0)),0))</f>
        <v>1.083</v>
      </c>
      <c r="K542" s="180" t="str">
        <f t="shared" si="68"/>
        <v/>
      </c>
      <c r="L542" s="178">
        <f t="shared" si="69"/>
        <v>0</v>
      </c>
      <c r="M542" s="178">
        <f>IF(E542="",0,IF(AND(OR(OR(Dashboard!$E$5="All",Dashboard!$E$5=""),AG542=Dashboard!$E$5),OR(OR(Dashboard!$H$5="All",Dashboard!$H$5=""),F542=Dashboard!$H$5),OR(OR(Dashboard!$B$5="All",Dashboard!$B$5=""),C542=Dashboard!$B$5),OR(OR(Dashboard!$K$5="All",Dashboard!$K$5=""),A542=Dashboard!$K$5),OR(OR(Dashboard!$N$5="All",Dashboard!$N$5=""),B542=Dashboard!$N$5),OR(OR(Dashboard!$Q$5="All",Dashboard!$Q$5=""),D542=Dashboard!$Q$5),OR(OR(Dashboard!$U$5="All",Dashboard!$U$5=""),E542=Dashboard!$U$5)),1,0))</f>
        <v>1</v>
      </c>
      <c r="N542" s="178">
        <f>IF(E542="",0,IF(AND(OR(OR(Dashboard!$E$5="All",Dashboard!$E$5=""),AG542=Dashboard!$E$5),OR(OR(Dashboard!$B$5="All",Dashboard!$B$5=""),C542=Dashboard!$B$5),OR(OR(Dashboard!$K$5="All",Dashboard!$K$5=""),A542=Dashboard!$K$5),OR(OR(Dashboard!$N$5="All",Dashboard!$N$5=""),B542=Dashboard!$N$5),OR(OR(Dashboard!$Q$5="All",Dashboard!$Q$5=""),D542=Dashboard!$Q$5),OR(OR(Dashboard!$U$5="All",Dashboard!$U$5=""),E542=Dashboard!$U$5)),1,0))</f>
        <v>1</v>
      </c>
      <c r="O542" s="165">
        <f t="shared" si="70"/>
        <v>0</v>
      </c>
      <c r="AG542" s="178" t="str">
        <f>IF(E542="","",IFERROR(IF(INDEX('Item Purchases'!$AM$4:$AM$30,MATCH(E542,'Item Purchases'!$B$4:$B$30,0))="","Uncategorised",INDEX('Item Purchases'!$AM$4:$AM$30,MATCH(E542,'Item Purchases'!$B$4:$B$30,0))),"Uncategorised"))</f>
        <v>Snacks</v>
      </c>
      <c r="AH542" s="165">
        <f>IF(AND(E542&lt;&gt;"",L542=1),COUNTIFS($E$2:E542,E542,$L$2:L542,1),0)</f>
        <v>0</v>
      </c>
      <c r="AI542" s="165">
        <f t="shared" si="71"/>
        <v>0</v>
      </c>
      <c r="AJ542" s="165">
        <f t="shared" si="72"/>
        <v>0</v>
      </c>
    </row>
    <row r="543" spans="1:36" x14ac:dyDescent="0.25">
      <c r="A543" s="177">
        <f t="shared" si="74"/>
        <v>0</v>
      </c>
      <c r="B543" s="178" t="str">
        <f t="shared" si="67"/>
        <v/>
      </c>
      <c r="C543" s="178" t="str">
        <f>'Pantry Inventory'!$A$132</f>
        <v>Sep Week 5</v>
      </c>
      <c r="D543" s="178" t="str">
        <f>IF('Pantry Inventory'!A136="","",'Pantry Inventory'!A136)</f>
        <v>Julie's</v>
      </c>
      <c r="E543" s="178" t="str">
        <f>IF('Pantry Inventory'!B136="","",'Pantry Inventory'!B136)</f>
        <v>Julies Butter Waffles</v>
      </c>
      <c r="F543" s="178" t="str">
        <f>IF(E543="","",IFERROR(IF(INDEX('Item Purchases'!$S$4:$S$30,MATCH(E543,'Item Purchases'!$B$4:$B$30,0))="","Uncategorised",INDEX('Item Purchases'!$S$4:$S$30,MATCH(E543,'Item Purchases'!$B$4:$B$30,0))),"Uncategorised"))</f>
        <v>Sweet</v>
      </c>
      <c r="G543" s="178">
        <f>IF(E543="",0,'Pantry Inventory'!D136)</f>
        <v>0</v>
      </c>
      <c r="H543" s="178" t="str">
        <f>IF(E543="","",IF('Pantry Inventory'!E136="","",'Pantry Inventory'!E136))</f>
        <v/>
      </c>
      <c r="I543" s="178" t="str">
        <f>IF(H543="","",'Pantry Inventory'!F136)</f>
        <v/>
      </c>
      <c r="J543" s="179">
        <f>IF(E543="",0,IFERROR(INDEX('Item Purchases'!$Q$4:$Q$30,MATCH(E543,'Item Purchases'!$B$4:$B$30,0)),0))</f>
        <v>5.15</v>
      </c>
      <c r="K543" s="180" t="str">
        <f t="shared" si="68"/>
        <v/>
      </c>
      <c r="L543" s="178">
        <f t="shared" si="69"/>
        <v>0</v>
      </c>
      <c r="M543" s="178">
        <f>IF(E543="",0,IF(AND(OR(OR(Dashboard!$E$5="All",Dashboard!$E$5=""),AG543=Dashboard!$E$5),OR(OR(Dashboard!$H$5="All",Dashboard!$H$5=""),F543=Dashboard!$H$5),OR(OR(Dashboard!$B$5="All",Dashboard!$B$5=""),C543=Dashboard!$B$5),OR(OR(Dashboard!$K$5="All",Dashboard!$K$5=""),A543=Dashboard!$K$5),OR(OR(Dashboard!$N$5="All",Dashboard!$N$5=""),B543=Dashboard!$N$5),OR(OR(Dashboard!$Q$5="All",Dashboard!$Q$5=""),D543=Dashboard!$Q$5),OR(OR(Dashboard!$U$5="All",Dashboard!$U$5=""),E543=Dashboard!$U$5)),1,0))</f>
        <v>1</v>
      </c>
      <c r="N543" s="178">
        <f>IF(E543="",0,IF(AND(OR(OR(Dashboard!$E$5="All",Dashboard!$E$5=""),AG543=Dashboard!$E$5),OR(OR(Dashboard!$B$5="All",Dashboard!$B$5=""),C543=Dashboard!$B$5),OR(OR(Dashboard!$K$5="All",Dashboard!$K$5=""),A543=Dashboard!$K$5),OR(OR(Dashboard!$N$5="All",Dashboard!$N$5=""),B543=Dashboard!$N$5),OR(OR(Dashboard!$Q$5="All",Dashboard!$Q$5=""),D543=Dashboard!$Q$5),OR(OR(Dashboard!$U$5="All",Dashboard!$U$5=""),E543=Dashboard!$U$5)),1,0))</f>
        <v>1</v>
      </c>
      <c r="O543" s="165">
        <f t="shared" si="70"/>
        <v>0</v>
      </c>
      <c r="AG543" s="178" t="str">
        <f>IF(E543="","",IFERROR(IF(INDEX('Item Purchases'!$AM$4:$AM$30,MATCH(E543,'Item Purchases'!$B$4:$B$30,0))="","Uncategorised",INDEX('Item Purchases'!$AM$4:$AM$30,MATCH(E543,'Item Purchases'!$B$4:$B$30,0))),"Uncategorised"))</f>
        <v>Snacks</v>
      </c>
      <c r="AH543" s="165">
        <f>IF(AND(E543&lt;&gt;"",L543=1),COUNTIFS($E$2:E543,E543,$L$2:L543,1),0)</f>
        <v>0</v>
      </c>
      <c r="AI543" s="165">
        <f t="shared" si="71"/>
        <v>0</v>
      </c>
      <c r="AJ543" s="165">
        <f t="shared" si="72"/>
        <v>0</v>
      </c>
    </row>
    <row r="544" spans="1:36" x14ac:dyDescent="0.25">
      <c r="A544" s="177">
        <f t="shared" si="74"/>
        <v>0</v>
      </c>
      <c r="B544" s="178" t="str">
        <f t="shared" si="67"/>
        <v/>
      </c>
      <c r="C544" s="178" t="str">
        <f>'Pantry Inventory'!$A$132</f>
        <v>Sep Week 5</v>
      </c>
      <c r="D544" s="178" t="str">
        <f>IF('Pantry Inventory'!A137="","",'Pantry Inventory'!A137)</f>
        <v>Julie's</v>
      </c>
      <c r="E544" s="178" t="str">
        <f>IF('Pantry Inventory'!B137="","",'Pantry Inventory'!B137)</f>
        <v>Julies Choco More Sandwich (44G)</v>
      </c>
      <c r="F544" s="178" t="str">
        <f>IF(E544="","",IFERROR(IF(INDEX('Item Purchases'!$S$4:$S$30,MATCH(E544,'Item Purchases'!$B$4:$B$30,0))="","Uncategorised",INDEX('Item Purchases'!$S$4:$S$30,MATCH(E544,'Item Purchases'!$B$4:$B$30,0))),"Uncategorised"))</f>
        <v>Sweet</v>
      </c>
      <c r="G544" s="178">
        <f>IF(E544="",0,'Pantry Inventory'!D137)</f>
        <v>0</v>
      </c>
      <c r="H544" s="178" t="str">
        <f>IF(E544="","",IF('Pantry Inventory'!E137="","",'Pantry Inventory'!E137))</f>
        <v/>
      </c>
      <c r="I544" s="178" t="str">
        <f>IF(H544="","",'Pantry Inventory'!F137)</f>
        <v/>
      </c>
      <c r="J544" s="179">
        <f>IF(E544="",0,IFERROR(INDEX('Item Purchases'!$Q$4:$Q$30,MATCH(E544,'Item Purchases'!$B$4:$B$30,0)),0))</f>
        <v>1.2</v>
      </c>
      <c r="K544" s="180" t="str">
        <f t="shared" si="68"/>
        <v/>
      </c>
      <c r="L544" s="178">
        <f t="shared" si="69"/>
        <v>0</v>
      </c>
      <c r="M544" s="178">
        <f>IF(E544="",0,IF(AND(OR(OR(Dashboard!$E$5="All",Dashboard!$E$5=""),AG544=Dashboard!$E$5),OR(OR(Dashboard!$H$5="All",Dashboard!$H$5=""),F544=Dashboard!$H$5),OR(OR(Dashboard!$B$5="All",Dashboard!$B$5=""),C544=Dashboard!$B$5),OR(OR(Dashboard!$K$5="All",Dashboard!$K$5=""),A544=Dashboard!$K$5),OR(OR(Dashboard!$N$5="All",Dashboard!$N$5=""),B544=Dashboard!$N$5),OR(OR(Dashboard!$Q$5="All",Dashboard!$Q$5=""),D544=Dashboard!$Q$5),OR(OR(Dashboard!$U$5="All",Dashboard!$U$5=""),E544=Dashboard!$U$5)),1,0))</f>
        <v>1</v>
      </c>
      <c r="N544" s="178">
        <f>IF(E544="",0,IF(AND(OR(OR(Dashboard!$E$5="All",Dashboard!$E$5=""),AG544=Dashboard!$E$5),OR(OR(Dashboard!$B$5="All",Dashboard!$B$5=""),C544=Dashboard!$B$5),OR(OR(Dashboard!$K$5="All",Dashboard!$K$5=""),A544=Dashboard!$K$5),OR(OR(Dashboard!$N$5="All",Dashboard!$N$5=""),B544=Dashboard!$N$5),OR(OR(Dashboard!$Q$5="All",Dashboard!$Q$5=""),D544=Dashboard!$Q$5),OR(OR(Dashboard!$U$5="All",Dashboard!$U$5=""),E544=Dashboard!$U$5)),1,0))</f>
        <v>1</v>
      </c>
      <c r="O544" s="165">
        <f t="shared" si="70"/>
        <v>0</v>
      </c>
      <c r="AG544" s="178" t="str">
        <f>IF(E544="","",IFERROR(IF(INDEX('Item Purchases'!$AM$4:$AM$30,MATCH(E544,'Item Purchases'!$B$4:$B$30,0))="","Uncategorised",INDEX('Item Purchases'!$AM$4:$AM$30,MATCH(E544,'Item Purchases'!$B$4:$B$30,0))),"Uncategorised"))</f>
        <v>Snacks</v>
      </c>
      <c r="AH544" s="165">
        <f>IF(AND(E544&lt;&gt;"",L544=1),COUNTIFS($E$2:E544,E544,$L$2:L544,1),0)</f>
        <v>0</v>
      </c>
      <c r="AI544" s="165">
        <f t="shared" si="71"/>
        <v>0</v>
      </c>
      <c r="AJ544" s="165">
        <f t="shared" si="72"/>
        <v>0</v>
      </c>
    </row>
    <row r="545" spans="1:36" x14ac:dyDescent="0.25">
      <c r="A545" s="177">
        <f t="shared" si="74"/>
        <v>0</v>
      </c>
      <c r="B545" s="178" t="str">
        <f t="shared" si="67"/>
        <v/>
      </c>
      <c r="C545" s="178" t="str">
        <f>'Pantry Inventory'!$A$132</f>
        <v>Sep Week 5</v>
      </c>
      <c r="D545" s="178" t="str">
        <f>IF('Pantry Inventory'!A138="","",'Pantry Inventory'!A138)</f>
        <v>Julie's</v>
      </c>
      <c r="E545" s="178" t="str">
        <f>IF('Pantry Inventory'!B138="","",'Pantry Inventory'!B138)</f>
        <v>Julies Cheese Sandwich (28G)</v>
      </c>
      <c r="F545" s="178" t="str">
        <f>IF(E545="","",IFERROR(IF(INDEX('Item Purchases'!$S$4:$S$30,MATCH(E545,'Item Purchases'!$B$4:$B$30,0))="","Uncategorised",INDEX('Item Purchases'!$S$4:$S$30,MATCH(E545,'Item Purchases'!$B$4:$B$30,0))),"Uncategorised"))</f>
        <v>Savoury</v>
      </c>
      <c r="G545" s="178">
        <f>IF(E545="",0,'Pantry Inventory'!D138)</f>
        <v>0</v>
      </c>
      <c r="H545" s="178" t="str">
        <f>IF(E545="","",IF('Pantry Inventory'!E138="","",'Pantry Inventory'!E138))</f>
        <v/>
      </c>
      <c r="I545" s="178" t="str">
        <f>IF(H545="","",'Pantry Inventory'!F138)</f>
        <v/>
      </c>
      <c r="J545" s="179">
        <f>IF(E545="",0,IFERROR(INDEX('Item Purchases'!$Q$4:$Q$30,MATCH(E545,'Item Purchases'!$B$4:$B$30,0)),0))</f>
        <v>1.1000000000000001</v>
      </c>
      <c r="K545" s="180" t="str">
        <f t="shared" si="68"/>
        <v/>
      </c>
      <c r="L545" s="178">
        <f t="shared" si="69"/>
        <v>0</v>
      </c>
      <c r="M545" s="178">
        <f>IF(E545="",0,IF(AND(OR(OR(Dashboard!$E$5="All",Dashboard!$E$5=""),AG545=Dashboard!$E$5),OR(OR(Dashboard!$H$5="All",Dashboard!$H$5=""),F545=Dashboard!$H$5),OR(OR(Dashboard!$B$5="All",Dashboard!$B$5=""),C545=Dashboard!$B$5),OR(OR(Dashboard!$K$5="All",Dashboard!$K$5=""),A545=Dashboard!$K$5),OR(OR(Dashboard!$N$5="All",Dashboard!$N$5=""),B545=Dashboard!$N$5),OR(OR(Dashboard!$Q$5="All",Dashboard!$Q$5=""),D545=Dashboard!$Q$5),OR(OR(Dashboard!$U$5="All",Dashboard!$U$5=""),E545=Dashboard!$U$5)),1,0))</f>
        <v>1</v>
      </c>
      <c r="N545" s="178">
        <f>IF(E545="",0,IF(AND(OR(OR(Dashboard!$E$5="All",Dashboard!$E$5=""),AG545=Dashboard!$E$5),OR(OR(Dashboard!$B$5="All",Dashboard!$B$5=""),C545=Dashboard!$B$5),OR(OR(Dashboard!$K$5="All",Dashboard!$K$5=""),A545=Dashboard!$K$5),OR(OR(Dashboard!$N$5="All",Dashboard!$N$5=""),B545=Dashboard!$N$5),OR(OR(Dashboard!$Q$5="All",Dashboard!$Q$5=""),D545=Dashboard!$Q$5),OR(OR(Dashboard!$U$5="All",Dashboard!$U$5=""),E545=Dashboard!$U$5)),1,0))</f>
        <v>1</v>
      </c>
      <c r="O545" s="165">
        <f t="shared" si="70"/>
        <v>0</v>
      </c>
      <c r="AG545" s="178" t="str">
        <f>IF(E545="","",IFERROR(IF(INDEX('Item Purchases'!$AM$4:$AM$30,MATCH(E545,'Item Purchases'!$B$4:$B$30,0))="","Uncategorised",INDEX('Item Purchases'!$AM$4:$AM$30,MATCH(E545,'Item Purchases'!$B$4:$B$30,0))),"Uncategorised"))</f>
        <v>Snacks</v>
      </c>
      <c r="AH545" s="165">
        <f>IF(AND(E545&lt;&gt;"",L545=1),COUNTIFS($E$2:E545,E545,$L$2:L545,1),0)</f>
        <v>0</v>
      </c>
      <c r="AI545" s="165">
        <f t="shared" si="71"/>
        <v>0</v>
      </c>
      <c r="AJ545" s="165">
        <f t="shared" si="72"/>
        <v>0</v>
      </c>
    </row>
    <row r="546" spans="1:36" x14ac:dyDescent="0.25">
      <c r="A546" s="177">
        <f t="shared" si="74"/>
        <v>0</v>
      </c>
      <c r="B546" s="178" t="str">
        <f t="shared" si="67"/>
        <v/>
      </c>
      <c r="C546" s="178" t="str">
        <f>'Pantry Inventory'!$A$132</f>
        <v>Sep Week 5</v>
      </c>
      <c r="D546" s="178" t="str">
        <f>IF('Pantry Inventory'!A139="","",'Pantry Inventory'!A139)</f>
        <v>Nature Valley</v>
      </c>
      <c r="E546" s="178" t="str">
        <f>IF('Pantry Inventory'!B139="","",'Pantry Inventory'!B139)</f>
        <v>NV OATS &amp; DARK CHOC 42GX5</v>
      </c>
      <c r="F546" s="178" t="str">
        <f>IF(E546="","",IFERROR(IF(INDEX('Item Purchases'!$S$4:$S$30,MATCH(E546,'Item Purchases'!$B$4:$B$30,0))="","Uncategorised",INDEX('Item Purchases'!$S$4:$S$30,MATCH(E546,'Item Purchases'!$B$4:$B$30,0))),"Uncategorised"))</f>
        <v>Sweet</v>
      </c>
      <c r="G546" s="178">
        <f>IF(E546="",0,'Pantry Inventory'!D139)</f>
        <v>0</v>
      </c>
      <c r="H546" s="178" t="str">
        <f>IF(E546="","",IF('Pantry Inventory'!E139="","",'Pantry Inventory'!E139))</f>
        <v/>
      </c>
      <c r="I546" s="178" t="str">
        <f>IF(H546="","",'Pantry Inventory'!F139)</f>
        <v/>
      </c>
      <c r="J546" s="179">
        <f>IF(E546="",0,IFERROR(INDEX('Item Purchases'!$Q$4:$Q$30,MATCH(E546,'Item Purchases'!$B$4:$B$30,0)),0))</f>
        <v>2.78</v>
      </c>
      <c r="K546" s="180" t="str">
        <f t="shared" si="68"/>
        <v/>
      </c>
      <c r="L546" s="178">
        <f t="shared" si="69"/>
        <v>0</v>
      </c>
      <c r="M546" s="178">
        <f>IF(E546="",0,IF(AND(OR(OR(Dashboard!$E$5="All",Dashboard!$E$5=""),AG546=Dashboard!$E$5),OR(OR(Dashboard!$H$5="All",Dashboard!$H$5=""),F546=Dashboard!$H$5),OR(OR(Dashboard!$B$5="All",Dashboard!$B$5=""),C546=Dashboard!$B$5),OR(OR(Dashboard!$K$5="All",Dashboard!$K$5=""),A546=Dashboard!$K$5),OR(OR(Dashboard!$N$5="All",Dashboard!$N$5=""),B546=Dashboard!$N$5),OR(OR(Dashboard!$Q$5="All",Dashboard!$Q$5=""),D546=Dashboard!$Q$5),OR(OR(Dashboard!$U$5="All",Dashboard!$U$5=""),E546=Dashboard!$U$5)),1,0))</f>
        <v>1</v>
      </c>
      <c r="N546" s="178">
        <f>IF(E546="",0,IF(AND(OR(OR(Dashboard!$E$5="All",Dashboard!$E$5=""),AG546=Dashboard!$E$5),OR(OR(Dashboard!$B$5="All",Dashboard!$B$5=""),C546=Dashboard!$B$5),OR(OR(Dashboard!$K$5="All",Dashboard!$K$5=""),A546=Dashboard!$K$5),OR(OR(Dashboard!$N$5="All",Dashboard!$N$5=""),B546=Dashboard!$N$5),OR(OR(Dashboard!$Q$5="All",Dashboard!$Q$5=""),D546=Dashboard!$Q$5),OR(OR(Dashboard!$U$5="All",Dashboard!$U$5=""),E546=Dashboard!$U$5)),1,0))</f>
        <v>1</v>
      </c>
      <c r="O546" s="165">
        <f t="shared" si="70"/>
        <v>0</v>
      </c>
      <c r="AG546" s="178" t="str">
        <f>IF(E546="","",IFERROR(IF(INDEX('Item Purchases'!$AM$4:$AM$30,MATCH(E546,'Item Purchases'!$B$4:$B$30,0))="","Uncategorised",INDEX('Item Purchases'!$AM$4:$AM$30,MATCH(E546,'Item Purchases'!$B$4:$B$30,0))),"Uncategorised"))</f>
        <v>Snacks</v>
      </c>
      <c r="AH546" s="165">
        <f>IF(AND(E546&lt;&gt;"",L546=1),COUNTIFS($E$2:E546,E546,$L$2:L546,1),0)</f>
        <v>0</v>
      </c>
      <c r="AI546" s="165">
        <f t="shared" si="71"/>
        <v>0</v>
      </c>
      <c r="AJ546" s="165">
        <f t="shared" si="72"/>
        <v>0</v>
      </c>
    </row>
    <row r="547" spans="1:36" x14ac:dyDescent="0.25">
      <c r="A547" s="177">
        <f t="shared" si="74"/>
        <v>0</v>
      </c>
      <c r="B547" s="178" t="str">
        <f t="shared" si="67"/>
        <v/>
      </c>
      <c r="C547" s="178" t="str">
        <f>'Pantry Inventory'!$A$132</f>
        <v>Sep Week 5</v>
      </c>
      <c r="D547" s="178" t="str">
        <f>IF('Pantry Inventory'!A140="","",'Pantry Inventory'!A140)</f>
        <v>Nature Valley</v>
      </c>
      <c r="E547" s="178" t="str">
        <f>IF('Pantry Inventory'!B140="","",'Pantry Inventory'!B140)</f>
        <v xml:space="preserve">NV PROTEIN - SALTED CARAMEL 40G </v>
      </c>
      <c r="F547" s="178" t="str">
        <f>IF(E547="","",IFERROR(IF(INDEX('Item Purchases'!$S$4:$S$30,MATCH(E547,'Item Purchases'!$B$4:$B$30,0))="","Uncategorised",INDEX('Item Purchases'!$S$4:$S$30,MATCH(E547,'Item Purchases'!$B$4:$B$30,0))),"Uncategorised"))</f>
        <v>Sweet</v>
      </c>
      <c r="G547" s="178">
        <f>IF(E547="",0,'Pantry Inventory'!D140)</f>
        <v>0</v>
      </c>
      <c r="H547" s="178" t="str">
        <f>IF(E547="","",IF('Pantry Inventory'!E140="","",'Pantry Inventory'!E140))</f>
        <v/>
      </c>
      <c r="I547" s="178" t="str">
        <f>IF(H547="","",'Pantry Inventory'!F140)</f>
        <v/>
      </c>
      <c r="J547" s="179">
        <f>IF(E547="",0,IFERROR(INDEX('Item Purchases'!$Q$4:$Q$30,MATCH(E547,'Item Purchases'!$B$4:$B$30,0)),0))</f>
        <v>4.9000000000000004</v>
      </c>
      <c r="K547" s="180" t="str">
        <f t="shared" si="68"/>
        <v/>
      </c>
      <c r="L547" s="178">
        <f t="shared" si="69"/>
        <v>0</v>
      </c>
      <c r="M547" s="178">
        <f>IF(E547="",0,IF(AND(OR(OR(Dashboard!$E$5="All",Dashboard!$E$5=""),AG547=Dashboard!$E$5),OR(OR(Dashboard!$H$5="All",Dashboard!$H$5=""),F547=Dashboard!$H$5),OR(OR(Dashboard!$B$5="All",Dashboard!$B$5=""),C547=Dashboard!$B$5),OR(OR(Dashboard!$K$5="All",Dashboard!$K$5=""),A547=Dashboard!$K$5),OR(OR(Dashboard!$N$5="All",Dashboard!$N$5=""),B547=Dashboard!$N$5),OR(OR(Dashboard!$Q$5="All",Dashboard!$Q$5=""),D547=Dashboard!$Q$5),OR(OR(Dashboard!$U$5="All",Dashboard!$U$5=""),E547=Dashboard!$U$5)),1,0))</f>
        <v>1</v>
      </c>
      <c r="N547" s="178">
        <f>IF(E547="",0,IF(AND(OR(OR(Dashboard!$E$5="All",Dashboard!$E$5=""),AG547=Dashboard!$E$5),OR(OR(Dashboard!$B$5="All",Dashboard!$B$5=""),C547=Dashboard!$B$5),OR(OR(Dashboard!$K$5="All",Dashboard!$K$5=""),A547=Dashboard!$K$5),OR(OR(Dashboard!$N$5="All",Dashboard!$N$5=""),B547=Dashboard!$N$5),OR(OR(Dashboard!$Q$5="All",Dashboard!$Q$5=""),D547=Dashboard!$Q$5),OR(OR(Dashboard!$U$5="All",Dashboard!$U$5=""),E547=Dashboard!$U$5)),1,0))</f>
        <v>1</v>
      </c>
      <c r="O547" s="165">
        <f t="shared" si="70"/>
        <v>0</v>
      </c>
      <c r="AG547" s="178" t="str">
        <f>IF(E547="","",IFERROR(IF(INDEX('Item Purchases'!$AM$4:$AM$30,MATCH(E547,'Item Purchases'!$B$4:$B$30,0))="","Uncategorised",INDEX('Item Purchases'!$AM$4:$AM$30,MATCH(E547,'Item Purchases'!$B$4:$B$30,0))),"Uncategorised"))</f>
        <v>Snacks</v>
      </c>
      <c r="AH547" s="165">
        <f>IF(AND(E547&lt;&gt;"",L547=1),COUNTIFS($E$2:E547,E547,$L$2:L547,1),0)</f>
        <v>0</v>
      </c>
      <c r="AI547" s="165">
        <f t="shared" si="71"/>
        <v>0</v>
      </c>
      <c r="AJ547" s="165">
        <f t="shared" si="72"/>
        <v>0</v>
      </c>
    </row>
    <row r="548" spans="1:36" x14ac:dyDescent="0.25">
      <c r="A548" s="177">
        <f t="shared" si="74"/>
        <v>0</v>
      </c>
      <c r="B548" s="178" t="str">
        <f t="shared" si="67"/>
        <v/>
      </c>
      <c r="C548" s="178" t="str">
        <f>'Pantry Inventory'!$A$132</f>
        <v>Sep Week 5</v>
      </c>
      <c r="D548" s="178" t="str">
        <f>IF('Pantry Inventory'!A141="","",'Pantry Inventory'!A141)</f>
        <v>BBMG</v>
      </c>
      <c r="E548" s="178" t="str">
        <f>IF('Pantry Inventory'!B141="","",'Pantry Inventory'!B141)</f>
        <v>BBMG 90G</v>
      </c>
      <c r="F548" s="178" t="str">
        <f>IF(E548="","",IFERROR(IF(INDEX('Item Purchases'!$S$4:$S$30,MATCH(E548,'Item Purchases'!$B$4:$B$30,0))="","Uncategorised",INDEX('Item Purchases'!$S$4:$S$30,MATCH(E548,'Item Purchases'!$B$4:$B$30,0))),"Uncategorised"))</f>
        <v>Savoury</v>
      </c>
      <c r="G548" s="178">
        <f>IF(E548="",0,'Pantry Inventory'!D141)</f>
        <v>0</v>
      </c>
      <c r="H548" s="178" t="str">
        <f>IF(E548="","",IF('Pantry Inventory'!E141="","",'Pantry Inventory'!E141))</f>
        <v/>
      </c>
      <c r="I548" s="178" t="str">
        <f>IF(H548="","",'Pantry Inventory'!F141)</f>
        <v/>
      </c>
      <c r="J548" s="179">
        <f>IF(E548="",0,IFERROR(INDEX('Item Purchases'!$Q$4:$Q$30,MATCH(E548,'Item Purchases'!$B$4:$B$30,0)),0))</f>
        <v>0.34300000000000003</v>
      </c>
      <c r="K548" s="180" t="str">
        <f t="shared" si="68"/>
        <v/>
      </c>
      <c r="L548" s="178">
        <f t="shared" si="69"/>
        <v>0</v>
      </c>
      <c r="M548" s="178">
        <f>IF(E548="",0,IF(AND(OR(OR(Dashboard!$E$5="All",Dashboard!$E$5=""),AG548=Dashboard!$E$5),OR(OR(Dashboard!$H$5="All",Dashboard!$H$5=""),F548=Dashboard!$H$5),OR(OR(Dashboard!$B$5="All",Dashboard!$B$5=""),C548=Dashboard!$B$5),OR(OR(Dashboard!$K$5="All",Dashboard!$K$5=""),A548=Dashboard!$K$5),OR(OR(Dashboard!$N$5="All",Dashboard!$N$5=""),B548=Dashboard!$N$5),OR(OR(Dashboard!$Q$5="All",Dashboard!$Q$5=""),D548=Dashboard!$Q$5),OR(OR(Dashboard!$U$5="All",Dashboard!$U$5=""),E548=Dashboard!$U$5)),1,0))</f>
        <v>1</v>
      </c>
      <c r="N548" s="178">
        <f>IF(E548="",0,IF(AND(OR(OR(Dashboard!$E$5="All",Dashboard!$E$5=""),AG548=Dashboard!$E$5),OR(OR(Dashboard!$B$5="All",Dashboard!$B$5=""),C548=Dashboard!$B$5),OR(OR(Dashboard!$K$5="All",Dashboard!$K$5=""),A548=Dashboard!$K$5),OR(OR(Dashboard!$N$5="All",Dashboard!$N$5=""),B548=Dashboard!$N$5),OR(OR(Dashboard!$Q$5="All",Dashboard!$Q$5=""),D548=Dashboard!$Q$5),OR(OR(Dashboard!$U$5="All",Dashboard!$U$5=""),E548=Dashboard!$U$5)),1,0))</f>
        <v>1</v>
      </c>
      <c r="O548" s="165">
        <f t="shared" si="70"/>
        <v>0</v>
      </c>
      <c r="AG548" s="178" t="str">
        <f>IF(E548="","",IFERROR(IF(INDEX('Item Purchases'!$AM$4:$AM$30,MATCH(E548,'Item Purchases'!$B$4:$B$30,0))="","Uncategorised",INDEX('Item Purchases'!$AM$4:$AM$30,MATCH(E548,'Item Purchases'!$B$4:$B$30,0))),"Uncategorised"))</f>
        <v>Snacks</v>
      </c>
      <c r="AH548" s="165">
        <f>IF(AND(E548&lt;&gt;"",L548=1),COUNTIFS($E$2:E548,E548,$L$2:L548,1),0)</f>
        <v>0</v>
      </c>
      <c r="AI548" s="165">
        <f t="shared" si="71"/>
        <v>0</v>
      </c>
      <c r="AJ548" s="165">
        <f t="shared" si="72"/>
        <v>0</v>
      </c>
    </row>
    <row r="549" spans="1:36" x14ac:dyDescent="0.25">
      <c r="A549" s="177">
        <f t="shared" si="74"/>
        <v>0</v>
      </c>
      <c r="B549" s="178" t="str">
        <f t="shared" si="67"/>
        <v/>
      </c>
      <c r="C549" s="178" t="str">
        <f>'Pantry Inventory'!$A$132</f>
        <v>Sep Week 5</v>
      </c>
      <c r="D549" s="178" t="str">
        <f>IF('Pantry Inventory'!A142="","",'Pantry Inventory'!A142)</f>
        <v>Lays</v>
      </c>
      <c r="E549" s="178" t="str">
        <f>IF('Pantry Inventory'!B142="","",'Pantry Inventory'!B142)</f>
        <v>Lays Potato Chips (Original) 50g</v>
      </c>
      <c r="F549" s="178" t="str">
        <f>IF(E549="","",IFERROR(IF(INDEX('Item Purchases'!$S$4:$S$30,MATCH(E549,'Item Purchases'!$B$4:$B$30,0))="","Uncategorised",INDEX('Item Purchases'!$S$4:$S$30,MATCH(E549,'Item Purchases'!$B$4:$B$30,0))),"Uncategorised"))</f>
        <v>Savoury</v>
      </c>
      <c r="G549" s="178">
        <f>IF(E549="",0,'Pantry Inventory'!D142)</f>
        <v>0</v>
      </c>
      <c r="H549" s="178" t="str">
        <f>IF(E549="","",IF('Pantry Inventory'!E142="","",'Pantry Inventory'!E142))</f>
        <v/>
      </c>
      <c r="I549" s="178" t="str">
        <f>IF(H549="","",'Pantry Inventory'!F142)</f>
        <v/>
      </c>
      <c r="J549" s="179">
        <f>IF(E549="",0,IFERROR(INDEX('Item Purchases'!$Q$4:$Q$30,MATCH(E549,'Item Purchases'!$B$4:$B$30,0)),0))</f>
        <v>3.4580000000000002</v>
      </c>
      <c r="K549" s="180" t="str">
        <f t="shared" si="68"/>
        <v/>
      </c>
      <c r="L549" s="178">
        <f t="shared" si="69"/>
        <v>0</v>
      </c>
      <c r="M549" s="178">
        <f>IF(E549="",0,IF(AND(OR(OR(Dashboard!$E$5="All",Dashboard!$E$5=""),AG549=Dashboard!$E$5),OR(OR(Dashboard!$H$5="All",Dashboard!$H$5=""),F549=Dashboard!$H$5),OR(OR(Dashboard!$B$5="All",Dashboard!$B$5=""),C549=Dashboard!$B$5),OR(OR(Dashboard!$K$5="All",Dashboard!$K$5=""),A549=Dashboard!$K$5),OR(OR(Dashboard!$N$5="All",Dashboard!$N$5=""),B549=Dashboard!$N$5),OR(OR(Dashboard!$Q$5="All",Dashboard!$Q$5=""),D549=Dashboard!$Q$5),OR(OR(Dashboard!$U$5="All",Dashboard!$U$5=""),E549=Dashboard!$U$5)),1,0))</f>
        <v>1</v>
      </c>
      <c r="N549" s="178">
        <f>IF(E549="",0,IF(AND(OR(OR(Dashboard!$E$5="All",Dashboard!$E$5=""),AG549=Dashboard!$E$5),OR(OR(Dashboard!$B$5="All",Dashboard!$B$5=""),C549=Dashboard!$B$5),OR(OR(Dashboard!$K$5="All",Dashboard!$K$5=""),A549=Dashboard!$K$5),OR(OR(Dashboard!$N$5="All",Dashboard!$N$5=""),B549=Dashboard!$N$5),OR(OR(Dashboard!$Q$5="All",Dashboard!$Q$5=""),D549=Dashboard!$Q$5),OR(OR(Dashboard!$U$5="All",Dashboard!$U$5=""),E549=Dashboard!$U$5)),1,0))</f>
        <v>1</v>
      </c>
      <c r="O549" s="165">
        <f t="shared" si="70"/>
        <v>0</v>
      </c>
      <c r="AG549" s="178" t="str">
        <f>IF(E549="","",IFERROR(IF(INDEX('Item Purchases'!$AM$4:$AM$30,MATCH(E549,'Item Purchases'!$B$4:$B$30,0))="","Uncategorised",INDEX('Item Purchases'!$AM$4:$AM$30,MATCH(E549,'Item Purchases'!$B$4:$B$30,0))),"Uncategorised"))</f>
        <v>Snacks</v>
      </c>
      <c r="AH549" s="165">
        <f>IF(AND(E549&lt;&gt;"",L549=1),COUNTIFS($E$2:E549,E549,$L$2:L549,1),0)</f>
        <v>0</v>
      </c>
      <c r="AI549" s="165">
        <f t="shared" si="71"/>
        <v>0</v>
      </c>
      <c r="AJ549" s="165">
        <f t="shared" si="72"/>
        <v>0</v>
      </c>
    </row>
    <row r="550" spans="1:36" x14ac:dyDescent="0.25">
      <c r="A550" s="177">
        <f t="shared" si="74"/>
        <v>0</v>
      </c>
      <c r="B550" s="178" t="str">
        <f t="shared" si="67"/>
        <v/>
      </c>
      <c r="C550" s="178" t="str">
        <f>'Pantry Inventory'!$A$132</f>
        <v>Sep Week 5</v>
      </c>
      <c r="D550" s="178" t="str">
        <f>IF('Pantry Inventory'!A143="","",'Pantry Inventory'!A143)</f>
        <v>Lays</v>
      </c>
      <c r="E550" s="178" t="str">
        <f>IF('Pantry Inventory'!B143="","",'Pantry Inventory'!B143)</f>
        <v xml:space="preserve">Lays Double Crunch - Seaweed Flav (50g) </v>
      </c>
      <c r="F550" s="178" t="str">
        <f>IF(E550="","",IFERROR(IF(INDEX('Item Purchases'!$S$4:$S$30,MATCH(E550,'Item Purchases'!$B$4:$B$30,0))="","Uncategorised",INDEX('Item Purchases'!$S$4:$S$30,MATCH(E550,'Item Purchases'!$B$4:$B$30,0))),"Uncategorised"))</f>
        <v>Savoury</v>
      </c>
      <c r="G550" s="178">
        <f>IF(E550="",0,'Pantry Inventory'!D143)</f>
        <v>0</v>
      </c>
      <c r="H550" s="178" t="str">
        <f>IF(E550="","",IF('Pantry Inventory'!E143="","",'Pantry Inventory'!E143))</f>
        <v/>
      </c>
      <c r="I550" s="178" t="str">
        <f>IF(H550="","",'Pantry Inventory'!F143)</f>
        <v/>
      </c>
      <c r="J550" s="179">
        <f>IF(E550="",0,IFERROR(INDEX('Item Purchases'!$Q$4:$Q$30,MATCH(E550,'Item Purchases'!$B$4:$B$30,0)),0))</f>
        <v>4</v>
      </c>
      <c r="K550" s="180" t="str">
        <f t="shared" si="68"/>
        <v/>
      </c>
      <c r="L550" s="178">
        <f t="shared" si="69"/>
        <v>0</v>
      </c>
      <c r="M550" s="178">
        <f>IF(E550="",0,IF(AND(OR(OR(Dashboard!$E$5="All",Dashboard!$E$5=""),AG550=Dashboard!$E$5),OR(OR(Dashboard!$H$5="All",Dashboard!$H$5=""),F550=Dashboard!$H$5),OR(OR(Dashboard!$B$5="All",Dashboard!$B$5=""),C550=Dashboard!$B$5),OR(OR(Dashboard!$K$5="All",Dashboard!$K$5=""),A550=Dashboard!$K$5),OR(OR(Dashboard!$N$5="All",Dashboard!$N$5=""),B550=Dashboard!$N$5),OR(OR(Dashboard!$Q$5="All",Dashboard!$Q$5=""),D550=Dashboard!$Q$5),OR(OR(Dashboard!$U$5="All",Dashboard!$U$5=""),E550=Dashboard!$U$5)),1,0))</f>
        <v>1</v>
      </c>
      <c r="N550" s="178">
        <f>IF(E550="",0,IF(AND(OR(OR(Dashboard!$E$5="All",Dashboard!$E$5=""),AG550=Dashboard!$E$5),OR(OR(Dashboard!$B$5="All",Dashboard!$B$5=""),C550=Dashboard!$B$5),OR(OR(Dashboard!$K$5="All",Dashboard!$K$5=""),A550=Dashboard!$K$5),OR(OR(Dashboard!$N$5="All",Dashboard!$N$5=""),B550=Dashboard!$N$5),OR(OR(Dashboard!$Q$5="All",Dashboard!$Q$5=""),D550=Dashboard!$Q$5),OR(OR(Dashboard!$U$5="All",Dashboard!$U$5=""),E550=Dashboard!$U$5)),1,0))</f>
        <v>1</v>
      </c>
      <c r="O550" s="165">
        <f t="shared" si="70"/>
        <v>0</v>
      </c>
      <c r="AG550" s="178" t="str">
        <f>IF(E550="","",IFERROR(IF(INDEX('Item Purchases'!$AM$4:$AM$30,MATCH(E550,'Item Purchases'!$B$4:$B$30,0))="","Uncategorised",INDEX('Item Purchases'!$AM$4:$AM$30,MATCH(E550,'Item Purchases'!$B$4:$B$30,0))),"Uncategorised"))</f>
        <v>Snacks</v>
      </c>
      <c r="AH550" s="165">
        <f>IF(AND(E550&lt;&gt;"",L550=1),COUNTIFS($E$2:E550,E550,$L$2:L550,1),0)</f>
        <v>0</v>
      </c>
      <c r="AI550" s="165">
        <f t="shared" si="71"/>
        <v>0</v>
      </c>
      <c r="AJ550" s="165">
        <f t="shared" si="72"/>
        <v>0</v>
      </c>
    </row>
    <row r="551" spans="1:36" x14ac:dyDescent="0.25">
      <c r="A551" s="177">
        <f t="shared" si="74"/>
        <v>0</v>
      </c>
      <c r="B551" s="178" t="str">
        <f t="shared" si="67"/>
        <v/>
      </c>
      <c r="C551" s="178" t="str">
        <f>'Pantry Inventory'!$A$132</f>
        <v>Sep Week 5</v>
      </c>
      <c r="D551" s="178" t="str">
        <f>IF('Pantry Inventory'!A144="","",'Pantry Inventory'!A144)</f>
        <v>Munchy</v>
      </c>
      <c r="E551" s="178" t="str">
        <f>IF('Pantry Inventory'!B144="","",'Pantry Inventory'!B144)</f>
        <v>Munchy Oat Krunch - Dark Choco</v>
      </c>
      <c r="F551" s="178" t="str">
        <f>IF(E551="","",IFERROR(IF(INDEX('Item Purchases'!$S$4:$S$30,MATCH(E551,'Item Purchases'!$B$4:$B$30,0))="","Uncategorised",INDEX('Item Purchases'!$S$4:$S$30,MATCH(E551,'Item Purchases'!$B$4:$B$30,0))),"Uncategorised"))</f>
        <v>Sweet</v>
      </c>
      <c r="G551" s="178">
        <f>IF(E551="",0,'Pantry Inventory'!D144)</f>
        <v>0</v>
      </c>
      <c r="H551" s="178" t="str">
        <f>IF(E551="","",IF('Pantry Inventory'!E144="","",'Pantry Inventory'!E144))</f>
        <v/>
      </c>
      <c r="I551" s="178" t="str">
        <f>IF(H551="","",'Pantry Inventory'!F144)</f>
        <v/>
      </c>
      <c r="J551" s="179">
        <f>IF(E551="",0,IFERROR(INDEX('Item Purchases'!$Q$4:$Q$30,MATCH(E551,'Item Purchases'!$B$4:$B$30,0)),0))</f>
        <v>0.73</v>
      </c>
      <c r="K551" s="180" t="str">
        <f t="shared" si="68"/>
        <v/>
      </c>
      <c r="L551" s="178">
        <f t="shared" si="69"/>
        <v>0</v>
      </c>
      <c r="M551" s="178">
        <f>IF(E551="",0,IF(AND(OR(OR(Dashboard!$E$5="All",Dashboard!$E$5=""),AG551=Dashboard!$E$5),OR(OR(Dashboard!$H$5="All",Dashboard!$H$5=""),F551=Dashboard!$H$5),OR(OR(Dashboard!$B$5="All",Dashboard!$B$5=""),C551=Dashboard!$B$5),OR(OR(Dashboard!$K$5="All",Dashboard!$K$5=""),A551=Dashboard!$K$5),OR(OR(Dashboard!$N$5="All",Dashboard!$N$5=""),B551=Dashboard!$N$5),OR(OR(Dashboard!$Q$5="All",Dashboard!$Q$5=""),D551=Dashboard!$Q$5),OR(OR(Dashboard!$U$5="All",Dashboard!$U$5=""),E551=Dashboard!$U$5)),1,0))</f>
        <v>1</v>
      </c>
      <c r="N551" s="178">
        <f>IF(E551="",0,IF(AND(OR(OR(Dashboard!$E$5="All",Dashboard!$E$5=""),AG551=Dashboard!$E$5),OR(OR(Dashboard!$B$5="All",Dashboard!$B$5=""),C551=Dashboard!$B$5),OR(OR(Dashboard!$K$5="All",Dashboard!$K$5=""),A551=Dashboard!$K$5),OR(OR(Dashboard!$N$5="All",Dashboard!$N$5=""),B551=Dashboard!$N$5),OR(OR(Dashboard!$Q$5="All",Dashboard!$Q$5=""),D551=Dashboard!$Q$5),OR(OR(Dashboard!$U$5="All",Dashboard!$U$5=""),E551=Dashboard!$U$5)),1,0))</f>
        <v>1</v>
      </c>
      <c r="O551" s="165">
        <f t="shared" si="70"/>
        <v>0</v>
      </c>
      <c r="AG551" s="178" t="str">
        <f>IF(E551="","",IFERROR(IF(INDEX('Item Purchases'!$AM$4:$AM$30,MATCH(E551,'Item Purchases'!$B$4:$B$30,0))="","Uncategorised",INDEX('Item Purchases'!$AM$4:$AM$30,MATCH(E551,'Item Purchases'!$B$4:$B$30,0))),"Uncategorised"))</f>
        <v>Snacks</v>
      </c>
      <c r="AH551" s="165">
        <f>IF(AND(E551&lt;&gt;"",L551=1),COUNTIFS($E$2:E551,E551,$L$2:L551,1),0)</f>
        <v>0</v>
      </c>
      <c r="AI551" s="165">
        <f t="shared" si="71"/>
        <v>0</v>
      </c>
      <c r="AJ551" s="165">
        <f t="shared" si="72"/>
        <v>0</v>
      </c>
    </row>
    <row r="552" spans="1:36" x14ac:dyDescent="0.25">
      <c r="A552" s="177">
        <f t="shared" si="74"/>
        <v>0</v>
      </c>
      <c r="B552" s="178" t="str">
        <f t="shared" si="67"/>
        <v/>
      </c>
      <c r="C552" s="178" t="str">
        <f>'Pantry Inventory'!$A$132</f>
        <v>Sep Week 5</v>
      </c>
      <c r="D552" s="178" t="str">
        <f>IF('Pantry Inventory'!A145="","",'Pantry Inventory'!A145)</f>
        <v>Munchy</v>
      </c>
      <c r="E552" s="178" t="str">
        <f>IF('Pantry Inventory'!B145="","",'Pantry Inventory'!B145)</f>
        <v>Munchy Oat Krunch - Strawberry &amp; Blackcurrant</v>
      </c>
      <c r="F552" s="178" t="str">
        <f>IF(E552="","",IFERROR(IF(INDEX('Item Purchases'!$S$4:$S$30,MATCH(E552,'Item Purchases'!$B$4:$B$30,0))="","Uncategorised",INDEX('Item Purchases'!$S$4:$S$30,MATCH(E552,'Item Purchases'!$B$4:$B$30,0))),"Uncategorised"))</f>
        <v>Sweet</v>
      </c>
      <c r="G552" s="178">
        <f>IF(E552="",0,'Pantry Inventory'!D145)</f>
        <v>0</v>
      </c>
      <c r="H552" s="178" t="str">
        <f>IF(E552="","",IF('Pantry Inventory'!E145="","",'Pantry Inventory'!E145))</f>
        <v/>
      </c>
      <c r="I552" s="178" t="str">
        <f>IF(H552="","",'Pantry Inventory'!F145)</f>
        <v/>
      </c>
      <c r="J552" s="179">
        <f>IF(E552="",0,IFERROR(INDEX('Item Purchases'!$Q$4:$Q$30,MATCH(E552,'Item Purchases'!$B$4:$B$30,0)),0))</f>
        <v>0.73</v>
      </c>
      <c r="K552" s="180" t="str">
        <f t="shared" si="68"/>
        <v/>
      </c>
      <c r="L552" s="178">
        <f t="shared" si="69"/>
        <v>0</v>
      </c>
      <c r="M552" s="178">
        <f>IF(E552="",0,IF(AND(OR(OR(Dashboard!$E$5="All",Dashboard!$E$5=""),AG552=Dashboard!$E$5),OR(OR(Dashboard!$H$5="All",Dashboard!$H$5=""),F552=Dashboard!$H$5),OR(OR(Dashboard!$B$5="All",Dashboard!$B$5=""),C552=Dashboard!$B$5),OR(OR(Dashboard!$K$5="All",Dashboard!$K$5=""),A552=Dashboard!$K$5),OR(OR(Dashboard!$N$5="All",Dashboard!$N$5=""),B552=Dashboard!$N$5),OR(OR(Dashboard!$Q$5="All",Dashboard!$Q$5=""),D552=Dashboard!$Q$5),OR(OR(Dashboard!$U$5="All",Dashboard!$U$5=""),E552=Dashboard!$U$5)),1,0))</f>
        <v>1</v>
      </c>
      <c r="N552" s="178">
        <f>IF(E552="",0,IF(AND(OR(OR(Dashboard!$E$5="All",Dashboard!$E$5=""),AG552=Dashboard!$E$5),OR(OR(Dashboard!$B$5="All",Dashboard!$B$5=""),C552=Dashboard!$B$5),OR(OR(Dashboard!$K$5="All",Dashboard!$K$5=""),A552=Dashboard!$K$5),OR(OR(Dashboard!$N$5="All",Dashboard!$N$5=""),B552=Dashboard!$N$5),OR(OR(Dashboard!$Q$5="All",Dashboard!$Q$5=""),D552=Dashboard!$Q$5),OR(OR(Dashboard!$U$5="All",Dashboard!$U$5=""),E552=Dashboard!$U$5)),1,0))</f>
        <v>1</v>
      </c>
      <c r="O552" s="165">
        <f t="shared" si="70"/>
        <v>0</v>
      </c>
      <c r="AG552" s="178" t="str">
        <f>IF(E552="","",IFERROR(IF(INDEX('Item Purchases'!$AM$4:$AM$30,MATCH(E552,'Item Purchases'!$B$4:$B$30,0))="","Uncategorised",INDEX('Item Purchases'!$AM$4:$AM$30,MATCH(E552,'Item Purchases'!$B$4:$B$30,0))),"Uncategorised"))</f>
        <v>Snacks</v>
      </c>
      <c r="AH552" s="165">
        <f>IF(AND(E552&lt;&gt;"",L552=1),COUNTIFS($E$2:E552,E552,$L$2:L552,1),0)</f>
        <v>0</v>
      </c>
      <c r="AI552" s="165">
        <f t="shared" si="71"/>
        <v>0</v>
      </c>
      <c r="AJ552" s="165">
        <f t="shared" si="72"/>
        <v>0</v>
      </c>
    </row>
    <row r="553" spans="1:36" x14ac:dyDescent="0.25">
      <c r="A553" s="177">
        <f t="shared" si="74"/>
        <v>0</v>
      </c>
      <c r="B553" s="178" t="str">
        <f t="shared" si="67"/>
        <v/>
      </c>
      <c r="C553" s="178" t="str">
        <f>'Pantry Inventory'!$A$132</f>
        <v>Sep Week 5</v>
      </c>
      <c r="D553" s="178" t="str">
        <f>IF('Pantry Inventory'!A146="","",'Pantry Inventory'!A146)</f>
        <v/>
      </c>
      <c r="E553" s="178" t="str">
        <f>IF('Pantry Inventory'!B146="","",'Pantry Inventory'!B146)</f>
        <v/>
      </c>
      <c r="F553" s="178" t="str">
        <f>IF(E553="","",IFERROR(IF(INDEX('Item Purchases'!$S$4:$S$30,MATCH(E553,'Item Purchases'!$B$4:$B$30,0))="","Uncategorised",INDEX('Item Purchases'!$S$4:$S$30,MATCH(E553,'Item Purchases'!$B$4:$B$30,0))),"Uncategorised"))</f>
        <v/>
      </c>
      <c r="G553" s="178">
        <f>IF(E553="",0,'Pantry Inventory'!D146)</f>
        <v>0</v>
      </c>
      <c r="H553" s="178" t="str">
        <f>IF(E553="","",IF('Pantry Inventory'!E146="","",'Pantry Inventory'!E146))</f>
        <v/>
      </c>
      <c r="I553" s="178" t="str">
        <f>IF(H553="","",'Pantry Inventory'!F146)</f>
        <v/>
      </c>
      <c r="J553" s="179">
        <f>IF(E553="",0,IFERROR(INDEX('Item Purchases'!$Q$4:$Q$30,MATCH(E553,'Item Purchases'!$B$4:$B$30,0)),0))</f>
        <v>0</v>
      </c>
      <c r="K553" s="180" t="str">
        <f t="shared" si="68"/>
        <v/>
      </c>
      <c r="L553" s="178">
        <f t="shared" si="69"/>
        <v>0</v>
      </c>
      <c r="M553" s="178">
        <f>IF(E553="",0,IF(AND(OR(OR(Dashboard!$E$5="All",Dashboard!$E$5=""),AG553=Dashboard!$E$5),OR(OR(Dashboard!$H$5="All",Dashboard!$H$5=""),F553=Dashboard!$H$5),OR(OR(Dashboard!$B$5="All",Dashboard!$B$5=""),C553=Dashboard!$B$5),OR(OR(Dashboard!$K$5="All",Dashboard!$K$5=""),A553=Dashboard!$K$5),OR(OR(Dashboard!$N$5="All",Dashboard!$N$5=""),B553=Dashboard!$N$5),OR(OR(Dashboard!$Q$5="All",Dashboard!$Q$5=""),D553=Dashboard!$Q$5),OR(OR(Dashboard!$U$5="All",Dashboard!$U$5=""),E553=Dashboard!$U$5)),1,0))</f>
        <v>0</v>
      </c>
      <c r="N553" s="178">
        <f>IF(E553="",0,IF(AND(OR(OR(Dashboard!$E$5="All",Dashboard!$E$5=""),AG553=Dashboard!$E$5),OR(OR(Dashboard!$B$5="All",Dashboard!$B$5=""),C553=Dashboard!$B$5),OR(OR(Dashboard!$K$5="All",Dashboard!$K$5=""),A553=Dashboard!$K$5),OR(OR(Dashboard!$N$5="All",Dashboard!$N$5=""),B553=Dashboard!$N$5),OR(OR(Dashboard!$Q$5="All",Dashboard!$Q$5=""),D553=Dashboard!$Q$5),OR(OR(Dashboard!$U$5="All",Dashboard!$U$5=""),E553=Dashboard!$U$5)),1,0))</f>
        <v>0</v>
      </c>
      <c r="O553" s="165">
        <f t="shared" si="70"/>
        <v>0</v>
      </c>
      <c r="AG553" s="178" t="str">
        <f>IF(E553="","",IFERROR(IF(INDEX('Item Purchases'!$AM$4:$AM$30,MATCH(E553,'Item Purchases'!$B$4:$B$30,0))="","Uncategorised",INDEX('Item Purchases'!$AM$4:$AM$30,MATCH(E553,'Item Purchases'!$B$4:$B$30,0))),"Uncategorised"))</f>
        <v/>
      </c>
      <c r="AH553" s="165">
        <f>IF(AND(E553&lt;&gt;"",L553=1),COUNTIFS($E$2:E553,E553,$L$2:L553,1),0)</f>
        <v>0</v>
      </c>
      <c r="AI553" s="165">
        <f t="shared" si="71"/>
        <v>0</v>
      </c>
      <c r="AJ553" s="165">
        <f t="shared" si="72"/>
        <v>0</v>
      </c>
    </row>
    <row r="554" spans="1:36" x14ac:dyDescent="0.25">
      <c r="A554" s="177">
        <f t="shared" si="74"/>
        <v>0</v>
      </c>
      <c r="B554" s="178" t="str">
        <f t="shared" si="67"/>
        <v/>
      </c>
      <c r="C554" s="178" t="str">
        <f>'Pantry Inventory'!$A$132</f>
        <v>Sep Week 5</v>
      </c>
      <c r="D554" s="178" t="str">
        <f>IF('Pantry Inventory'!A147="","",'Pantry Inventory'!A147)</f>
        <v>Nestle</v>
      </c>
      <c r="E554" s="178" t="str">
        <f>IF('Pantry Inventory'!B147="","",'Pantry Inventory'!B147)</f>
        <v>Milo 200ml</v>
      </c>
      <c r="F554" s="178" t="str">
        <f>IF(E554="","",IFERROR(IF(INDEX('Item Purchases'!$S$4:$S$30,MATCH(E554,'Item Purchases'!$B$4:$B$30,0))="","Uncategorised",INDEX('Item Purchases'!$S$4:$S$30,MATCH(E554,'Item Purchases'!$B$4:$B$30,0))),"Uncategorised"))</f>
        <v>Other</v>
      </c>
      <c r="G554" s="178">
        <f>IF(E554="",0,'Pantry Inventory'!D147)</f>
        <v>0</v>
      </c>
      <c r="H554" s="178" t="str">
        <f>IF(E554="","",IF('Pantry Inventory'!E147="","",'Pantry Inventory'!E147))</f>
        <v/>
      </c>
      <c r="I554" s="178" t="str">
        <f>IF(H554="","",'Pantry Inventory'!F147)</f>
        <v/>
      </c>
      <c r="J554" s="179">
        <f>IF(E554="",0,IFERROR(INDEX('Item Purchases'!$Q$4:$Q$30,MATCH(E554,'Item Purchases'!$B$4:$B$30,0)),0))</f>
        <v>2.37</v>
      </c>
      <c r="K554" s="180" t="str">
        <f t="shared" si="68"/>
        <v/>
      </c>
      <c r="L554" s="178">
        <f t="shared" si="69"/>
        <v>0</v>
      </c>
      <c r="M554" s="178">
        <f>IF(E554="",0,IF(AND(OR(OR(Dashboard!$E$5="All",Dashboard!$E$5=""),AG554=Dashboard!$E$5),OR(OR(Dashboard!$H$5="All",Dashboard!$H$5=""),F554=Dashboard!$H$5),OR(OR(Dashboard!$B$5="All",Dashboard!$B$5=""),C554=Dashboard!$B$5),OR(OR(Dashboard!$K$5="All",Dashboard!$K$5=""),A554=Dashboard!$K$5),OR(OR(Dashboard!$N$5="All",Dashboard!$N$5=""),B554=Dashboard!$N$5),OR(OR(Dashboard!$Q$5="All",Dashboard!$Q$5=""),D554=Dashboard!$Q$5),OR(OR(Dashboard!$U$5="All",Dashboard!$U$5=""),E554=Dashboard!$U$5)),1,0))</f>
        <v>1</v>
      </c>
      <c r="N554" s="178">
        <f>IF(E554="",0,IF(AND(OR(OR(Dashboard!$E$5="All",Dashboard!$E$5=""),AG554=Dashboard!$E$5),OR(OR(Dashboard!$B$5="All",Dashboard!$B$5=""),C554=Dashboard!$B$5),OR(OR(Dashboard!$K$5="All",Dashboard!$K$5=""),A554=Dashboard!$K$5),OR(OR(Dashboard!$N$5="All",Dashboard!$N$5=""),B554=Dashboard!$N$5),OR(OR(Dashboard!$Q$5="All",Dashboard!$Q$5=""),D554=Dashboard!$Q$5),OR(OR(Dashboard!$U$5="All",Dashboard!$U$5=""),E554=Dashboard!$U$5)),1,0))</f>
        <v>1</v>
      </c>
      <c r="O554" s="165">
        <f t="shared" si="70"/>
        <v>0</v>
      </c>
      <c r="AG554" s="178" t="str">
        <f>IF(E554="","",IFERROR(IF(INDEX('Item Purchases'!$AM$4:$AM$30,MATCH(E554,'Item Purchases'!$B$4:$B$30,0))="","Uncategorised",INDEX('Item Purchases'!$AM$4:$AM$30,MATCH(E554,'Item Purchases'!$B$4:$B$30,0))),"Uncategorised"))</f>
        <v>Beverages</v>
      </c>
      <c r="AH554" s="165">
        <f>IF(AND(E554&lt;&gt;"",L554=1),COUNTIFS($E$2:E554,E554,$L$2:L554,1),0)</f>
        <v>0</v>
      </c>
      <c r="AI554" s="165">
        <f t="shared" si="71"/>
        <v>0</v>
      </c>
      <c r="AJ554" s="165">
        <f t="shared" si="72"/>
        <v>0</v>
      </c>
    </row>
    <row r="555" spans="1:36" x14ac:dyDescent="0.25">
      <c r="A555" s="177">
        <f t="shared" si="74"/>
        <v>0</v>
      </c>
      <c r="B555" s="178" t="str">
        <f t="shared" si="67"/>
        <v/>
      </c>
      <c r="C555" s="178" t="str">
        <f>'Pantry Inventory'!$A$132</f>
        <v>Sep Week 5</v>
      </c>
      <c r="D555" s="178" t="str">
        <f>IF('Pantry Inventory'!A148="","",'Pantry Inventory'!A148)</f>
        <v>Nestle</v>
      </c>
      <c r="E555" s="178" t="str">
        <f>IF('Pantry Inventory'!B148="","",'Pantry Inventory'!B148)</f>
        <v>Nescafe Latte 240ml</v>
      </c>
      <c r="F555" s="178" t="str">
        <f>IF(E555="","",IFERROR(IF(INDEX('Item Purchases'!$S$4:$S$30,MATCH(E555,'Item Purchases'!$B$4:$B$30,0))="","Uncategorised",INDEX('Item Purchases'!$S$4:$S$30,MATCH(E555,'Item Purchases'!$B$4:$B$30,0))),"Uncategorised"))</f>
        <v>Coffee</v>
      </c>
      <c r="G555" s="178">
        <f>IF(E555="",0,'Pantry Inventory'!D148)</f>
        <v>0</v>
      </c>
      <c r="H555" s="178" t="str">
        <f>IF(E555="","",IF('Pantry Inventory'!E148="","",'Pantry Inventory'!E148))</f>
        <v/>
      </c>
      <c r="I555" s="178" t="str">
        <f>IF(H555="","",'Pantry Inventory'!F148)</f>
        <v/>
      </c>
      <c r="J555" s="179">
        <f>IF(E555="",0,IFERROR(INDEX('Item Purchases'!$Q$4:$Q$30,MATCH(E555,'Item Purchases'!$B$4:$B$30,0)),0))</f>
        <v>2.1875</v>
      </c>
      <c r="K555" s="180" t="str">
        <f t="shared" si="68"/>
        <v/>
      </c>
      <c r="L555" s="178">
        <f t="shared" si="69"/>
        <v>0</v>
      </c>
      <c r="M555" s="178">
        <f>IF(E555="",0,IF(AND(OR(OR(Dashboard!$E$5="All",Dashboard!$E$5=""),AG555=Dashboard!$E$5),OR(OR(Dashboard!$H$5="All",Dashboard!$H$5=""),F555=Dashboard!$H$5),OR(OR(Dashboard!$B$5="All",Dashboard!$B$5=""),C555=Dashboard!$B$5),OR(OR(Dashboard!$K$5="All",Dashboard!$K$5=""),A555=Dashboard!$K$5),OR(OR(Dashboard!$N$5="All",Dashboard!$N$5=""),B555=Dashboard!$N$5),OR(OR(Dashboard!$Q$5="All",Dashboard!$Q$5=""),D555=Dashboard!$Q$5),OR(OR(Dashboard!$U$5="All",Dashboard!$U$5=""),E555=Dashboard!$U$5)),1,0))</f>
        <v>1</v>
      </c>
      <c r="N555" s="178">
        <f>IF(E555="",0,IF(AND(OR(OR(Dashboard!$E$5="All",Dashboard!$E$5=""),AG555=Dashboard!$E$5),OR(OR(Dashboard!$B$5="All",Dashboard!$B$5=""),C555=Dashboard!$B$5),OR(OR(Dashboard!$K$5="All",Dashboard!$K$5=""),A555=Dashboard!$K$5),OR(OR(Dashboard!$N$5="All",Dashboard!$N$5=""),B555=Dashboard!$N$5),OR(OR(Dashboard!$Q$5="All",Dashboard!$Q$5=""),D555=Dashboard!$Q$5),OR(OR(Dashboard!$U$5="All",Dashboard!$U$5=""),E555=Dashboard!$U$5)),1,0))</f>
        <v>1</v>
      </c>
      <c r="O555" s="165">
        <f t="shared" si="70"/>
        <v>0</v>
      </c>
      <c r="AG555" s="178" t="str">
        <f>IF(E555="","",IFERROR(IF(INDEX('Item Purchases'!$AM$4:$AM$30,MATCH(E555,'Item Purchases'!$B$4:$B$30,0))="","Uncategorised",INDEX('Item Purchases'!$AM$4:$AM$30,MATCH(E555,'Item Purchases'!$B$4:$B$30,0))),"Uncategorised"))</f>
        <v>Beverages</v>
      </c>
      <c r="AH555" s="165">
        <f>IF(AND(E555&lt;&gt;"",L555=1),COUNTIFS($E$2:E555,E555,$L$2:L555,1),0)</f>
        <v>0</v>
      </c>
      <c r="AI555" s="165">
        <f t="shared" si="71"/>
        <v>0</v>
      </c>
      <c r="AJ555" s="165">
        <f t="shared" si="72"/>
        <v>0</v>
      </c>
    </row>
    <row r="556" spans="1:36" x14ac:dyDescent="0.25">
      <c r="A556" s="177">
        <f t="shared" si="74"/>
        <v>0</v>
      </c>
      <c r="B556" s="178" t="str">
        <f t="shared" si="67"/>
        <v/>
      </c>
      <c r="C556" s="178" t="str">
        <f>'Pantry Inventory'!$A$132</f>
        <v>Sep Week 5</v>
      </c>
      <c r="D556" s="178" t="str">
        <f>IF('Pantry Inventory'!A149="","",'Pantry Inventory'!A149)</f>
        <v>Nestle</v>
      </c>
      <c r="E556" s="178" t="str">
        <f>IF('Pantry Inventory'!B149="","",'Pantry Inventory'!B149)</f>
        <v>Nescafe original 240ml</v>
      </c>
      <c r="F556" s="178" t="str">
        <f>IF(E556="","",IFERROR(IF(INDEX('Item Purchases'!$S$4:$S$30,MATCH(E556,'Item Purchases'!$B$4:$B$30,0))="","Uncategorised",INDEX('Item Purchases'!$S$4:$S$30,MATCH(E556,'Item Purchases'!$B$4:$B$30,0))),"Uncategorised"))</f>
        <v>Coffee</v>
      </c>
      <c r="G556" s="178">
        <f>IF(E556="",0,'Pantry Inventory'!D149)</f>
        <v>0</v>
      </c>
      <c r="H556" s="178" t="str">
        <f>IF(E556="","",IF('Pantry Inventory'!E149="","",'Pantry Inventory'!E149))</f>
        <v/>
      </c>
      <c r="I556" s="178" t="str">
        <f>IF(H556="","",'Pantry Inventory'!F149)</f>
        <v/>
      </c>
      <c r="J556" s="179">
        <f>IF(E556="",0,IFERROR(INDEX('Item Purchases'!$Q$4:$Q$30,MATCH(E556,'Item Purchases'!$B$4:$B$30,0)),0))</f>
        <v>2.1875</v>
      </c>
      <c r="K556" s="180" t="str">
        <f t="shared" si="68"/>
        <v/>
      </c>
      <c r="L556" s="178">
        <f t="shared" si="69"/>
        <v>0</v>
      </c>
      <c r="M556" s="178">
        <f>IF(E556="",0,IF(AND(OR(OR(Dashboard!$E$5="All",Dashboard!$E$5=""),AG556=Dashboard!$E$5),OR(OR(Dashboard!$H$5="All",Dashboard!$H$5=""),F556=Dashboard!$H$5),OR(OR(Dashboard!$B$5="All",Dashboard!$B$5=""),C556=Dashboard!$B$5),OR(OR(Dashboard!$K$5="All",Dashboard!$K$5=""),A556=Dashboard!$K$5),OR(OR(Dashboard!$N$5="All",Dashboard!$N$5=""),B556=Dashboard!$N$5),OR(OR(Dashboard!$Q$5="All",Dashboard!$Q$5=""),D556=Dashboard!$Q$5),OR(OR(Dashboard!$U$5="All",Dashboard!$U$5=""),E556=Dashboard!$U$5)),1,0))</f>
        <v>1</v>
      </c>
      <c r="N556" s="178">
        <f>IF(E556="",0,IF(AND(OR(OR(Dashboard!$E$5="All",Dashboard!$E$5=""),AG556=Dashboard!$E$5),OR(OR(Dashboard!$B$5="All",Dashboard!$B$5=""),C556=Dashboard!$B$5),OR(OR(Dashboard!$K$5="All",Dashboard!$K$5=""),A556=Dashboard!$K$5),OR(OR(Dashboard!$N$5="All",Dashboard!$N$5=""),B556=Dashboard!$N$5),OR(OR(Dashboard!$Q$5="All",Dashboard!$Q$5=""),D556=Dashboard!$Q$5),OR(OR(Dashboard!$U$5="All",Dashboard!$U$5=""),E556=Dashboard!$U$5)),1,0))</f>
        <v>1</v>
      </c>
      <c r="O556" s="165">
        <f t="shared" si="70"/>
        <v>0</v>
      </c>
      <c r="AG556" s="178" t="str">
        <f>IF(E556="","",IFERROR(IF(INDEX('Item Purchases'!$AM$4:$AM$30,MATCH(E556,'Item Purchases'!$B$4:$B$30,0))="","Uncategorised",INDEX('Item Purchases'!$AM$4:$AM$30,MATCH(E556,'Item Purchases'!$B$4:$B$30,0))),"Uncategorised"))</f>
        <v>Beverages</v>
      </c>
      <c r="AH556" s="165">
        <f>IF(AND(E556&lt;&gt;"",L556=1),COUNTIFS($E$2:E556,E556,$L$2:L556,1),0)</f>
        <v>0</v>
      </c>
      <c r="AI556" s="165">
        <f t="shared" si="71"/>
        <v>0</v>
      </c>
      <c r="AJ556" s="165">
        <f t="shared" si="72"/>
        <v>0</v>
      </c>
    </row>
    <row r="557" spans="1:36" x14ac:dyDescent="0.25">
      <c r="A557" s="177">
        <f t="shared" si="74"/>
        <v>0</v>
      </c>
      <c r="B557" s="178" t="str">
        <f t="shared" si="67"/>
        <v/>
      </c>
      <c r="C557" s="178" t="str">
        <f>'Pantry Inventory'!$A$132</f>
        <v>Sep Week 5</v>
      </c>
      <c r="D557" s="178" t="str">
        <f>IF('Pantry Inventory'!A150="","",'Pantry Inventory'!A150)</f>
        <v>COWA</v>
      </c>
      <c r="E557" s="178" t="str">
        <f>IF('Pantry Inventory'!B150="","",'Pantry Inventory'!B150)</f>
        <v>COWA Coconut Water 330 ml</v>
      </c>
      <c r="F557" s="178" t="str">
        <f>IF(E557="","",IFERROR(IF(INDEX('Item Purchases'!$S$4:$S$30,MATCH(E557,'Item Purchases'!$B$4:$B$30,0))="","Uncategorised",INDEX('Item Purchases'!$S$4:$S$30,MATCH(E557,'Item Purchases'!$B$4:$B$30,0))),"Uncategorised"))</f>
        <v>Other</v>
      </c>
      <c r="G557" s="178">
        <f>IF(E557="",0,'Pantry Inventory'!D150)</f>
        <v>0</v>
      </c>
      <c r="H557" s="178" t="str">
        <f>IF(E557="","",IF('Pantry Inventory'!E150="","",'Pantry Inventory'!E150))</f>
        <v/>
      </c>
      <c r="I557" s="178" t="str">
        <f>IF(H557="","",'Pantry Inventory'!F150)</f>
        <v/>
      </c>
      <c r="J557" s="179">
        <f>IF(E557="",0,IFERROR(INDEX('Item Purchases'!$Q$4:$Q$30,MATCH(E557,'Item Purchases'!$B$4:$B$30,0)),0))</f>
        <v>3</v>
      </c>
      <c r="K557" s="180" t="str">
        <f t="shared" si="68"/>
        <v/>
      </c>
      <c r="L557" s="178">
        <f t="shared" si="69"/>
        <v>0</v>
      </c>
      <c r="M557" s="178">
        <f>IF(E557="",0,IF(AND(OR(OR(Dashboard!$E$5="All",Dashboard!$E$5=""),AG557=Dashboard!$E$5),OR(OR(Dashboard!$H$5="All",Dashboard!$H$5=""),F557=Dashboard!$H$5),OR(OR(Dashboard!$B$5="All",Dashboard!$B$5=""),C557=Dashboard!$B$5),OR(OR(Dashboard!$K$5="All",Dashboard!$K$5=""),A557=Dashboard!$K$5),OR(OR(Dashboard!$N$5="All",Dashboard!$N$5=""),B557=Dashboard!$N$5),OR(OR(Dashboard!$Q$5="All",Dashboard!$Q$5=""),D557=Dashboard!$Q$5),OR(OR(Dashboard!$U$5="All",Dashboard!$U$5=""),E557=Dashboard!$U$5)),1,0))</f>
        <v>1</v>
      </c>
      <c r="N557" s="178">
        <f>IF(E557="",0,IF(AND(OR(OR(Dashboard!$E$5="All",Dashboard!$E$5=""),AG557=Dashboard!$E$5),OR(OR(Dashboard!$B$5="All",Dashboard!$B$5=""),C557=Dashboard!$B$5),OR(OR(Dashboard!$K$5="All",Dashboard!$K$5=""),A557=Dashboard!$K$5),OR(OR(Dashboard!$N$5="All",Dashboard!$N$5=""),B557=Dashboard!$N$5),OR(OR(Dashboard!$Q$5="All",Dashboard!$Q$5=""),D557=Dashboard!$Q$5),OR(OR(Dashboard!$U$5="All",Dashboard!$U$5=""),E557=Dashboard!$U$5)),1,0))</f>
        <v>1</v>
      </c>
      <c r="O557" s="165">
        <f t="shared" si="70"/>
        <v>0</v>
      </c>
      <c r="AG557" s="178" t="str">
        <f>IF(E557="","",IFERROR(IF(INDEX('Item Purchases'!$AM$4:$AM$30,MATCH(E557,'Item Purchases'!$B$4:$B$30,0))="","Uncategorised",INDEX('Item Purchases'!$AM$4:$AM$30,MATCH(E557,'Item Purchases'!$B$4:$B$30,0))),"Uncategorised"))</f>
        <v>Beverages</v>
      </c>
      <c r="AH557" s="165">
        <f>IF(AND(E557&lt;&gt;"",L557=1),COUNTIFS($E$2:E557,E557,$L$2:L557,1),0)</f>
        <v>0</v>
      </c>
      <c r="AI557" s="165">
        <f t="shared" si="71"/>
        <v>0</v>
      </c>
      <c r="AJ557" s="165">
        <f t="shared" si="72"/>
        <v>0</v>
      </c>
    </row>
    <row r="558" spans="1:36" x14ac:dyDescent="0.25">
      <c r="A558" s="177">
        <f t="shared" si="74"/>
        <v>0</v>
      </c>
      <c r="B558" s="178" t="str">
        <f t="shared" si="67"/>
        <v/>
      </c>
      <c r="C558" s="178" t="str">
        <f>'Pantry Inventory'!$A$132</f>
        <v>Sep Week 5</v>
      </c>
      <c r="D558" s="178" t="str">
        <f>IF('Pantry Inventory'!A151="","",'Pantry Inventory'!A151)</f>
        <v>KARTA</v>
      </c>
      <c r="E558" s="178" t="str">
        <f>IF('Pantry Inventory'!B151="","",'Pantry Inventory'!B151)</f>
        <v>KARTA Coconut Water 330 ml</v>
      </c>
      <c r="F558" s="178" t="str">
        <f>IF(E558="","",IFERROR(IF(INDEX('Item Purchases'!$S$4:$S$30,MATCH(E558,'Item Purchases'!$B$4:$B$30,0))="","Uncategorised",INDEX('Item Purchases'!$S$4:$S$30,MATCH(E558,'Item Purchases'!$B$4:$B$30,0))),"Uncategorised"))</f>
        <v>Other</v>
      </c>
      <c r="G558" s="178">
        <f>IF(E558="",0,'Pantry Inventory'!D151)</f>
        <v>0</v>
      </c>
      <c r="H558" s="178" t="str">
        <f>IF(E558="","",IF('Pantry Inventory'!E151="","",'Pantry Inventory'!E151))</f>
        <v/>
      </c>
      <c r="I558" s="178" t="str">
        <f>IF(H558="","",'Pantry Inventory'!F151)</f>
        <v/>
      </c>
      <c r="J558" s="179">
        <f>IF(E558="",0,IFERROR(INDEX('Item Purchases'!$Q$4:$Q$30,MATCH(E558,'Item Purchases'!$B$4:$B$30,0)),0))</f>
        <v>2.2999999999999998</v>
      </c>
      <c r="K558" s="180" t="str">
        <f t="shared" si="68"/>
        <v/>
      </c>
      <c r="L558" s="178">
        <f t="shared" si="69"/>
        <v>0</v>
      </c>
      <c r="M558" s="178">
        <f>IF(E558="",0,IF(AND(OR(OR(Dashboard!$E$5="All",Dashboard!$E$5=""),AG558=Dashboard!$E$5),OR(OR(Dashboard!$H$5="All",Dashboard!$H$5=""),F558=Dashboard!$H$5),OR(OR(Dashboard!$B$5="All",Dashboard!$B$5=""),C558=Dashboard!$B$5),OR(OR(Dashboard!$K$5="All",Dashboard!$K$5=""),A558=Dashboard!$K$5),OR(OR(Dashboard!$N$5="All",Dashboard!$N$5=""),B558=Dashboard!$N$5),OR(OR(Dashboard!$Q$5="All",Dashboard!$Q$5=""),D558=Dashboard!$Q$5),OR(OR(Dashboard!$U$5="All",Dashboard!$U$5=""),E558=Dashboard!$U$5)),1,0))</f>
        <v>1</v>
      </c>
      <c r="N558" s="178">
        <f>IF(E558="",0,IF(AND(OR(OR(Dashboard!$E$5="All",Dashboard!$E$5=""),AG558=Dashboard!$E$5),OR(OR(Dashboard!$B$5="All",Dashboard!$B$5=""),C558=Dashboard!$B$5),OR(OR(Dashboard!$K$5="All",Dashboard!$K$5=""),A558=Dashboard!$K$5),OR(OR(Dashboard!$N$5="All",Dashboard!$N$5=""),B558=Dashboard!$N$5),OR(OR(Dashboard!$Q$5="All",Dashboard!$Q$5=""),D558=Dashboard!$Q$5),OR(OR(Dashboard!$U$5="All",Dashboard!$U$5=""),E558=Dashboard!$U$5)),1,0))</f>
        <v>1</v>
      </c>
      <c r="O558" s="165">
        <f t="shared" si="70"/>
        <v>0</v>
      </c>
      <c r="AG558" s="178" t="str">
        <f>IF(E558="","",IFERROR(IF(INDEX('Item Purchases'!$AM$4:$AM$30,MATCH(E558,'Item Purchases'!$B$4:$B$30,0))="","Uncategorised",INDEX('Item Purchases'!$AM$4:$AM$30,MATCH(E558,'Item Purchases'!$B$4:$B$30,0))),"Uncategorised"))</f>
        <v>Beverages</v>
      </c>
      <c r="AH558" s="165">
        <f>IF(AND(E558&lt;&gt;"",L558=1),COUNTIFS($E$2:E558,E558,$L$2:L558,1),0)</f>
        <v>0</v>
      </c>
      <c r="AI558" s="165">
        <f t="shared" si="71"/>
        <v>0</v>
      </c>
      <c r="AJ558" s="165">
        <f t="shared" si="72"/>
        <v>0</v>
      </c>
    </row>
    <row r="559" spans="1:36" x14ac:dyDescent="0.25">
      <c r="A559" s="177">
        <f t="shared" si="74"/>
        <v>0</v>
      </c>
      <c r="B559" s="178" t="str">
        <f t="shared" si="67"/>
        <v/>
      </c>
      <c r="C559" s="178" t="str">
        <f>'Pantry Inventory'!$A$132</f>
        <v>Sep Week 5</v>
      </c>
      <c r="D559" s="178" t="str">
        <f>IF('Pantry Inventory'!A152="","",'Pantry Inventory'!A152)</f>
        <v>Coca Cola</v>
      </c>
      <c r="E559" s="178" t="str">
        <f>IF('Pantry Inventory'!B152="","",'Pantry Inventory'!B152)</f>
        <v>COKE ZERO  325ML</v>
      </c>
      <c r="F559" s="178" t="str">
        <f>IF(E559="","",IFERROR(IF(INDEX('Item Purchases'!$S$4:$S$30,MATCH(E559,'Item Purchases'!$B$4:$B$30,0))="","Uncategorised",INDEX('Item Purchases'!$S$4:$S$30,MATCH(E559,'Item Purchases'!$B$4:$B$30,0))),"Uncategorised"))</f>
        <v>Other</v>
      </c>
      <c r="G559" s="178">
        <f>IF(E559="",0,'Pantry Inventory'!D152)</f>
        <v>0</v>
      </c>
      <c r="H559" s="178" t="str">
        <f>IF(E559="","",IF('Pantry Inventory'!E152="","",'Pantry Inventory'!E152))</f>
        <v/>
      </c>
      <c r="I559" s="178" t="str">
        <f>IF(H559="","",'Pantry Inventory'!F152)</f>
        <v/>
      </c>
      <c r="J559" s="179">
        <f>IF(E559="",0,IFERROR(INDEX('Item Purchases'!$Q$4:$Q$30,MATCH(E559,'Item Purchases'!$B$4:$B$30,0)),0))</f>
        <v>1.83</v>
      </c>
      <c r="K559" s="180" t="str">
        <f t="shared" si="68"/>
        <v/>
      </c>
      <c r="L559" s="178">
        <f t="shared" si="69"/>
        <v>0</v>
      </c>
      <c r="M559" s="178">
        <f>IF(E559="",0,IF(AND(OR(OR(Dashboard!$E$5="All",Dashboard!$E$5=""),AG559=Dashboard!$E$5),OR(OR(Dashboard!$H$5="All",Dashboard!$H$5=""),F559=Dashboard!$H$5),OR(OR(Dashboard!$B$5="All",Dashboard!$B$5=""),C559=Dashboard!$B$5),OR(OR(Dashboard!$K$5="All",Dashboard!$K$5=""),A559=Dashboard!$K$5),OR(OR(Dashboard!$N$5="All",Dashboard!$N$5=""),B559=Dashboard!$N$5),OR(OR(Dashboard!$Q$5="All",Dashboard!$Q$5=""),D559=Dashboard!$Q$5),OR(OR(Dashboard!$U$5="All",Dashboard!$U$5=""),E559=Dashboard!$U$5)),1,0))</f>
        <v>1</v>
      </c>
      <c r="N559" s="178">
        <f>IF(E559="",0,IF(AND(OR(OR(Dashboard!$E$5="All",Dashboard!$E$5=""),AG559=Dashboard!$E$5),OR(OR(Dashboard!$B$5="All",Dashboard!$B$5=""),C559=Dashboard!$B$5),OR(OR(Dashboard!$K$5="All",Dashboard!$K$5=""),A559=Dashboard!$K$5),OR(OR(Dashboard!$N$5="All",Dashboard!$N$5=""),B559=Dashboard!$N$5),OR(OR(Dashboard!$Q$5="All",Dashboard!$Q$5=""),D559=Dashboard!$Q$5),OR(OR(Dashboard!$U$5="All",Dashboard!$U$5=""),E559=Dashboard!$U$5)),1,0))</f>
        <v>1</v>
      </c>
      <c r="O559" s="165">
        <f t="shared" si="70"/>
        <v>0</v>
      </c>
      <c r="AG559" s="178" t="str">
        <f>IF(E559="","",IFERROR(IF(INDEX('Item Purchases'!$AM$4:$AM$30,MATCH(E559,'Item Purchases'!$B$4:$B$30,0))="","Uncategorised",INDEX('Item Purchases'!$AM$4:$AM$30,MATCH(E559,'Item Purchases'!$B$4:$B$30,0))),"Uncategorised"))</f>
        <v>Beverages</v>
      </c>
      <c r="AH559" s="165">
        <f>IF(AND(E559&lt;&gt;"",L559=1),COUNTIFS($E$2:E559,E559,$L$2:L559,1),0)</f>
        <v>0</v>
      </c>
      <c r="AI559" s="165">
        <f t="shared" si="71"/>
        <v>0</v>
      </c>
      <c r="AJ559" s="165">
        <f t="shared" si="72"/>
        <v>0</v>
      </c>
    </row>
    <row r="560" spans="1:36" x14ac:dyDescent="0.25">
      <c r="A560" s="177">
        <f t="shared" si="74"/>
        <v>0</v>
      </c>
      <c r="B560" s="178" t="str">
        <f t="shared" si="67"/>
        <v/>
      </c>
      <c r="C560" s="178" t="str">
        <f>'Pantry Inventory'!$A$132</f>
        <v>Sep Week 5</v>
      </c>
      <c r="D560" s="178" t="str">
        <f>IF('Pantry Inventory'!A153="","",'Pantry Inventory'!A153)</f>
        <v>Coca Cola</v>
      </c>
      <c r="E560" s="178" t="str">
        <f>IF('Pantry Inventory'!B153="","",'Pantry Inventory'!B153)</f>
        <v>Ayataka Tea 300ml</v>
      </c>
      <c r="F560" s="178" t="str">
        <f>IF(E560="","",IFERROR(IF(INDEX('Item Purchases'!$S$4:$S$30,MATCH(E560,'Item Purchases'!$B$4:$B$30,0))="","Uncategorised",INDEX('Item Purchases'!$S$4:$S$30,MATCH(E560,'Item Purchases'!$B$4:$B$30,0))),"Uncategorised"))</f>
        <v>Tea</v>
      </c>
      <c r="G560" s="178">
        <f>IF(E560="",0,'Pantry Inventory'!D153)</f>
        <v>0</v>
      </c>
      <c r="H560" s="178" t="str">
        <f>IF(E560="","",IF('Pantry Inventory'!E153="","",'Pantry Inventory'!E153))</f>
        <v/>
      </c>
      <c r="I560" s="178" t="str">
        <f>IF(H560="","",'Pantry Inventory'!F153)</f>
        <v/>
      </c>
      <c r="J560" s="179">
        <f>IF(E560="",0,IFERROR(INDEX('Item Purchases'!$Q$4:$Q$30,MATCH(E560,'Item Purchases'!$B$4:$B$30,0)),0))</f>
        <v>1.75</v>
      </c>
      <c r="K560" s="180" t="str">
        <f t="shared" si="68"/>
        <v/>
      </c>
      <c r="L560" s="178">
        <f t="shared" si="69"/>
        <v>0</v>
      </c>
      <c r="M560" s="178">
        <f>IF(E560="",0,IF(AND(OR(OR(Dashboard!$E$5="All",Dashboard!$E$5=""),AG560=Dashboard!$E$5),OR(OR(Dashboard!$H$5="All",Dashboard!$H$5=""),F560=Dashboard!$H$5),OR(OR(Dashboard!$B$5="All",Dashboard!$B$5=""),C560=Dashboard!$B$5),OR(OR(Dashboard!$K$5="All",Dashboard!$K$5=""),A560=Dashboard!$K$5),OR(OR(Dashboard!$N$5="All",Dashboard!$N$5=""),B560=Dashboard!$N$5),OR(OR(Dashboard!$Q$5="All",Dashboard!$Q$5=""),D560=Dashboard!$Q$5),OR(OR(Dashboard!$U$5="All",Dashboard!$U$5=""),E560=Dashboard!$U$5)),1,0))</f>
        <v>1</v>
      </c>
      <c r="N560" s="178">
        <f>IF(E560="",0,IF(AND(OR(OR(Dashboard!$E$5="All",Dashboard!$E$5=""),AG560=Dashboard!$E$5),OR(OR(Dashboard!$B$5="All",Dashboard!$B$5=""),C560=Dashboard!$B$5),OR(OR(Dashboard!$K$5="All",Dashboard!$K$5=""),A560=Dashboard!$K$5),OR(OR(Dashboard!$N$5="All",Dashboard!$N$5=""),B560=Dashboard!$N$5),OR(OR(Dashboard!$Q$5="All",Dashboard!$Q$5=""),D560=Dashboard!$Q$5),OR(OR(Dashboard!$U$5="All",Dashboard!$U$5=""),E560=Dashboard!$U$5)),1,0))</f>
        <v>1</v>
      </c>
      <c r="O560" s="165">
        <f t="shared" si="70"/>
        <v>0</v>
      </c>
      <c r="AG560" s="178" t="str">
        <f>IF(E560="","",IFERROR(IF(INDEX('Item Purchases'!$AM$4:$AM$30,MATCH(E560,'Item Purchases'!$B$4:$B$30,0))="","Uncategorised",INDEX('Item Purchases'!$AM$4:$AM$30,MATCH(E560,'Item Purchases'!$B$4:$B$30,0))),"Uncategorised"))</f>
        <v>Beverages</v>
      </c>
      <c r="AH560" s="165">
        <f>IF(AND(E560&lt;&gt;"",L560=1),COUNTIFS($E$2:E560,E560,$L$2:L560,1),0)</f>
        <v>0</v>
      </c>
      <c r="AI560" s="165">
        <f t="shared" si="71"/>
        <v>0</v>
      </c>
      <c r="AJ560" s="165">
        <f t="shared" si="72"/>
        <v>0</v>
      </c>
    </row>
    <row r="561" spans="1:36" x14ac:dyDescent="0.25">
      <c r="A561" s="177">
        <f t="shared" si="74"/>
        <v>0</v>
      </c>
      <c r="B561" s="178" t="str">
        <f t="shared" si="67"/>
        <v/>
      </c>
      <c r="C561" s="178" t="str">
        <f>'Pantry Inventory'!$A$132</f>
        <v>Sep Week 5</v>
      </c>
      <c r="D561" s="178" t="str">
        <f>IF('Pantry Inventory'!A154="","",'Pantry Inventory'!A154)</f>
        <v>Coca Cola</v>
      </c>
      <c r="E561" s="178" t="str">
        <f>IF('Pantry Inventory'!B154="","",'Pantry Inventory'!B154)</f>
        <v>Oolong Tea 300ml</v>
      </c>
      <c r="F561" s="178" t="str">
        <f>IF(E561="","",IFERROR(IF(INDEX('Item Purchases'!$S$4:$S$30,MATCH(E561,'Item Purchases'!$B$4:$B$30,0))="","Uncategorised",INDEX('Item Purchases'!$S$4:$S$30,MATCH(E561,'Item Purchases'!$B$4:$B$30,0))),"Uncategorised"))</f>
        <v>Tea</v>
      </c>
      <c r="G561" s="178">
        <f>IF(E561="",0,'Pantry Inventory'!D154)</f>
        <v>0</v>
      </c>
      <c r="H561" s="178" t="str">
        <f>IF(E561="","",IF('Pantry Inventory'!E154="","",'Pantry Inventory'!E154))</f>
        <v/>
      </c>
      <c r="I561" s="178" t="str">
        <f>IF(H561="","",'Pantry Inventory'!F154)</f>
        <v/>
      </c>
      <c r="J561" s="179">
        <f>IF(E561="",0,IFERROR(INDEX('Item Purchases'!$Q$4:$Q$30,MATCH(E561,'Item Purchases'!$B$4:$B$30,0)),0))</f>
        <v>1.75</v>
      </c>
      <c r="K561" s="180" t="str">
        <f t="shared" si="68"/>
        <v/>
      </c>
      <c r="L561" s="178">
        <f t="shared" si="69"/>
        <v>0</v>
      </c>
      <c r="M561" s="178">
        <f>IF(E561="",0,IF(AND(OR(OR(Dashboard!$E$5="All",Dashboard!$E$5=""),AG561=Dashboard!$E$5),OR(OR(Dashboard!$H$5="All",Dashboard!$H$5=""),F561=Dashboard!$H$5),OR(OR(Dashboard!$B$5="All",Dashboard!$B$5=""),C561=Dashboard!$B$5),OR(OR(Dashboard!$K$5="All",Dashboard!$K$5=""),A561=Dashboard!$K$5),OR(OR(Dashboard!$N$5="All",Dashboard!$N$5=""),B561=Dashboard!$N$5),OR(OR(Dashboard!$Q$5="All",Dashboard!$Q$5=""),D561=Dashboard!$Q$5),OR(OR(Dashboard!$U$5="All",Dashboard!$U$5=""),E561=Dashboard!$U$5)),1,0))</f>
        <v>1</v>
      </c>
      <c r="N561" s="178">
        <f>IF(E561="",0,IF(AND(OR(OR(Dashboard!$E$5="All",Dashboard!$E$5=""),AG561=Dashboard!$E$5),OR(OR(Dashboard!$B$5="All",Dashboard!$B$5=""),C561=Dashboard!$B$5),OR(OR(Dashboard!$K$5="All",Dashboard!$K$5=""),A561=Dashboard!$K$5),OR(OR(Dashboard!$N$5="All",Dashboard!$N$5=""),B561=Dashboard!$N$5),OR(OR(Dashboard!$Q$5="All",Dashboard!$Q$5=""),D561=Dashboard!$Q$5),OR(OR(Dashboard!$U$5="All",Dashboard!$U$5=""),E561=Dashboard!$U$5)),1,0))</f>
        <v>1</v>
      </c>
      <c r="O561" s="165">
        <f t="shared" si="70"/>
        <v>0</v>
      </c>
      <c r="AG561" s="178" t="str">
        <f>IF(E561="","",IFERROR(IF(INDEX('Item Purchases'!$AM$4:$AM$30,MATCH(E561,'Item Purchases'!$B$4:$B$30,0))="","Uncategorised",INDEX('Item Purchases'!$AM$4:$AM$30,MATCH(E561,'Item Purchases'!$B$4:$B$30,0))),"Uncategorised"))</f>
        <v>Beverages</v>
      </c>
      <c r="AH561" s="165">
        <f>IF(AND(E561&lt;&gt;"",L561=1),COUNTIFS($E$2:E561,E561,$L$2:L561,1),0)</f>
        <v>0</v>
      </c>
      <c r="AI561" s="165">
        <f t="shared" si="71"/>
        <v>0</v>
      </c>
      <c r="AJ561" s="165">
        <f t="shared" si="72"/>
        <v>0</v>
      </c>
    </row>
    <row r="562" spans="1:36" x14ac:dyDescent="0.25">
      <c r="A562" s="177">
        <f t="shared" si="74"/>
        <v>0</v>
      </c>
      <c r="B562" s="178" t="str">
        <f t="shared" si="67"/>
        <v/>
      </c>
      <c r="C562" s="178" t="str">
        <f>'Pantry Inventory'!$A$132</f>
        <v>Sep Week 5</v>
      </c>
      <c r="D562" s="178" t="str">
        <f>IF('Pantry Inventory'!A155="","",'Pantry Inventory'!A155)</f>
        <v>Vsoy</v>
      </c>
      <c r="E562" s="178" t="str">
        <f>IF('Pantry Inventory'!B155="","",'Pantry Inventory'!B155)</f>
        <v>Vsoy Soya Bean  250ml</v>
      </c>
      <c r="F562" s="178" t="str">
        <f>IF(E562="","",IFERROR(IF(INDEX('Item Purchases'!$S$4:$S$30,MATCH(E562,'Item Purchases'!$B$4:$B$30,0))="","Uncategorised",INDEX('Item Purchases'!$S$4:$S$30,MATCH(E562,'Item Purchases'!$B$4:$B$30,0))),"Uncategorised"))</f>
        <v>Other</v>
      </c>
      <c r="G562" s="178">
        <f>IF(E562="",0,'Pantry Inventory'!D155)</f>
        <v>0</v>
      </c>
      <c r="H562" s="178" t="str">
        <f>IF(E562="","",IF('Pantry Inventory'!E155="","",'Pantry Inventory'!E155))</f>
        <v/>
      </c>
      <c r="I562" s="178" t="str">
        <f>IF(H562="","",'Pantry Inventory'!F155)</f>
        <v/>
      </c>
      <c r="J562" s="179">
        <f>IF(E562="",0,IFERROR(INDEX('Item Purchases'!$Q$4:$Q$30,MATCH(E562,'Item Purchases'!$B$4:$B$30,0)),0))</f>
        <v>1.25</v>
      </c>
      <c r="K562" s="180" t="str">
        <f t="shared" si="68"/>
        <v/>
      </c>
      <c r="L562" s="178">
        <f t="shared" si="69"/>
        <v>0</v>
      </c>
      <c r="M562" s="178">
        <f>IF(E562="",0,IF(AND(OR(OR(Dashboard!$E$5="All",Dashboard!$E$5=""),AG562=Dashboard!$E$5),OR(OR(Dashboard!$H$5="All",Dashboard!$H$5=""),F562=Dashboard!$H$5),OR(OR(Dashboard!$B$5="All",Dashboard!$B$5=""),C562=Dashboard!$B$5),OR(OR(Dashboard!$K$5="All",Dashboard!$K$5=""),A562=Dashboard!$K$5),OR(OR(Dashboard!$N$5="All",Dashboard!$N$5=""),B562=Dashboard!$N$5),OR(OR(Dashboard!$Q$5="All",Dashboard!$Q$5=""),D562=Dashboard!$Q$5),OR(OR(Dashboard!$U$5="All",Dashboard!$U$5=""),E562=Dashboard!$U$5)),1,0))</f>
        <v>1</v>
      </c>
      <c r="N562" s="178">
        <f>IF(E562="",0,IF(AND(OR(OR(Dashboard!$E$5="All",Dashboard!$E$5=""),AG562=Dashboard!$E$5),OR(OR(Dashboard!$B$5="All",Dashboard!$B$5=""),C562=Dashboard!$B$5),OR(OR(Dashboard!$K$5="All",Dashboard!$K$5=""),A562=Dashboard!$K$5),OR(OR(Dashboard!$N$5="All",Dashboard!$N$5=""),B562=Dashboard!$N$5),OR(OR(Dashboard!$Q$5="All",Dashboard!$Q$5=""),D562=Dashboard!$Q$5),OR(OR(Dashboard!$U$5="All",Dashboard!$U$5=""),E562=Dashboard!$U$5)),1,0))</f>
        <v>1</v>
      </c>
      <c r="O562" s="165">
        <f t="shared" si="70"/>
        <v>0</v>
      </c>
      <c r="AG562" s="178" t="str">
        <f>IF(E562="","",IFERROR(IF(INDEX('Item Purchases'!$AM$4:$AM$30,MATCH(E562,'Item Purchases'!$B$4:$B$30,0))="","Uncategorised",INDEX('Item Purchases'!$AM$4:$AM$30,MATCH(E562,'Item Purchases'!$B$4:$B$30,0))),"Uncategorised"))</f>
        <v>Beverages</v>
      </c>
      <c r="AH562" s="165">
        <f>IF(AND(E562&lt;&gt;"",L562=1),COUNTIFS($E$2:E562,E562,$L$2:L562,1),0)</f>
        <v>0</v>
      </c>
      <c r="AI562" s="165">
        <f t="shared" si="71"/>
        <v>0</v>
      </c>
      <c r="AJ562" s="165">
        <f t="shared" si="72"/>
        <v>0</v>
      </c>
    </row>
    <row r="563" spans="1:36" x14ac:dyDescent="0.25">
      <c r="A563" s="177">
        <f t="shared" si="74"/>
        <v>0</v>
      </c>
      <c r="B563" s="178" t="str">
        <f t="shared" si="67"/>
        <v/>
      </c>
      <c r="C563" s="178" t="str">
        <f>'Pantry Inventory'!$A$132</f>
        <v>Sep Week 5</v>
      </c>
      <c r="D563" s="178" t="str">
        <f>IF('Pantry Inventory'!A156="","",'Pantry Inventory'!A156)</f>
        <v>BingRae</v>
      </c>
      <c r="E563" s="178" t="str">
        <f>IF('Pantry Inventory'!B156="","",'Pantry Inventory'!B156)</f>
        <v>BingRae Banana Milk 200ml</v>
      </c>
      <c r="F563" s="178" t="str">
        <f>IF(E563="","",IFERROR(IF(INDEX('Item Purchases'!$S$4:$S$30,MATCH(E563,'Item Purchases'!$B$4:$B$30,0))="","Uncategorised",INDEX('Item Purchases'!$S$4:$S$30,MATCH(E563,'Item Purchases'!$B$4:$B$30,0))),"Uncategorised"))</f>
        <v>Other</v>
      </c>
      <c r="G563" s="178">
        <f>IF(E563="",0,'Pantry Inventory'!D156)</f>
        <v>0</v>
      </c>
      <c r="H563" s="178" t="str">
        <f>IF(E563="","",IF('Pantry Inventory'!E156="","",'Pantry Inventory'!E156))</f>
        <v/>
      </c>
      <c r="I563" s="178" t="str">
        <f>IF(H563="","",'Pantry Inventory'!F156)</f>
        <v/>
      </c>
      <c r="J563" s="179">
        <f>IF(E563="",0,IFERROR(INDEX('Item Purchases'!$Q$4:$Q$30,MATCH(E563,'Item Purchases'!$B$4:$B$30,0)),0))</f>
        <v>3.3159999999999998</v>
      </c>
      <c r="K563" s="180" t="str">
        <f t="shared" si="68"/>
        <v/>
      </c>
      <c r="L563" s="178">
        <f t="shared" si="69"/>
        <v>0</v>
      </c>
      <c r="M563" s="178">
        <f>IF(E563="",0,IF(AND(OR(OR(Dashboard!$E$5="All",Dashboard!$E$5=""),AG563=Dashboard!$E$5),OR(OR(Dashboard!$H$5="All",Dashboard!$H$5=""),F563=Dashboard!$H$5),OR(OR(Dashboard!$B$5="All",Dashboard!$B$5=""),C563=Dashboard!$B$5),OR(OR(Dashboard!$K$5="All",Dashboard!$K$5=""),A563=Dashboard!$K$5),OR(OR(Dashboard!$N$5="All",Dashboard!$N$5=""),B563=Dashboard!$N$5),OR(OR(Dashboard!$Q$5="All",Dashboard!$Q$5=""),D563=Dashboard!$Q$5),OR(OR(Dashboard!$U$5="All",Dashboard!$U$5=""),E563=Dashboard!$U$5)),1,0))</f>
        <v>1</v>
      </c>
      <c r="N563" s="178">
        <f>IF(E563="",0,IF(AND(OR(OR(Dashboard!$E$5="All",Dashboard!$E$5=""),AG563=Dashboard!$E$5),OR(OR(Dashboard!$B$5="All",Dashboard!$B$5=""),C563=Dashboard!$B$5),OR(OR(Dashboard!$K$5="All",Dashboard!$K$5=""),A563=Dashboard!$K$5),OR(OR(Dashboard!$N$5="All",Dashboard!$N$5=""),B563=Dashboard!$N$5),OR(OR(Dashboard!$Q$5="All",Dashboard!$Q$5=""),D563=Dashboard!$Q$5),OR(OR(Dashboard!$U$5="All",Dashboard!$U$5=""),E563=Dashboard!$U$5)),1,0))</f>
        <v>1</v>
      </c>
      <c r="O563" s="165">
        <f t="shared" si="70"/>
        <v>0</v>
      </c>
      <c r="AG563" s="178" t="str">
        <f>IF(E563="","",IFERROR(IF(INDEX('Item Purchases'!$AM$4:$AM$30,MATCH(E563,'Item Purchases'!$B$4:$B$30,0))="","Uncategorised",INDEX('Item Purchases'!$AM$4:$AM$30,MATCH(E563,'Item Purchases'!$B$4:$B$30,0))),"Uncategorised"))</f>
        <v>Beverages</v>
      </c>
      <c r="AH563" s="165">
        <f>IF(AND(E563&lt;&gt;"",L563=1),COUNTIFS($E$2:E563,E563,$L$2:L563,1),0)</f>
        <v>0</v>
      </c>
      <c r="AI563" s="165">
        <f t="shared" si="71"/>
        <v>0</v>
      </c>
      <c r="AJ563" s="165">
        <f t="shared" si="72"/>
        <v>0</v>
      </c>
    </row>
    <row r="564" spans="1:36" x14ac:dyDescent="0.25">
      <c r="A564" s="177">
        <f t="shared" si="74"/>
        <v>0</v>
      </c>
      <c r="B564" s="178" t="str">
        <f t="shared" si="67"/>
        <v/>
      </c>
      <c r="C564" s="178" t="str">
        <f>'Pantry Inventory'!$A$132</f>
        <v>Sep Week 5</v>
      </c>
      <c r="D564" s="178" t="str">
        <f>IF('Pantry Inventory'!A157="","",'Pantry Inventory'!A157)</f>
        <v>Fuze Tea</v>
      </c>
      <c r="E564" s="178" t="str">
        <f>IF('Pantry Inventory'!B157="","",'Pantry Inventory'!B157)</f>
        <v>Fuze Tea by Heaven and Earth Jasmine Tea</v>
      </c>
      <c r="F564" s="178" t="str">
        <f>IF(E564="","",IFERROR(IF(INDEX('Item Purchases'!$S$4:$S$30,MATCH(E564,'Item Purchases'!$B$4:$B$30,0))="","Uncategorised",INDEX('Item Purchases'!$S$4:$S$30,MATCH(E564,'Item Purchases'!$B$4:$B$30,0))),"Uncategorised"))</f>
        <v>Tea</v>
      </c>
      <c r="G564" s="178">
        <f>IF(E564="",0,'Pantry Inventory'!D157)</f>
        <v>0</v>
      </c>
      <c r="H564" s="178" t="str">
        <f>IF(E564="","",IF('Pantry Inventory'!E157="","",'Pantry Inventory'!E157))</f>
        <v/>
      </c>
      <c r="I564" s="178" t="str">
        <f>IF(H564="","",'Pantry Inventory'!F157)</f>
        <v/>
      </c>
      <c r="J564" s="179">
        <f>IF(E564="",0,IFERROR(INDEX('Item Purchases'!$Q$4:$Q$30,MATCH(E564,'Item Purchases'!$B$4:$B$30,0)),0))</f>
        <v>1.167</v>
      </c>
      <c r="K564" s="180" t="str">
        <f t="shared" si="68"/>
        <v/>
      </c>
      <c r="L564" s="178">
        <f t="shared" si="69"/>
        <v>0</v>
      </c>
      <c r="M564" s="178">
        <f>IF(E564="",0,IF(AND(OR(OR(Dashboard!$E$5="All",Dashboard!$E$5=""),AG564=Dashboard!$E$5),OR(OR(Dashboard!$H$5="All",Dashboard!$H$5=""),F564=Dashboard!$H$5),OR(OR(Dashboard!$B$5="All",Dashboard!$B$5=""),C564=Dashboard!$B$5),OR(OR(Dashboard!$K$5="All",Dashboard!$K$5=""),A564=Dashboard!$K$5),OR(OR(Dashboard!$N$5="All",Dashboard!$N$5=""),B564=Dashboard!$N$5),OR(OR(Dashboard!$Q$5="All",Dashboard!$Q$5=""),D564=Dashboard!$Q$5),OR(OR(Dashboard!$U$5="All",Dashboard!$U$5=""),E564=Dashboard!$U$5)),1,0))</f>
        <v>1</v>
      </c>
      <c r="N564" s="178">
        <f>IF(E564="",0,IF(AND(OR(OR(Dashboard!$E$5="All",Dashboard!$E$5=""),AG564=Dashboard!$E$5),OR(OR(Dashboard!$B$5="All",Dashboard!$B$5=""),C564=Dashboard!$B$5),OR(OR(Dashboard!$K$5="All",Dashboard!$K$5=""),A564=Dashboard!$K$5),OR(OR(Dashboard!$N$5="All",Dashboard!$N$5=""),B564=Dashboard!$N$5),OR(OR(Dashboard!$Q$5="All",Dashboard!$Q$5=""),D564=Dashboard!$Q$5),OR(OR(Dashboard!$U$5="All",Dashboard!$U$5=""),E564=Dashboard!$U$5)),1,0))</f>
        <v>1</v>
      </c>
      <c r="O564" s="165">
        <f t="shared" si="70"/>
        <v>0</v>
      </c>
      <c r="AG564" s="178" t="str">
        <f>IF(E564="","",IFERROR(IF(INDEX('Item Purchases'!$AM$4:$AM$30,MATCH(E564,'Item Purchases'!$B$4:$B$30,0))="","Uncategorised",INDEX('Item Purchases'!$AM$4:$AM$30,MATCH(E564,'Item Purchases'!$B$4:$B$30,0))),"Uncategorised"))</f>
        <v>Beverages</v>
      </c>
      <c r="AH564" s="165">
        <f>IF(AND(E564&lt;&gt;"",L564=1),COUNTIFS($E$2:E564,E564,$L$2:L564,1),0)</f>
        <v>0</v>
      </c>
      <c r="AI564" s="165">
        <f t="shared" si="71"/>
        <v>0</v>
      </c>
      <c r="AJ564" s="165">
        <f t="shared" si="72"/>
        <v>0</v>
      </c>
    </row>
    <row r="565" spans="1:36" x14ac:dyDescent="0.25">
      <c r="A565" s="177">
        <f t="shared" si="74"/>
        <v>0</v>
      </c>
      <c r="B565" s="178" t="str">
        <f t="shared" si="67"/>
        <v/>
      </c>
      <c r="C565" s="178" t="str">
        <f>'Pantry Inventory'!$A$132</f>
        <v>Sep Week 5</v>
      </c>
      <c r="D565" s="178" t="str">
        <f>IF('Pantry Inventory'!A158="","",'Pantry Inventory'!A158)</f>
        <v>F&amp;N</v>
      </c>
      <c r="E565" s="178" t="str">
        <f>IF('Pantry Inventory'!B158="","",'Pantry Inventory'!B158)</f>
        <v>FN 100 plus (original) 325ml</v>
      </c>
      <c r="F565" s="178" t="str">
        <f>IF(E565="","",IFERROR(IF(INDEX('Item Purchases'!$S$4:$S$30,MATCH(E565,'Item Purchases'!$B$4:$B$30,0))="","Uncategorised",INDEX('Item Purchases'!$S$4:$S$30,MATCH(E565,'Item Purchases'!$B$4:$B$30,0))),"Uncategorised"))</f>
        <v>Other</v>
      </c>
      <c r="G565" s="178">
        <f>IF(E565="",0,'Pantry Inventory'!D158)</f>
        <v>0</v>
      </c>
      <c r="H565" s="178" t="str">
        <f>IF(E565="","",IF('Pantry Inventory'!E158="","",'Pantry Inventory'!E158))</f>
        <v/>
      </c>
      <c r="I565" s="178" t="str">
        <f>IF(H565="","",'Pantry Inventory'!F158)</f>
        <v/>
      </c>
      <c r="J565" s="179">
        <f>IF(E565="",0,IFERROR(INDEX('Item Purchases'!$Q$4:$Q$30,MATCH(E565,'Item Purchases'!$B$4:$B$30,0)),0))</f>
        <v>1.58</v>
      </c>
      <c r="K565" s="180" t="str">
        <f t="shared" si="68"/>
        <v/>
      </c>
      <c r="L565" s="178">
        <f t="shared" si="69"/>
        <v>0</v>
      </c>
      <c r="M565" s="178">
        <f>IF(E565="",0,IF(AND(OR(OR(Dashboard!$E$5="All",Dashboard!$E$5=""),AG565=Dashboard!$E$5),OR(OR(Dashboard!$H$5="All",Dashboard!$H$5=""),F565=Dashboard!$H$5),OR(OR(Dashboard!$B$5="All",Dashboard!$B$5=""),C565=Dashboard!$B$5),OR(OR(Dashboard!$K$5="All",Dashboard!$K$5=""),A565=Dashboard!$K$5),OR(OR(Dashboard!$N$5="All",Dashboard!$N$5=""),B565=Dashboard!$N$5),OR(OR(Dashboard!$Q$5="All",Dashboard!$Q$5=""),D565=Dashboard!$Q$5),OR(OR(Dashboard!$U$5="All",Dashboard!$U$5=""),E565=Dashboard!$U$5)),1,0))</f>
        <v>1</v>
      </c>
      <c r="N565" s="178">
        <f>IF(E565="",0,IF(AND(OR(OR(Dashboard!$E$5="All",Dashboard!$E$5=""),AG565=Dashboard!$E$5),OR(OR(Dashboard!$B$5="All",Dashboard!$B$5=""),C565=Dashboard!$B$5),OR(OR(Dashboard!$K$5="All",Dashboard!$K$5=""),A565=Dashboard!$K$5),OR(OR(Dashboard!$N$5="All",Dashboard!$N$5=""),B565=Dashboard!$N$5),OR(OR(Dashboard!$Q$5="All",Dashboard!$Q$5=""),D565=Dashboard!$Q$5),OR(OR(Dashboard!$U$5="All",Dashboard!$U$5=""),E565=Dashboard!$U$5)),1,0))</f>
        <v>1</v>
      </c>
      <c r="O565" s="165">
        <f t="shared" si="70"/>
        <v>0</v>
      </c>
      <c r="AG565" s="178" t="str">
        <f>IF(E565="","",IFERROR(IF(INDEX('Item Purchases'!$AM$4:$AM$30,MATCH(E565,'Item Purchases'!$B$4:$B$30,0))="","Uncategorised",INDEX('Item Purchases'!$AM$4:$AM$30,MATCH(E565,'Item Purchases'!$B$4:$B$30,0))),"Uncategorised"))</f>
        <v>Beverages</v>
      </c>
      <c r="AH565" s="165">
        <f>IF(AND(E565&lt;&gt;"",L565=1),COUNTIFS($E$2:E565,E565,$L$2:L565,1),0)</f>
        <v>0</v>
      </c>
      <c r="AI565" s="165">
        <f t="shared" si="71"/>
        <v>0</v>
      </c>
      <c r="AJ565" s="165">
        <f t="shared" si="72"/>
        <v>0</v>
      </c>
    </row>
    <row r="566" spans="1:36" x14ac:dyDescent="0.25">
      <c r="A566" s="177">
        <f t="shared" si="74"/>
        <v>0</v>
      </c>
      <c r="B566" s="178" t="str">
        <f t="shared" si="67"/>
        <v/>
      </c>
      <c r="C566" s="178" t="str">
        <f>'Pantry Inventory'!$A$132</f>
        <v>Sep Week 5</v>
      </c>
      <c r="D566" s="178" t="str">
        <f>IF('Pantry Inventory'!A159="","",'Pantry Inventory'!A159)</f>
        <v>Spritzer</v>
      </c>
      <c r="E566" s="178" t="str">
        <f>IF('Pantry Inventory'!B159="","",'Pantry Inventory'!B159)</f>
        <v>Spritzer sparkling water (original) 400ml</v>
      </c>
      <c r="F566" s="178" t="str">
        <f>IF(E566="","",IFERROR(IF(INDEX('Item Purchases'!$S$4:$S$30,MATCH(E566,'Item Purchases'!$B$4:$B$30,0))="","Uncategorised",INDEX('Item Purchases'!$S$4:$S$30,MATCH(E566,'Item Purchases'!$B$4:$B$30,0))),"Uncategorised"))</f>
        <v>Other</v>
      </c>
      <c r="G566" s="178">
        <f>IF(E566="",0,'Pantry Inventory'!D159)</f>
        <v>0</v>
      </c>
      <c r="H566" s="178" t="str">
        <f>IF(E566="","",IF('Pantry Inventory'!E159="","",'Pantry Inventory'!E159))</f>
        <v/>
      </c>
      <c r="I566" s="178" t="str">
        <f>IF(H566="","",'Pantry Inventory'!F159)</f>
        <v/>
      </c>
      <c r="J566" s="179">
        <f>IF(E566="",0,IFERROR(INDEX('Item Purchases'!$Q$4:$Q$30,MATCH(E566,'Item Purchases'!$B$4:$B$30,0)),0))</f>
        <v>1.616666666666666</v>
      </c>
      <c r="K566" s="180" t="str">
        <f t="shared" si="68"/>
        <v/>
      </c>
      <c r="L566" s="178">
        <f t="shared" si="69"/>
        <v>0</v>
      </c>
      <c r="M566" s="178">
        <f>IF(E566="",0,IF(AND(OR(OR(Dashboard!$E$5="All",Dashboard!$E$5=""),AG566=Dashboard!$E$5),OR(OR(Dashboard!$H$5="All",Dashboard!$H$5=""),F566=Dashboard!$H$5),OR(OR(Dashboard!$B$5="All",Dashboard!$B$5=""),C566=Dashboard!$B$5),OR(OR(Dashboard!$K$5="All",Dashboard!$K$5=""),A566=Dashboard!$K$5),OR(OR(Dashboard!$N$5="All",Dashboard!$N$5=""),B566=Dashboard!$N$5),OR(OR(Dashboard!$Q$5="All",Dashboard!$Q$5=""),D566=Dashboard!$Q$5),OR(OR(Dashboard!$U$5="All",Dashboard!$U$5=""),E566=Dashboard!$U$5)),1,0))</f>
        <v>1</v>
      </c>
      <c r="N566" s="178">
        <f>IF(E566="",0,IF(AND(OR(OR(Dashboard!$E$5="All",Dashboard!$E$5=""),AG566=Dashboard!$E$5),OR(OR(Dashboard!$B$5="All",Dashboard!$B$5=""),C566=Dashboard!$B$5),OR(OR(Dashboard!$K$5="All",Dashboard!$K$5=""),A566=Dashboard!$K$5),OR(OR(Dashboard!$N$5="All",Dashboard!$N$5=""),B566=Dashboard!$N$5),OR(OR(Dashboard!$Q$5="All",Dashboard!$Q$5=""),D566=Dashboard!$Q$5),OR(OR(Dashboard!$U$5="All",Dashboard!$U$5=""),E566=Dashboard!$U$5)),1,0))</f>
        <v>1</v>
      </c>
      <c r="O566" s="165">
        <f t="shared" si="70"/>
        <v>0</v>
      </c>
      <c r="AG566" s="178" t="str">
        <f>IF(E566="","",IFERROR(IF(INDEX('Item Purchases'!$AM$4:$AM$30,MATCH(E566,'Item Purchases'!$B$4:$B$30,0))="","Uncategorised",INDEX('Item Purchases'!$AM$4:$AM$30,MATCH(E566,'Item Purchases'!$B$4:$B$30,0))),"Uncategorised"))</f>
        <v>Beverages</v>
      </c>
      <c r="AH566" s="165">
        <f>IF(AND(E566&lt;&gt;"",L566=1),COUNTIFS($E$2:E566,E566,$L$2:L566,1),0)</f>
        <v>0</v>
      </c>
      <c r="AI566" s="165">
        <f t="shared" si="71"/>
        <v>0</v>
      </c>
      <c r="AJ566" s="165">
        <f t="shared" si="72"/>
        <v>0</v>
      </c>
    </row>
    <row r="567" spans="1:36" x14ac:dyDescent="0.25">
      <c r="A567" s="177">
        <f t="shared" si="74"/>
        <v>0</v>
      </c>
      <c r="B567" s="178" t="str">
        <f t="shared" si="67"/>
        <v/>
      </c>
      <c r="C567" s="178" t="str">
        <f>'Pantry Inventory'!$A$132</f>
        <v>Sep Week 5</v>
      </c>
      <c r="D567" s="178" t="str">
        <f>IF('Pantry Inventory'!A160="","",'Pantry Inventory'!A160)</f>
        <v>Oat Side</v>
      </c>
      <c r="E567" s="178" t="str">
        <f>IF('Pantry Inventory'!B160="","",'Pantry Inventory'!B160)</f>
        <v>Oat Side Original 200ml</v>
      </c>
      <c r="F567" s="178" t="str">
        <f>IF(E567="","",IFERROR(IF(INDEX('Item Purchases'!$S$4:$S$30,MATCH(E567,'Item Purchases'!$B$4:$B$30,0))="","Uncategorised",INDEX('Item Purchases'!$S$4:$S$30,MATCH(E567,'Item Purchases'!$B$4:$B$30,0))),"Uncategorised"))</f>
        <v>Other</v>
      </c>
      <c r="G567" s="178">
        <f>IF(E567="",0,'Pantry Inventory'!D160)</f>
        <v>0</v>
      </c>
      <c r="H567" s="178" t="str">
        <f>IF(E567="","",IF('Pantry Inventory'!E160="","",'Pantry Inventory'!E160))</f>
        <v/>
      </c>
      <c r="I567" s="178" t="str">
        <f>IF(H567="","",'Pantry Inventory'!F160)</f>
        <v/>
      </c>
      <c r="J567" s="179">
        <f>IF(E567="",0,IFERROR(INDEX('Item Purchases'!$Q$4:$Q$30,MATCH(E567,'Item Purchases'!$B$4:$B$30,0)),0))</f>
        <v>3</v>
      </c>
      <c r="K567" s="180" t="str">
        <f t="shared" si="68"/>
        <v/>
      </c>
      <c r="L567" s="178">
        <f t="shared" si="69"/>
        <v>0</v>
      </c>
      <c r="M567" s="178">
        <f>IF(E567="",0,IF(AND(OR(OR(Dashboard!$E$5="All",Dashboard!$E$5=""),AG567=Dashboard!$E$5),OR(OR(Dashboard!$H$5="All",Dashboard!$H$5=""),F567=Dashboard!$H$5),OR(OR(Dashboard!$B$5="All",Dashboard!$B$5=""),C567=Dashboard!$B$5),OR(OR(Dashboard!$K$5="All",Dashboard!$K$5=""),A567=Dashboard!$K$5),OR(OR(Dashboard!$N$5="All",Dashboard!$N$5=""),B567=Dashboard!$N$5),OR(OR(Dashboard!$Q$5="All",Dashboard!$Q$5=""),D567=Dashboard!$Q$5),OR(OR(Dashboard!$U$5="All",Dashboard!$U$5=""),E567=Dashboard!$U$5)),1,0))</f>
        <v>1</v>
      </c>
      <c r="N567" s="178">
        <f>IF(E567="",0,IF(AND(OR(OR(Dashboard!$E$5="All",Dashboard!$E$5=""),AG567=Dashboard!$E$5),OR(OR(Dashboard!$B$5="All",Dashboard!$B$5=""),C567=Dashboard!$B$5),OR(OR(Dashboard!$K$5="All",Dashboard!$K$5=""),A567=Dashboard!$K$5),OR(OR(Dashboard!$N$5="All",Dashboard!$N$5=""),B567=Dashboard!$N$5),OR(OR(Dashboard!$Q$5="All",Dashboard!$Q$5=""),D567=Dashboard!$Q$5),OR(OR(Dashboard!$U$5="All",Dashboard!$U$5=""),E567=Dashboard!$U$5)),1,0))</f>
        <v>1</v>
      </c>
      <c r="O567" s="165">
        <f t="shared" si="70"/>
        <v>0</v>
      </c>
      <c r="AG567" s="178" t="str">
        <f>IF(E567="","",IFERROR(IF(INDEX('Item Purchases'!$AM$4:$AM$30,MATCH(E567,'Item Purchases'!$B$4:$B$30,0))="","Uncategorised",INDEX('Item Purchases'!$AM$4:$AM$30,MATCH(E567,'Item Purchases'!$B$4:$B$30,0))),"Uncategorised"))</f>
        <v>Beverages</v>
      </c>
      <c r="AH567" s="165">
        <f>IF(AND(E567&lt;&gt;"",L567=1),COUNTIFS($E$2:E567,E567,$L$2:L567,1),0)</f>
        <v>0</v>
      </c>
      <c r="AI567" s="165">
        <f t="shared" si="71"/>
        <v>0</v>
      </c>
      <c r="AJ567" s="165">
        <f t="shared" si="72"/>
        <v>0</v>
      </c>
    </row>
    <row r="568" spans="1:36" x14ac:dyDescent="0.25">
      <c r="A568" s="177">
        <f t="shared" si="74"/>
        <v>0</v>
      </c>
      <c r="B568" s="178" t="str">
        <f t="shared" si="67"/>
        <v/>
      </c>
      <c r="C568" s="178" t="str">
        <f>'Pantry Inventory'!$A$132</f>
        <v>Sep Week 5</v>
      </c>
      <c r="D568" s="178" t="str">
        <f>IF('Pantry Inventory'!A161="","",'Pantry Inventory'!A161)</f>
        <v>Oat Side</v>
      </c>
      <c r="E568" s="178" t="str">
        <f>IF('Pantry Inventory'!B161="","",'Pantry Inventory'!B161)</f>
        <v>Oat Side Chocolate 200ml</v>
      </c>
      <c r="F568" s="178" t="str">
        <f>IF(E568="","",IFERROR(IF(INDEX('Item Purchases'!$S$4:$S$30,MATCH(E568,'Item Purchases'!$B$4:$B$30,0))="","Uncategorised",INDEX('Item Purchases'!$S$4:$S$30,MATCH(E568,'Item Purchases'!$B$4:$B$30,0))),"Uncategorised"))</f>
        <v>Other</v>
      </c>
      <c r="G568" s="178">
        <f>IF(E568="",0,'Pantry Inventory'!D161)</f>
        <v>0</v>
      </c>
      <c r="H568" s="178" t="str">
        <f>IF(E568="","",IF('Pantry Inventory'!E161="","",'Pantry Inventory'!E161))</f>
        <v/>
      </c>
      <c r="I568" s="178" t="str">
        <f>IF(H568="","",'Pantry Inventory'!F161)</f>
        <v/>
      </c>
      <c r="J568" s="179">
        <f>IF(E568="",0,IFERROR(INDEX('Item Purchases'!$Q$4:$Q$30,MATCH(E568,'Item Purchases'!$B$4:$B$30,0)),0))</f>
        <v>3</v>
      </c>
      <c r="K568" s="180" t="str">
        <f t="shared" si="68"/>
        <v/>
      </c>
      <c r="L568" s="178">
        <f t="shared" si="69"/>
        <v>0</v>
      </c>
      <c r="M568" s="178">
        <f>IF(E568="",0,IF(AND(OR(OR(Dashboard!$E$5="All",Dashboard!$E$5=""),AG568=Dashboard!$E$5),OR(OR(Dashboard!$H$5="All",Dashboard!$H$5=""),F568=Dashboard!$H$5),OR(OR(Dashboard!$B$5="All",Dashboard!$B$5=""),C568=Dashboard!$B$5),OR(OR(Dashboard!$K$5="All",Dashboard!$K$5=""),A568=Dashboard!$K$5),OR(OR(Dashboard!$N$5="All",Dashboard!$N$5=""),B568=Dashboard!$N$5),OR(OR(Dashboard!$Q$5="All",Dashboard!$Q$5=""),D568=Dashboard!$Q$5),OR(OR(Dashboard!$U$5="All",Dashboard!$U$5=""),E568=Dashboard!$U$5)),1,0))</f>
        <v>1</v>
      </c>
      <c r="N568" s="178">
        <f>IF(E568="",0,IF(AND(OR(OR(Dashboard!$E$5="All",Dashboard!$E$5=""),AG568=Dashboard!$E$5),OR(OR(Dashboard!$B$5="All",Dashboard!$B$5=""),C568=Dashboard!$B$5),OR(OR(Dashboard!$K$5="All",Dashboard!$K$5=""),A568=Dashboard!$K$5),OR(OR(Dashboard!$N$5="All",Dashboard!$N$5=""),B568=Dashboard!$N$5),OR(OR(Dashboard!$Q$5="All",Dashboard!$Q$5=""),D568=Dashboard!$Q$5),OR(OR(Dashboard!$U$5="All",Dashboard!$U$5=""),E568=Dashboard!$U$5)),1,0))</f>
        <v>1</v>
      </c>
      <c r="O568" s="165">
        <f t="shared" si="70"/>
        <v>0</v>
      </c>
      <c r="AG568" s="178" t="str">
        <f>IF(E568="","",IFERROR(IF(INDEX('Item Purchases'!$AM$4:$AM$30,MATCH(E568,'Item Purchases'!$B$4:$B$30,0))="","Uncategorised",INDEX('Item Purchases'!$AM$4:$AM$30,MATCH(E568,'Item Purchases'!$B$4:$B$30,0))),"Uncategorised"))</f>
        <v>Beverages</v>
      </c>
      <c r="AH568" s="165">
        <f>IF(AND(E568&lt;&gt;"",L568=1),COUNTIFS($E$2:E568,E568,$L$2:L568,1),0)</f>
        <v>0</v>
      </c>
      <c r="AI568" s="165">
        <f t="shared" si="71"/>
        <v>0</v>
      </c>
      <c r="AJ568" s="165">
        <f t="shared" si="72"/>
        <v>0</v>
      </c>
    </row>
    <row r="569" spans="1:36" x14ac:dyDescent="0.25">
      <c r="A569" s="177">
        <f t="shared" ref="A569:A595" si="75">IF($Z$23="",0,$Z$23)</f>
        <v>0</v>
      </c>
      <c r="B569" s="178" t="str">
        <f t="shared" si="67"/>
        <v/>
      </c>
      <c r="C569" s="178" t="str">
        <f>'Pantry Inventory'!$A$132</f>
        <v>Sep Week 5</v>
      </c>
      <c r="D569" s="178" t="str">
        <f>IF('Pantry Inventory'!A135="","",'Pantry Inventory'!A135)</f>
        <v>Julie's</v>
      </c>
      <c r="E569" s="178" t="str">
        <f>IF('Pantry Inventory'!B135="","",'Pantry Inventory'!B135)</f>
        <v>Julie's Peanut Butter Sandwich 360g (12pkts x 30g)</v>
      </c>
      <c r="F569" s="178" t="str">
        <f>IF(E569="","",IFERROR(IF(INDEX('Item Purchases'!$S$4:$S$30,MATCH(E569,'Item Purchases'!$B$4:$B$30,0))="","Uncategorised",INDEX('Item Purchases'!$S$4:$S$30,MATCH(E569,'Item Purchases'!$B$4:$B$30,0))),"Uncategorised"))</f>
        <v>Sweet</v>
      </c>
      <c r="G569" s="178">
        <f>IF(E569="",0,'Pantry Inventory'!G135)</f>
        <v>0</v>
      </c>
      <c r="H569" s="178" t="str">
        <f>IF(E569="","",IF('Pantry Inventory'!H135="","",'Pantry Inventory'!H135))</f>
        <v/>
      </c>
      <c r="I569" s="178" t="str">
        <f>IF(H569="","",'Pantry Inventory'!I135)</f>
        <v/>
      </c>
      <c r="J569" s="179">
        <f>IF(E569="",0,IFERROR(INDEX('Item Purchases'!$Q$4:$Q$30,MATCH(E569,'Item Purchases'!$B$4:$B$30,0)),0))</f>
        <v>1.083</v>
      </c>
      <c r="K569" s="180" t="str">
        <f t="shared" si="68"/>
        <v/>
      </c>
      <c r="L569" s="178">
        <f t="shared" si="69"/>
        <v>0</v>
      </c>
      <c r="M569" s="178">
        <f>IF(E569="",0,IF(AND(OR(OR(Dashboard!$E$5="All",Dashboard!$E$5=""),AG569=Dashboard!$E$5),OR(OR(Dashboard!$H$5="All",Dashboard!$H$5=""),F569=Dashboard!$H$5),OR(OR(Dashboard!$B$5="All",Dashboard!$B$5=""),C569=Dashboard!$B$5),OR(OR(Dashboard!$K$5="All",Dashboard!$K$5=""),A569=Dashboard!$K$5),OR(OR(Dashboard!$N$5="All",Dashboard!$N$5=""),B569=Dashboard!$N$5),OR(OR(Dashboard!$Q$5="All",Dashboard!$Q$5=""),D569=Dashboard!$Q$5),OR(OR(Dashboard!$U$5="All",Dashboard!$U$5=""),E569=Dashboard!$U$5)),1,0))</f>
        <v>1</v>
      </c>
      <c r="N569" s="178">
        <f>IF(E569="",0,IF(AND(OR(OR(Dashboard!$E$5="All",Dashboard!$E$5=""),AG569=Dashboard!$E$5),OR(OR(Dashboard!$B$5="All",Dashboard!$B$5=""),C569=Dashboard!$B$5),OR(OR(Dashboard!$K$5="All",Dashboard!$K$5=""),A569=Dashboard!$K$5),OR(OR(Dashboard!$N$5="All",Dashboard!$N$5=""),B569=Dashboard!$N$5),OR(OR(Dashboard!$Q$5="All",Dashboard!$Q$5=""),D569=Dashboard!$Q$5),OR(OR(Dashboard!$U$5="All",Dashboard!$U$5=""),E569=Dashboard!$U$5)),1,0))</f>
        <v>1</v>
      </c>
      <c r="O569" s="165">
        <f t="shared" si="70"/>
        <v>0</v>
      </c>
      <c r="AG569" s="178" t="str">
        <f>IF(E569="","",IFERROR(IF(INDEX('Item Purchases'!$AM$4:$AM$30,MATCH(E569,'Item Purchases'!$B$4:$B$30,0))="","Uncategorised",INDEX('Item Purchases'!$AM$4:$AM$30,MATCH(E569,'Item Purchases'!$B$4:$B$30,0))),"Uncategorised"))</f>
        <v>Snacks</v>
      </c>
      <c r="AH569" s="165">
        <f>IF(AND(E569&lt;&gt;"",L569=1),COUNTIFS($E$2:E569,E569,$L$2:L569,1),0)</f>
        <v>0</v>
      </c>
      <c r="AI569" s="165">
        <f t="shared" si="71"/>
        <v>0</v>
      </c>
      <c r="AJ569" s="165">
        <f t="shared" si="72"/>
        <v>0</v>
      </c>
    </row>
    <row r="570" spans="1:36" x14ac:dyDescent="0.25">
      <c r="A570" s="177">
        <f t="shared" si="75"/>
        <v>0</v>
      </c>
      <c r="B570" s="178" t="str">
        <f t="shared" si="67"/>
        <v/>
      </c>
      <c r="C570" s="178" t="str">
        <f>'Pantry Inventory'!$A$132</f>
        <v>Sep Week 5</v>
      </c>
      <c r="D570" s="178" t="str">
        <f>IF('Pantry Inventory'!A136="","",'Pantry Inventory'!A136)</f>
        <v>Julie's</v>
      </c>
      <c r="E570" s="178" t="str">
        <f>IF('Pantry Inventory'!B136="","",'Pantry Inventory'!B136)</f>
        <v>Julies Butter Waffles</v>
      </c>
      <c r="F570" s="178" t="str">
        <f>IF(E570="","",IFERROR(IF(INDEX('Item Purchases'!$S$4:$S$30,MATCH(E570,'Item Purchases'!$B$4:$B$30,0))="","Uncategorised",INDEX('Item Purchases'!$S$4:$S$30,MATCH(E570,'Item Purchases'!$B$4:$B$30,0))),"Uncategorised"))</f>
        <v>Sweet</v>
      </c>
      <c r="G570" s="178">
        <f>IF(E570="",0,'Pantry Inventory'!G136)</f>
        <v>0</v>
      </c>
      <c r="H570" s="178" t="str">
        <f>IF(E570="","",IF('Pantry Inventory'!H136="","",'Pantry Inventory'!H136))</f>
        <v/>
      </c>
      <c r="I570" s="178" t="str">
        <f>IF(H570="","",'Pantry Inventory'!I136)</f>
        <v/>
      </c>
      <c r="J570" s="179">
        <f>IF(E570="",0,IFERROR(INDEX('Item Purchases'!$Q$4:$Q$30,MATCH(E570,'Item Purchases'!$B$4:$B$30,0)),0))</f>
        <v>5.15</v>
      </c>
      <c r="K570" s="180" t="str">
        <f t="shared" si="68"/>
        <v/>
      </c>
      <c r="L570" s="178">
        <f t="shared" si="69"/>
        <v>0</v>
      </c>
      <c r="M570" s="178">
        <f>IF(E570="",0,IF(AND(OR(OR(Dashboard!$E$5="All",Dashboard!$E$5=""),AG570=Dashboard!$E$5),OR(OR(Dashboard!$H$5="All",Dashboard!$H$5=""),F570=Dashboard!$H$5),OR(OR(Dashboard!$B$5="All",Dashboard!$B$5=""),C570=Dashboard!$B$5),OR(OR(Dashboard!$K$5="All",Dashboard!$K$5=""),A570=Dashboard!$K$5),OR(OR(Dashboard!$N$5="All",Dashboard!$N$5=""),B570=Dashboard!$N$5),OR(OR(Dashboard!$Q$5="All",Dashboard!$Q$5=""),D570=Dashboard!$Q$5),OR(OR(Dashboard!$U$5="All",Dashboard!$U$5=""),E570=Dashboard!$U$5)),1,0))</f>
        <v>1</v>
      </c>
      <c r="N570" s="178">
        <f>IF(E570="",0,IF(AND(OR(OR(Dashboard!$E$5="All",Dashboard!$E$5=""),AG570=Dashboard!$E$5),OR(OR(Dashboard!$B$5="All",Dashboard!$B$5=""),C570=Dashboard!$B$5),OR(OR(Dashboard!$K$5="All",Dashboard!$K$5=""),A570=Dashboard!$K$5),OR(OR(Dashboard!$N$5="All",Dashboard!$N$5=""),B570=Dashboard!$N$5),OR(OR(Dashboard!$Q$5="All",Dashboard!$Q$5=""),D570=Dashboard!$Q$5),OR(OR(Dashboard!$U$5="All",Dashboard!$U$5=""),E570=Dashboard!$U$5)),1,0))</f>
        <v>1</v>
      </c>
      <c r="O570" s="165">
        <f t="shared" si="70"/>
        <v>0</v>
      </c>
      <c r="AG570" s="178" t="str">
        <f>IF(E570="","",IFERROR(IF(INDEX('Item Purchases'!$AM$4:$AM$30,MATCH(E570,'Item Purchases'!$B$4:$B$30,0))="","Uncategorised",INDEX('Item Purchases'!$AM$4:$AM$30,MATCH(E570,'Item Purchases'!$B$4:$B$30,0))),"Uncategorised"))</f>
        <v>Snacks</v>
      </c>
      <c r="AH570" s="165">
        <f>IF(AND(E570&lt;&gt;"",L570=1),COUNTIFS($E$2:E570,E570,$L$2:L570,1),0)</f>
        <v>0</v>
      </c>
      <c r="AI570" s="165">
        <f t="shared" si="71"/>
        <v>0</v>
      </c>
      <c r="AJ570" s="165">
        <f t="shared" si="72"/>
        <v>0</v>
      </c>
    </row>
    <row r="571" spans="1:36" x14ac:dyDescent="0.25">
      <c r="A571" s="177">
        <f t="shared" si="75"/>
        <v>0</v>
      </c>
      <c r="B571" s="178" t="str">
        <f t="shared" si="67"/>
        <v/>
      </c>
      <c r="C571" s="178" t="str">
        <f>'Pantry Inventory'!$A$132</f>
        <v>Sep Week 5</v>
      </c>
      <c r="D571" s="178" t="str">
        <f>IF('Pantry Inventory'!A137="","",'Pantry Inventory'!A137)</f>
        <v>Julie's</v>
      </c>
      <c r="E571" s="178" t="str">
        <f>IF('Pantry Inventory'!B137="","",'Pantry Inventory'!B137)</f>
        <v>Julies Choco More Sandwich (44G)</v>
      </c>
      <c r="F571" s="178" t="str">
        <f>IF(E571="","",IFERROR(IF(INDEX('Item Purchases'!$S$4:$S$30,MATCH(E571,'Item Purchases'!$B$4:$B$30,0))="","Uncategorised",INDEX('Item Purchases'!$S$4:$S$30,MATCH(E571,'Item Purchases'!$B$4:$B$30,0))),"Uncategorised"))</f>
        <v>Sweet</v>
      </c>
      <c r="G571" s="178">
        <f>IF(E571="",0,'Pantry Inventory'!G137)</f>
        <v>0</v>
      </c>
      <c r="H571" s="178" t="str">
        <f>IF(E571="","",IF('Pantry Inventory'!H137="","",'Pantry Inventory'!H137))</f>
        <v/>
      </c>
      <c r="I571" s="178" t="str">
        <f>IF(H571="","",'Pantry Inventory'!I137)</f>
        <v/>
      </c>
      <c r="J571" s="179">
        <f>IF(E571="",0,IFERROR(INDEX('Item Purchases'!$Q$4:$Q$30,MATCH(E571,'Item Purchases'!$B$4:$B$30,0)),0))</f>
        <v>1.2</v>
      </c>
      <c r="K571" s="180" t="str">
        <f t="shared" si="68"/>
        <v/>
      </c>
      <c r="L571" s="178">
        <f t="shared" si="69"/>
        <v>0</v>
      </c>
      <c r="M571" s="178">
        <f>IF(E571="",0,IF(AND(OR(OR(Dashboard!$E$5="All",Dashboard!$E$5=""),AG571=Dashboard!$E$5),OR(OR(Dashboard!$H$5="All",Dashboard!$H$5=""),F571=Dashboard!$H$5),OR(OR(Dashboard!$B$5="All",Dashboard!$B$5=""),C571=Dashboard!$B$5),OR(OR(Dashboard!$K$5="All",Dashboard!$K$5=""),A571=Dashboard!$K$5),OR(OR(Dashboard!$N$5="All",Dashboard!$N$5=""),B571=Dashboard!$N$5),OR(OR(Dashboard!$Q$5="All",Dashboard!$Q$5=""),D571=Dashboard!$Q$5),OR(OR(Dashboard!$U$5="All",Dashboard!$U$5=""),E571=Dashboard!$U$5)),1,0))</f>
        <v>1</v>
      </c>
      <c r="N571" s="178">
        <f>IF(E571="",0,IF(AND(OR(OR(Dashboard!$E$5="All",Dashboard!$E$5=""),AG571=Dashboard!$E$5),OR(OR(Dashboard!$B$5="All",Dashboard!$B$5=""),C571=Dashboard!$B$5),OR(OR(Dashboard!$K$5="All",Dashboard!$K$5=""),A571=Dashboard!$K$5),OR(OR(Dashboard!$N$5="All",Dashboard!$N$5=""),B571=Dashboard!$N$5),OR(OR(Dashboard!$Q$5="All",Dashboard!$Q$5=""),D571=Dashboard!$Q$5),OR(OR(Dashboard!$U$5="All",Dashboard!$U$5=""),E571=Dashboard!$U$5)),1,0))</f>
        <v>1</v>
      </c>
      <c r="O571" s="165">
        <f t="shared" si="70"/>
        <v>0</v>
      </c>
      <c r="AG571" s="178" t="str">
        <f>IF(E571="","",IFERROR(IF(INDEX('Item Purchases'!$AM$4:$AM$30,MATCH(E571,'Item Purchases'!$B$4:$B$30,0))="","Uncategorised",INDEX('Item Purchases'!$AM$4:$AM$30,MATCH(E571,'Item Purchases'!$B$4:$B$30,0))),"Uncategorised"))</f>
        <v>Snacks</v>
      </c>
      <c r="AH571" s="165">
        <f>IF(AND(E571&lt;&gt;"",L571=1),COUNTIFS($E$2:E571,E571,$L$2:L571,1),0)</f>
        <v>0</v>
      </c>
      <c r="AI571" s="165">
        <f t="shared" si="71"/>
        <v>0</v>
      </c>
      <c r="AJ571" s="165">
        <f t="shared" si="72"/>
        <v>0</v>
      </c>
    </row>
    <row r="572" spans="1:36" x14ac:dyDescent="0.25">
      <c r="A572" s="177">
        <f t="shared" si="75"/>
        <v>0</v>
      </c>
      <c r="B572" s="178" t="str">
        <f t="shared" si="67"/>
        <v/>
      </c>
      <c r="C572" s="178" t="str">
        <f>'Pantry Inventory'!$A$132</f>
        <v>Sep Week 5</v>
      </c>
      <c r="D572" s="178" t="str">
        <f>IF('Pantry Inventory'!A138="","",'Pantry Inventory'!A138)</f>
        <v>Julie's</v>
      </c>
      <c r="E572" s="178" t="str">
        <f>IF('Pantry Inventory'!B138="","",'Pantry Inventory'!B138)</f>
        <v>Julies Cheese Sandwich (28G)</v>
      </c>
      <c r="F572" s="178" t="str">
        <f>IF(E572="","",IFERROR(IF(INDEX('Item Purchases'!$S$4:$S$30,MATCH(E572,'Item Purchases'!$B$4:$B$30,0))="","Uncategorised",INDEX('Item Purchases'!$S$4:$S$30,MATCH(E572,'Item Purchases'!$B$4:$B$30,0))),"Uncategorised"))</f>
        <v>Savoury</v>
      </c>
      <c r="G572" s="178">
        <f>IF(E572="",0,'Pantry Inventory'!G138)</f>
        <v>0</v>
      </c>
      <c r="H572" s="178" t="str">
        <f>IF(E572="","",IF('Pantry Inventory'!H138="","",'Pantry Inventory'!H138))</f>
        <v/>
      </c>
      <c r="I572" s="178" t="str">
        <f>IF(H572="","",'Pantry Inventory'!I138)</f>
        <v/>
      </c>
      <c r="J572" s="179">
        <f>IF(E572="",0,IFERROR(INDEX('Item Purchases'!$Q$4:$Q$30,MATCH(E572,'Item Purchases'!$B$4:$B$30,0)),0))</f>
        <v>1.1000000000000001</v>
      </c>
      <c r="K572" s="180" t="str">
        <f t="shared" si="68"/>
        <v/>
      </c>
      <c r="L572" s="178">
        <f t="shared" si="69"/>
        <v>0</v>
      </c>
      <c r="M572" s="178">
        <f>IF(E572="",0,IF(AND(OR(OR(Dashboard!$E$5="All",Dashboard!$E$5=""),AG572=Dashboard!$E$5),OR(OR(Dashboard!$H$5="All",Dashboard!$H$5=""),F572=Dashboard!$H$5),OR(OR(Dashboard!$B$5="All",Dashboard!$B$5=""),C572=Dashboard!$B$5),OR(OR(Dashboard!$K$5="All",Dashboard!$K$5=""),A572=Dashboard!$K$5),OR(OR(Dashboard!$N$5="All",Dashboard!$N$5=""),B572=Dashboard!$N$5),OR(OR(Dashboard!$Q$5="All",Dashboard!$Q$5=""),D572=Dashboard!$Q$5),OR(OR(Dashboard!$U$5="All",Dashboard!$U$5=""),E572=Dashboard!$U$5)),1,0))</f>
        <v>1</v>
      </c>
      <c r="N572" s="178">
        <f>IF(E572="",0,IF(AND(OR(OR(Dashboard!$E$5="All",Dashboard!$E$5=""),AG572=Dashboard!$E$5),OR(OR(Dashboard!$B$5="All",Dashboard!$B$5=""),C572=Dashboard!$B$5),OR(OR(Dashboard!$K$5="All",Dashboard!$K$5=""),A572=Dashboard!$K$5),OR(OR(Dashboard!$N$5="All",Dashboard!$N$5=""),B572=Dashboard!$N$5),OR(OR(Dashboard!$Q$5="All",Dashboard!$Q$5=""),D572=Dashboard!$Q$5),OR(OR(Dashboard!$U$5="All",Dashboard!$U$5=""),E572=Dashboard!$U$5)),1,0))</f>
        <v>1</v>
      </c>
      <c r="O572" s="165">
        <f t="shared" si="70"/>
        <v>0</v>
      </c>
      <c r="AG572" s="178" t="str">
        <f>IF(E572="","",IFERROR(IF(INDEX('Item Purchases'!$AM$4:$AM$30,MATCH(E572,'Item Purchases'!$B$4:$B$30,0))="","Uncategorised",INDEX('Item Purchases'!$AM$4:$AM$30,MATCH(E572,'Item Purchases'!$B$4:$B$30,0))),"Uncategorised"))</f>
        <v>Snacks</v>
      </c>
      <c r="AH572" s="165">
        <f>IF(AND(E572&lt;&gt;"",L572=1),COUNTIFS($E$2:E572,E572,$L$2:L572,1),0)</f>
        <v>0</v>
      </c>
      <c r="AI572" s="165">
        <f t="shared" si="71"/>
        <v>0</v>
      </c>
      <c r="AJ572" s="165">
        <f t="shared" si="72"/>
        <v>0</v>
      </c>
    </row>
    <row r="573" spans="1:36" x14ac:dyDescent="0.25">
      <c r="A573" s="177">
        <f t="shared" si="75"/>
        <v>0</v>
      </c>
      <c r="B573" s="178" t="str">
        <f t="shared" si="67"/>
        <v/>
      </c>
      <c r="C573" s="178" t="str">
        <f>'Pantry Inventory'!$A$132</f>
        <v>Sep Week 5</v>
      </c>
      <c r="D573" s="178" t="str">
        <f>IF('Pantry Inventory'!A139="","",'Pantry Inventory'!A139)</f>
        <v>Nature Valley</v>
      </c>
      <c r="E573" s="178" t="str">
        <f>IF('Pantry Inventory'!B139="","",'Pantry Inventory'!B139)</f>
        <v>NV OATS &amp; DARK CHOC 42GX5</v>
      </c>
      <c r="F573" s="178" t="str">
        <f>IF(E573="","",IFERROR(IF(INDEX('Item Purchases'!$S$4:$S$30,MATCH(E573,'Item Purchases'!$B$4:$B$30,0))="","Uncategorised",INDEX('Item Purchases'!$S$4:$S$30,MATCH(E573,'Item Purchases'!$B$4:$B$30,0))),"Uncategorised"))</f>
        <v>Sweet</v>
      </c>
      <c r="G573" s="178">
        <f>IF(E573="",0,'Pantry Inventory'!G139)</f>
        <v>0</v>
      </c>
      <c r="H573" s="178" t="str">
        <f>IF(E573="","",IF('Pantry Inventory'!H139="","",'Pantry Inventory'!H139))</f>
        <v/>
      </c>
      <c r="I573" s="178" t="str">
        <f>IF(H573="","",'Pantry Inventory'!I139)</f>
        <v/>
      </c>
      <c r="J573" s="179">
        <f>IF(E573="",0,IFERROR(INDEX('Item Purchases'!$Q$4:$Q$30,MATCH(E573,'Item Purchases'!$B$4:$B$30,0)),0))</f>
        <v>2.78</v>
      </c>
      <c r="K573" s="180" t="str">
        <f t="shared" si="68"/>
        <v/>
      </c>
      <c r="L573" s="178">
        <f t="shared" si="69"/>
        <v>0</v>
      </c>
      <c r="M573" s="178">
        <f>IF(E573="",0,IF(AND(OR(OR(Dashboard!$E$5="All",Dashboard!$E$5=""),AG573=Dashboard!$E$5),OR(OR(Dashboard!$H$5="All",Dashboard!$H$5=""),F573=Dashboard!$H$5),OR(OR(Dashboard!$B$5="All",Dashboard!$B$5=""),C573=Dashboard!$B$5),OR(OR(Dashboard!$K$5="All",Dashboard!$K$5=""),A573=Dashboard!$K$5),OR(OR(Dashboard!$N$5="All",Dashboard!$N$5=""),B573=Dashboard!$N$5),OR(OR(Dashboard!$Q$5="All",Dashboard!$Q$5=""),D573=Dashboard!$Q$5),OR(OR(Dashboard!$U$5="All",Dashboard!$U$5=""),E573=Dashboard!$U$5)),1,0))</f>
        <v>1</v>
      </c>
      <c r="N573" s="178">
        <f>IF(E573="",0,IF(AND(OR(OR(Dashboard!$E$5="All",Dashboard!$E$5=""),AG573=Dashboard!$E$5),OR(OR(Dashboard!$B$5="All",Dashboard!$B$5=""),C573=Dashboard!$B$5),OR(OR(Dashboard!$K$5="All",Dashboard!$K$5=""),A573=Dashboard!$K$5),OR(OR(Dashboard!$N$5="All",Dashboard!$N$5=""),B573=Dashboard!$N$5),OR(OR(Dashboard!$Q$5="All",Dashboard!$Q$5=""),D573=Dashboard!$Q$5),OR(OR(Dashboard!$U$5="All",Dashboard!$U$5=""),E573=Dashboard!$U$5)),1,0))</f>
        <v>1</v>
      </c>
      <c r="O573" s="165">
        <f t="shared" si="70"/>
        <v>0</v>
      </c>
      <c r="AG573" s="178" t="str">
        <f>IF(E573="","",IFERROR(IF(INDEX('Item Purchases'!$AM$4:$AM$30,MATCH(E573,'Item Purchases'!$B$4:$B$30,0))="","Uncategorised",INDEX('Item Purchases'!$AM$4:$AM$30,MATCH(E573,'Item Purchases'!$B$4:$B$30,0))),"Uncategorised"))</f>
        <v>Snacks</v>
      </c>
      <c r="AH573" s="165">
        <f>IF(AND(E573&lt;&gt;"",L573=1),COUNTIFS($E$2:E573,E573,$L$2:L573,1),0)</f>
        <v>0</v>
      </c>
      <c r="AI573" s="165">
        <f t="shared" si="71"/>
        <v>0</v>
      </c>
      <c r="AJ573" s="165">
        <f t="shared" si="72"/>
        <v>0</v>
      </c>
    </row>
    <row r="574" spans="1:36" x14ac:dyDescent="0.25">
      <c r="A574" s="177">
        <f t="shared" si="75"/>
        <v>0</v>
      </c>
      <c r="B574" s="178" t="str">
        <f t="shared" si="67"/>
        <v/>
      </c>
      <c r="C574" s="178" t="str">
        <f>'Pantry Inventory'!$A$132</f>
        <v>Sep Week 5</v>
      </c>
      <c r="D574" s="178" t="str">
        <f>IF('Pantry Inventory'!A140="","",'Pantry Inventory'!A140)</f>
        <v>Nature Valley</v>
      </c>
      <c r="E574" s="178" t="str">
        <f>IF('Pantry Inventory'!B140="","",'Pantry Inventory'!B140)</f>
        <v xml:space="preserve">NV PROTEIN - SALTED CARAMEL 40G </v>
      </c>
      <c r="F574" s="178" t="str">
        <f>IF(E574="","",IFERROR(IF(INDEX('Item Purchases'!$S$4:$S$30,MATCH(E574,'Item Purchases'!$B$4:$B$30,0))="","Uncategorised",INDEX('Item Purchases'!$S$4:$S$30,MATCH(E574,'Item Purchases'!$B$4:$B$30,0))),"Uncategorised"))</f>
        <v>Sweet</v>
      </c>
      <c r="G574" s="178">
        <f>IF(E574="",0,'Pantry Inventory'!G140)</f>
        <v>0</v>
      </c>
      <c r="H574" s="178" t="str">
        <f>IF(E574="","",IF('Pantry Inventory'!H140="","",'Pantry Inventory'!H140))</f>
        <v/>
      </c>
      <c r="I574" s="178" t="str">
        <f>IF(H574="","",'Pantry Inventory'!I140)</f>
        <v/>
      </c>
      <c r="J574" s="179">
        <f>IF(E574="",0,IFERROR(INDEX('Item Purchases'!$Q$4:$Q$30,MATCH(E574,'Item Purchases'!$B$4:$B$30,0)),0))</f>
        <v>4.9000000000000004</v>
      </c>
      <c r="K574" s="180" t="str">
        <f t="shared" si="68"/>
        <v/>
      </c>
      <c r="L574" s="178">
        <f t="shared" si="69"/>
        <v>0</v>
      </c>
      <c r="M574" s="178">
        <f>IF(E574="",0,IF(AND(OR(OR(Dashboard!$E$5="All",Dashboard!$E$5=""),AG574=Dashboard!$E$5),OR(OR(Dashboard!$H$5="All",Dashboard!$H$5=""),F574=Dashboard!$H$5),OR(OR(Dashboard!$B$5="All",Dashboard!$B$5=""),C574=Dashboard!$B$5),OR(OR(Dashboard!$K$5="All",Dashboard!$K$5=""),A574=Dashboard!$K$5),OR(OR(Dashboard!$N$5="All",Dashboard!$N$5=""),B574=Dashboard!$N$5),OR(OR(Dashboard!$Q$5="All",Dashboard!$Q$5=""),D574=Dashboard!$Q$5),OR(OR(Dashboard!$U$5="All",Dashboard!$U$5=""),E574=Dashboard!$U$5)),1,0))</f>
        <v>1</v>
      </c>
      <c r="N574" s="178">
        <f>IF(E574="",0,IF(AND(OR(OR(Dashboard!$E$5="All",Dashboard!$E$5=""),AG574=Dashboard!$E$5),OR(OR(Dashboard!$B$5="All",Dashboard!$B$5=""),C574=Dashboard!$B$5),OR(OR(Dashboard!$K$5="All",Dashboard!$K$5=""),A574=Dashboard!$K$5),OR(OR(Dashboard!$N$5="All",Dashboard!$N$5=""),B574=Dashboard!$N$5),OR(OR(Dashboard!$Q$5="All",Dashboard!$Q$5=""),D574=Dashboard!$Q$5),OR(OR(Dashboard!$U$5="All",Dashboard!$U$5=""),E574=Dashboard!$U$5)),1,0))</f>
        <v>1</v>
      </c>
      <c r="O574" s="165">
        <f t="shared" si="70"/>
        <v>0</v>
      </c>
      <c r="AG574" s="178" t="str">
        <f>IF(E574="","",IFERROR(IF(INDEX('Item Purchases'!$AM$4:$AM$30,MATCH(E574,'Item Purchases'!$B$4:$B$30,0))="","Uncategorised",INDEX('Item Purchases'!$AM$4:$AM$30,MATCH(E574,'Item Purchases'!$B$4:$B$30,0))),"Uncategorised"))</f>
        <v>Snacks</v>
      </c>
      <c r="AH574" s="165">
        <f>IF(AND(E574&lt;&gt;"",L574=1),COUNTIFS($E$2:E574,E574,$L$2:L574,1),0)</f>
        <v>0</v>
      </c>
      <c r="AI574" s="165">
        <f t="shared" si="71"/>
        <v>0</v>
      </c>
      <c r="AJ574" s="165">
        <f t="shared" si="72"/>
        <v>0</v>
      </c>
    </row>
    <row r="575" spans="1:36" x14ac:dyDescent="0.25">
      <c r="A575" s="177">
        <f t="shared" si="75"/>
        <v>0</v>
      </c>
      <c r="B575" s="178" t="str">
        <f t="shared" si="67"/>
        <v/>
      </c>
      <c r="C575" s="178" t="str">
        <f>'Pantry Inventory'!$A$132</f>
        <v>Sep Week 5</v>
      </c>
      <c r="D575" s="178" t="str">
        <f>IF('Pantry Inventory'!A141="","",'Pantry Inventory'!A141)</f>
        <v>BBMG</v>
      </c>
      <c r="E575" s="178" t="str">
        <f>IF('Pantry Inventory'!B141="","",'Pantry Inventory'!B141)</f>
        <v>BBMG 90G</v>
      </c>
      <c r="F575" s="178" t="str">
        <f>IF(E575="","",IFERROR(IF(INDEX('Item Purchases'!$S$4:$S$30,MATCH(E575,'Item Purchases'!$B$4:$B$30,0))="","Uncategorised",INDEX('Item Purchases'!$S$4:$S$30,MATCH(E575,'Item Purchases'!$B$4:$B$30,0))),"Uncategorised"))</f>
        <v>Savoury</v>
      </c>
      <c r="G575" s="178">
        <f>IF(E575="",0,'Pantry Inventory'!G141)</f>
        <v>0</v>
      </c>
      <c r="H575" s="178" t="str">
        <f>IF(E575="","",IF('Pantry Inventory'!H141="","",'Pantry Inventory'!H141))</f>
        <v/>
      </c>
      <c r="I575" s="178" t="str">
        <f>IF(H575="","",'Pantry Inventory'!I141)</f>
        <v/>
      </c>
      <c r="J575" s="179">
        <f>IF(E575="",0,IFERROR(INDEX('Item Purchases'!$Q$4:$Q$30,MATCH(E575,'Item Purchases'!$B$4:$B$30,0)),0))</f>
        <v>0.34300000000000003</v>
      </c>
      <c r="K575" s="180" t="str">
        <f t="shared" si="68"/>
        <v/>
      </c>
      <c r="L575" s="178">
        <f t="shared" si="69"/>
        <v>0</v>
      </c>
      <c r="M575" s="178">
        <f>IF(E575="",0,IF(AND(OR(OR(Dashboard!$E$5="All",Dashboard!$E$5=""),AG575=Dashboard!$E$5),OR(OR(Dashboard!$H$5="All",Dashboard!$H$5=""),F575=Dashboard!$H$5),OR(OR(Dashboard!$B$5="All",Dashboard!$B$5=""),C575=Dashboard!$B$5),OR(OR(Dashboard!$K$5="All",Dashboard!$K$5=""),A575=Dashboard!$K$5),OR(OR(Dashboard!$N$5="All",Dashboard!$N$5=""),B575=Dashboard!$N$5),OR(OR(Dashboard!$Q$5="All",Dashboard!$Q$5=""),D575=Dashboard!$Q$5),OR(OR(Dashboard!$U$5="All",Dashboard!$U$5=""),E575=Dashboard!$U$5)),1,0))</f>
        <v>1</v>
      </c>
      <c r="N575" s="178">
        <f>IF(E575="",0,IF(AND(OR(OR(Dashboard!$E$5="All",Dashboard!$E$5=""),AG575=Dashboard!$E$5),OR(OR(Dashboard!$B$5="All",Dashboard!$B$5=""),C575=Dashboard!$B$5),OR(OR(Dashboard!$K$5="All",Dashboard!$K$5=""),A575=Dashboard!$K$5),OR(OR(Dashboard!$N$5="All",Dashboard!$N$5=""),B575=Dashboard!$N$5),OR(OR(Dashboard!$Q$5="All",Dashboard!$Q$5=""),D575=Dashboard!$Q$5),OR(OR(Dashboard!$U$5="All",Dashboard!$U$5=""),E575=Dashboard!$U$5)),1,0))</f>
        <v>1</v>
      </c>
      <c r="O575" s="165">
        <f t="shared" si="70"/>
        <v>0</v>
      </c>
      <c r="AG575" s="178" t="str">
        <f>IF(E575="","",IFERROR(IF(INDEX('Item Purchases'!$AM$4:$AM$30,MATCH(E575,'Item Purchases'!$B$4:$B$30,0))="","Uncategorised",INDEX('Item Purchases'!$AM$4:$AM$30,MATCH(E575,'Item Purchases'!$B$4:$B$30,0))),"Uncategorised"))</f>
        <v>Snacks</v>
      </c>
      <c r="AH575" s="165">
        <f>IF(AND(E575&lt;&gt;"",L575=1),COUNTIFS($E$2:E575,E575,$L$2:L575,1),0)</f>
        <v>0</v>
      </c>
      <c r="AI575" s="165">
        <f t="shared" si="71"/>
        <v>0</v>
      </c>
      <c r="AJ575" s="165">
        <f t="shared" si="72"/>
        <v>0</v>
      </c>
    </row>
    <row r="576" spans="1:36" x14ac:dyDescent="0.25">
      <c r="A576" s="177">
        <f t="shared" si="75"/>
        <v>0</v>
      </c>
      <c r="B576" s="178" t="str">
        <f t="shared" si="67"/>
        <v/>
      </c>
      <c r="C576" s="178" t="str">
        <f>'Pantry Inventory'!$A$132</f>
        <v>Sep Week 5</v>
      </c>
      <c r="D576" s="178" t="str">
        <f>IF('Pantry Inventory'!A142="","",'Pantry Inventory'!A142)</f>
        <v>Lays</v>
      </c>
      <c r="E576" s="178" t="str">
        <f>IF('Pantry Inventory'!B142="","",'Pantry Inventory'!B142)</f>
        <v>Lays Potato Chips (Original) 50g</v>
      </c>
      <c r="F576" s="178" t="str">
        <f>IF(E576="","",IFERROR(IF(INDEX('Item Purchases'!$S$4:$S$30,MATCH(E576,'Item Purchases'!$B$4:$B$30,0))="","Uncategorised",INDEX('Item Purchases'!$S$4:$S$30,MATCH(E576,'Item Purchases'!$B$4:$B$30,0))),"Uncategorised"))</f>
        <v>Savoury</v>
      </c>
      <c r="G576" s="178">
        <f>IF(E576="",0,'Pantry Inventory'!G142)</f>
        <v>0</v>
      </c>
      <c r="H576" s="178" t="str">
        <f>IF(E576="","",IF('Pantry Inventory'!H142="","",'Pantry Inventory'!H142))</f>
        <v/>
      </c>
      <c r="I576" s="178" t="str">
        <f>IF(H576="","",'Pantry Inventory'!I142)</f>
        <v/>
      </c>
      <c r="J576" s="179">
        <f>IF(E576="",0,IFERROR(INDEX('Item Purchases'!$Q$4:$Q$30,MATCH(E576,'Item Purchases'!$B$4:$B$30,0)),0))</f>
        <v>3.4580000000000002</v>
      </c>
      <c r="K576" s="180" t="str">
        <f t="shared" si="68"/>
        <v/>
      </c>
      <c r="L576" s="178">
        <f t="shared" si="69"/>
        <v>0</v>
      </c>
      <c r="M576" s="178">
        <f>IF(E576="",0,IF(AND(OR(OR(Dashboard!$E$5="All",Dashboard!$E$5=""),AG576=Dashboard!$E$5),OR(OR(Dashboard!$H$5="All",Dashboard!$H$5=""),F576=Dashboard!$H$5),OR(OR(Dashboard!$B$5="All",Dashboard!$B$5=""),C576=Dashboard!$B$5),OR(OR(Dashboard!$K$5="All",Dashboard!$K$5=""),A576=Dashboard!$K$5),OR(OR(Dashboard!$N$5="All",Dashboard!$N$5=""),B576=Dashboard!$N$5),OR(OR(Dashboard!$Q$5="All",Dashboard!$Q$5=""),D576=Dashboard!$Q$5),OR(OR(Dashboard!$U$5="All",Dashboard!$U$5=""),E576=Dashboard!$U$5)),1,0))</f>
        <v>1</v>
      </c>
      <c r="N576" s="178">
        <f>IF(E576="",0,IF(AND(OR(OR(Dashboard!$E$5="All",Dashboard!$E$5=""),AG576=Dashboard!$E$5),OR(OR(Dashboard!$B$5="All",Dashboard!$B$5=""),C576=Dashboard!$B$5),OR(OR(Dashboard!$K$5="All",Dashboard!$K$5=""),A576=Dashboard!$K$5),OR(OR(Dashboard!$N$5="All",Dashboard!$N$5=""),B576=Dashboard!$N$5),OR(OR(Dashboard!$Q$5="All",Dashboard!$Q$5=""),D576=Dashboard!$Q$5),OR(OR(Dashboard!$U$5="All",Dashboard!$U$5=""),E576=Dashboard!$U$5)),1,0))</f>
        <v>1</v>
      </c>
      <c r="O576" s="165">
        <f t="shared" si="70"/>
        <v>0</v>
      </c>
      <c r="AG576" s="178" t="str">
        <f>IF(E576="","",IFERROR(IF(INDEX('Item Purchases'!$AM$4:$AM$30,MATCH(E576,'Item Purchases'!$B$4:$B$30,0))="","Uncategorised",INDEX('Item Purchases'!$AM$4:$AM$30,MATCH(E576,'Item Purchases'!$B$4:$B$30,0))),"Uncategorised"))</f>
        <v>Snacks</v>
      </c>
      <c r="AH576" s="165">
        <f>IF(AND(E576&lt;&gt;"",L576=1),COUNTIFS($E$2:E576,E576,$L$2:L576,1),0)</f>
        <v>0</v>
      </c>
      <c r="AI576" s="165">
        <f t="shared" si="71"/>
        <v>0</v>
      </c>
      <c r="AJ576" s="165">
        <f t="shared" si="72"/>
        <v>0</v>
      </c>
    </row>
    <row r="577" spans="1:36" x14ac:dyDescent="0.25">
      <c r="A577" s="177">
        <f t="shared" si="75"/>
        <v>0</v>
      </c>
      <c r="B577" s="178" t="str">
        <f t="shared" si="67"/>
        <v/>
      </c>
      <c r="C577" s="178" t="str">
        <f>'Pantry Inventory'!$A$132</f>
        <v>Sep Week 5</v>
      </c>
      <c r="D577" s="178" t="str">
        <f>IF('Pantry Inventory'!A143="","",'Pantry Inventory'!A143)</f>
        <v>Lays</v>
      </c>
      <c r="E577" s="178" t="str">
        <f>IF('Pantry Inventory'!B143="","",'Pantry Inventory'!B143)</f>
        <v xml:space="preserve">Lays Double Crunch - Seaweed Flav (50g) </v>
      </c>
      <c r="F577" s="178" t="str">
        <f>IF(E577="","",IFERROR(IF(INDEX('Item Purchases'!$S$4:$S$30,MATCH(E577,'Item Purchases'!$B$4:$B$30,0))="","Uncategorised",INDEX('Item Purchases'!$S$4:$S$30,MATCH(E577,'Item Purchases'!$B$4:$B$30,0))),"Uncategorised"))</f>
        <v>Savoury</v>
      </c>
      <c r="G577" s="178">
        <f>IF(E577="",0,'Pantry Inventory'!G143)</f>
        <v>0</v>
      </c>
      <c r="H577" s="178" t="str">
        <f>IF(E577="","",IF('Pantry Inventory'!H143="","",'Pantry Inventory'!H143))</f>
        <v/>
      </c>
      <c r="I577" s="178" t="str">
        <f>IF(H577="","",'Pantry Inventory'!I143)</f>
        <v/>
      </c>
      <c r="J577" s="179">
        <f>IF(E577="",0,IFERROR(INDEX('Item Purchases'!$Q$4:$Q$30,MATCH(E577,'Item Purchases'!$B$4:$B$30,0)),0))</f>
        <v>4</v>
      </c>
      <c r="K577" s="180" t="str">
        <f t="shared" si="68"/>
        <v/>
      </c>
      <c r="L577" s="178">
        <f t="shared" si="69"/>
        <v>0</v>
      </c>
      <c r="M577" s="178">
        <f>IF(E577="",0,IF(AND(OR(OR(Dashboard!$E$5="All",Dashboard!$E$5=""),AG577=Dashboard!$E$5),OR(OR(Dashboard!$H$5="All",Dashboard!$H$5=""),F577=Dashboard!$H$5),OR(OR(Dashboard!$B$5="All",Dashboard!$B$5=""),C577=Dashboard!$B$5),OR(OR(Dashboard!$K$5="All",Dashboard!$K$5=""),A577=Dashboard!$K$5),OR(OR(Dashboard!$N$5="All",Dashboard!$N$5=""),B577=Dashboard!$N$5),OR(OR(Dashboard!$Q$5="All",Dashboard!$Q$5=""),D577=Dashboard!$Q$5),OR(OR(Dashboard!$U$5="All",Dashboard!$U$5=""),E577=Dashboard!$U$5)),1,0))</f>
        <v>1</v>
      </c>
      <c r="N577" s="178">
        <f>IF(E577="",0,IF(AND(OR(OR(Dashboard!$E$5="All",Dashboard!$E$5=""),AG577=Dashboard!$E$5),OR(OR(Dashboard!$B$5="All",Dashboard!$B$5=""),C577=Dashboard!$B$5),OR(OR(Dashboard!$K$5="All",Dashboard!$K$5=""),A577=Dashboard!$K$5),OR(OR(Dashboard!$N$5="All",Dashboard!$N$5=""),B577=Dashboard!$N$5),OR(OR(Dashboard!$Q$5="All",Dashboard!$Q$5=""),D577=Dashboard!$Q$5),OR(OR(Dashboard!$U$5="All",Dashboard!$U$5=""),E577=Dashboard!$U$5)),1,0))</f>
        <v>1</v>
      </c>
      <c r="O577" s="165">
        <f t="shared" si="70"/>
        <v>0</v>
      </c>
      <c r="AG577" s="178" t="str">
        <f>IF(E577="","",IFERROR(IF(INDEX('Item Purchases'!$AM$4:$AM$30,MATCH(E577,'Item Purchases'!$B$4:$B$30,0))="","Uncategorised",INDEX('Item Purchases'!$AM$4:$AM$30,MATCH(E577,'Item Purchases'!$B$4:$B$30,0))),"Uncategorised"))</f>
        <v>Snacks</v>
      </c>
      <c r="AH577" s="165">
        <f>IF(AND(E577&lt;&gt;"",L577=1),COUNTIFS($E$2:E577,E577,$L$2:L577,1),0)</f>
        <v>0</v>
      </c>
      <c r="AI577" s="165">
        <f t="shared" si="71"/>
        <v>0</v>
      </c>
      <c r="AJ577" s="165">
        <f t="shared" si="72"/>
        <v>0</v>
      </c>
    </row>
    <row r="578" spans="1:36" x14ac:dyDescent="0.25">
      <c r="A578" s="177">
        <f t="shared" si="75"/>
        <v>0</v>
      </c>
      <c r="B578" s="178" t="str">
        <f t="shared" ref="B578:B641" si="76">IF(A578=0,"",CHOOSE(WEEKDAY(A578,2),"Mon","Tue","Wed","Thu","Fri","Sat","Sun"))</f>
        <v/>
      </c>
      <c r="C578" s="178" t="str">
        <f>'Pantry Inventory'!$A$132</f>
        <v>Sep Week 5</v>
      </c>
      <c r="D578" s="178" t="str">
        <f>IF('Pantry Inventory'!A144="","",'Pantry Inventory'!A144)</f>
        <v>Munchy</v>
      </c>
      <c r="E578" s="178" t="str">
        <f>IF('Pantry Inventory'!B144="","",'Pantry Inventory'!B144)</f>
        <v>Munchy Oat Krunch - Dark Choco</v>
      </c>
      <c r="F578" s="178" t="str">
        <f>IF(E578="","",IFERROR(IF(INDEX('Item Purchases'!$S$4:$S$30,MATCH(E578,'Item Purchases'!$B$4:$B$30,0))="","Uncategorised",INDEX('Item Purchases'!$S$4:$S$30,MATCH(E578,'Item Purchases'!$B$4:$B$30,0))),"Uncategorised"))</f>
        <v>Sweet</v>
      </c>
      <c r="G578" s="178">
        <f>IF(E578="",0,'Pantry Inventory'!G144)</f>
        <v>0</v>
      </c>
      <c r="H578" s="178" t="str">
        <f>IF(E578="","",IF('Pantry Inventory'!H144="","",'Pantry Inventory'!H144))</f>
        <v/>
      </c>
      <c r="I578" s="178" t="str">
        <f>IF(H578="","",'Pantry Inventory'!I144)</f>
        <v/>
      </c>
      <c r="J578" s="179">
        <f>IF(E578="",0,IFERROR(INDEX('Item Purchases'!$Q$4:$Q$30,MATCH(E578,'Item Purchases'!$B$4:$B$30,0)),0))</f>
        <v>0.73</v>
      </c>
      <c r="K578" s="180" t="str">
        <f t="shared" ref="K578:K641" si="77">IF(I578="","",I578*J578)</f>
        <v/>
      </c>
      <c r="L578" s="178">
        <f t="shared" ref="L578:L641" si="78">IF(H578="",0,1)</f>
        <v>0</v>
      </c>
      <c r="M578" s="178">
        <f>IF(E578="",0,IF(AND(OR(OR(Dashboard!$E$5="All",Dashboard!$E$5=""),AG578=Dashboard!$E$5),OR(OR(Dashboard!$H$5="All",Dashboard!$H$5=""),F578=Dashboard!$H$5),OR(OR(Dashboard!$B$5="All",Dashboard!$B$5=""),C578=Dashboard!$B$5),OR(OR(Dashboard!$K$5="All",Dashboard!$K$5=""),A578=Dashboard!$K$5),OR(OR(Dashboard!$N$5="All",Dashboard!$N$5=""),B578=Dashboard!$N$5),OR(OR(Dashboard!$Q$5="All",Dashboard!$Q$5=""),D578=Dashboard!$Q$5),OR(OR(Dashboard!$U$5="All",Dashboard!$U$5=""),E578=Dashboard!$U$5)),1,0))</f>
        <v>1</v>
      </c>
      <c r="N578" s="178">
        <f>IF(E578="",0,IF(AND(OR(OR(Dashboard!$E$5="All",Dashboard!$E$5=""),AG578=Dashboard!$E$5),OR(OR(Dashboard!$B$5="All",Dashboard!$B$5=""),C578=Dashboard!$B$5),OR(OR(Dashboard!$K$5="All",Dashboard!$K$5=""),A578=Dashboard!$K$5),OR(OR(Dashboard!$N$5="All",Dashboard!$N$5=""),B578=Dashboard!$N$5),OR(OR(Dashboard!$Q$5="All",Dashboard!$Q$5=""),D578=Dashboard!$Q$5),OR(OR(Dashboard!$U$5="All",Dashboard!$U$5=""),E578=Dashboard!$U$5)),1,0))</f>
        <v>1</v>
      </c>
      <c r="O578" s="165">
        <f t="shared" ref="O578:O641" si="79">IF(AND(N(H578)&gt;0,ISNUMBER(I578)),I578^2,0)</f>
        <v>0</v>
      </c>
      <c r="AG578" s="178" t="str">
        <f>IF(E578="","",IFERROR(IF(INDEX('Item Purchases'!$AM$4:$AM$30,MATCH(E578,'Item Purchases'!$B$4:$B$30,0))="","Uncategorised",INDEX('Item Purchases'!$AM$4:$AM$30,MATCH(E578,'Item Purchases'!$B$4:$B$30,0))),"Uncategorised"))</f>
        <v>Snacks</v>
      </c>
      <c r="AH578" s="165">
        <f>IF(AND(E578&lt;&gt;"",L578=1),COUNTIFS($E$2:E578,E578,$L$2:L578,1),0)</f>
        <v>0</v>
      </c>
      <c r="AI578" s="165">
        <f t="shared" ref="AI578:AI641" si="80">IF(ISNUMBER(I578),I578,0)</f>
        <v>0</v>
      </c>
      <c r="AJ578" s="165">
        <f t="shared" ref="AJ578:AJ641" si="81">IF(AND(L578=1,N(H578)&gt;0),1,0)</f>
        <v>0</v>
      </c>
    </row>
    <row r="579" spans="1:36" x14ac:dyDescent="0.25">
      <c r="A579" s="177">
        <f t="shared" si="75"/>
        <v>0</v>
      </c>
      <c r="B579" s="178" t="str">
        <f t="shared" si="76"/>
        <v/>
      </c>
      <c r="C579" s="178" t="str">
        <f>'Pantry Inventory'!$A$132</f>
        <v>Sep Week 5</v>
      </c>
      <c r="D579" s="178" t="str">
        <f>IF('Pantry Inventory'!A145="","",'Pantry Inventory'!A145)</f>
        <v>Munchy</v>
      </c>
      <c r="E579" s="178" t="str">
        <f>IF('Pantry Inventory'!B145="","",'Pantry Inventory'!B145)</f>
        <v>Munchy Oat Krunch - Strawberry &amp; Blackcurrant</v>
      </c>
      <c r="F579" s="178" t="str">
        <f>IF(E579="","",IFERROR(IF(INDEX('Item Purchases'!$S$4:$S$30,MATCH(E579,'Item Purchases'!$B$4:$B$30,0))="","Uncategorised",INDEX('Item Purchases'!$S$4:$S$30,MATCH(E579,'Item Purchases'!$B$4:$B$30,0))),"Uncategorised"))</f>
        <v>Sweet</v>
      </c>
      <c r="G579" s="178">
        <f>IF(E579="",0,'Pantry Inventory'!G145)</f>
        <v>0</v>
      </c>
      <c r="H579" s="178" t="str">
        <f>IF(E579="","",IF('Pantry Inventory'!H145="","",'Pantry Inventory'!H145))</f>
        <v/>
      </c>
      <c r="I579" s="178" t="str">
        <f>IF(H579="","",'Pantry Inventory'!I145)</f>
        <v/>
      </c>
      <c r="J579" s="179">
        <f>IF(E579="",0,IFERROR(INDEX('Item Purchases'!$Q$4:$Q$30,MATCH(E579,'Item Purchases'!$B$4:$B$30,0)),0))</f>
        <v>0.73</v>
      </c>
      <c r="K579" s="180" t="str">
        <f t="shared" si="77"/>
        <v/>
      </c>
      <c r="L579" s="178">
        <f t="shared" si="78"/>
        <v>0</v>
      </c>
      <c r="M579" s="178">
        <f>IF(E579="",0,IF(AND(OR(OR(Dashboard!$E$5="All",Dashboard!$E$5=""),AG579=Dashboard!$E$5),OR(OR(Dashboard!$H$5="All",Dashboard!$H$5=""),F579=Dashboard!$H$5),OR(OR(Dashboard!$B$5="All",Dashboard!$B$5=""),C579=Dashboard!$B$5),OR(OR(Dashboard!$K$5="All",Dashboard!$K$5=""),A579=Dashboard!$K$5),OR(OR(Dashboard!$N$5="All",Dashboard!$N$5=""),B579=Dashboard!$N$5),OR(OR(Dashboard!$Q$5="All",Dashboard!$Q$5=""),D579=Dashboard!$Q$5),OR(OR(Dashboard!$U$5="All",Dashboard!$U$5=""),E579=Dashboard!$U$5)),1,0))</f>
        <v>1</v>
      </c>
      <c r="N579" s="178">
        <f>IF(E579="",0,IF(AND(OR(OR(Dashboard!$E$5="All",Dashboard!$E$5=""),AG579=Dashboard!$E$5),OR(OR(Dashboard!$B$5="All",Dashboard!$B$5=""),C579=Dashboard!$B$5),OR(OR(Dashboard!$K$5="All",Dashboard!$K$5=""),A579=Dashboard!$K$5),OR(OR(Dashboard!$N$5="All",Dashboard!$N$5=""),B579=Dashboard!$N$5),OR(OR(Dashboard!$Q$5="All",Dashboard!$Q$5=""),D579=Dashboard!$Q$5),OR(OR(Dashboard!$U$5="All",Dashboard!$U$5=""),E579=Dashboard!$U$5)),1,0))</f>
        <v>1</v>
      </c>
      <c r="O579" s="165">
        <f t="shared" si="79"/>
        <v>0</v>
      </c>
      <c r="AG579" s="178" t="str">
        <f>IF(E579="","",IFERROR(IF(INDEX('Item Purchases'!$AM$4:$AM$30,MATCH(E579,'Item Purchases'!$B$4:$B$30,0))="","Uncategorised",INDEX('Item Purchases'!$AM$4:$AM$30,MATCH(E579,'Item Purchases'!$B$4:$B$30,0))),"Uncategorised"))</f>
        <v>Snacks</v>
      </c>
      <c r="AH579" s="165">
        <f>IF(AND(E579&lt;&gt;"",L579=1),COUNTIFS($E$2:E579,E579,$L$2:L579,1),0)</f>
        <v>0</v>
      </c>
      <c r="AI579" s="165">
        <f t="shared" si="80"/>
        <v>0</v>
      </c>
      <c r="AJ579" s="165">
        <f t="shared" si="81"/>
        <v>0</v>
      </c>
    </row>
    <row r="580" spans="1:36" x14ac:dyDescent="0.25">
      <c r="A580" s="177">
        <f t="shared" si="75"/>
        <v>0</v>
      </c>
      <c r="B580" s="178" t="str">
        <f t="shared" si="76"/>
        <v/>
      </c>
      <c r="C580" s="178" t="str">
        <f>'Pantry Inventory'!$A$132</f>
        <v>Sep Week 5</v>
      </c>
      <c r="D580" s="178" t="str">
        <f>IF('Pantry Inventory'!A146="","",'Pantry Inventory'!A146)</f>
        <v/>
      </c>
      <c r="E580" s="178" t="str">
        <f>IF('Pantry Inventory'!B146="","",'Pantry Inventory'!B146)</f>
        <v/>
      </c>
      <c r="F580" s="178" t="str">
        <f>IF(E580="","",IFERROR(IF(INDEX('Item Purchases'!$S$4:$S$30,MATCH(E580,'Item Purchases'!$B$4:$B$30,0))="","Uncategorised",INDEX('Item Purchases'!$S$4:$S$30,MATCH(E580,'Item Purchases'!$B$4:$B$30,0))),"Uncategorised"))</f>
        <v/>
      </c>
      <c r="G580" s="178">
        <f>IF(E580="",0,'Pantry Inventory'!G146)</f>
        <v>0</v>
      </c>
      <c r="H580" s="178" t="str">
        <f>IF(E580="","",IF('Pantry Inventory'!H146="","",'Pantry Inventory'!H146))</f>
        <v/>
      </c>
      <c r="I580" s="178" t="str">
        <f>IF(H580="","",'Pantry Inventory'!I146)</f>
        <v/>
      </c>
      <c r="J580" s="179">
        <f>IF(E580="",0,IFERROR(INDEX('Item Purchases'!$Q$4:$Q$30,MATCH(E580,'Item Purchases'!$B$4:$B$30,0)),0))</f>
        <v>0</v>
      </c>
      <c r="K580" s="180" t="str">
        <f t="shared" si="77"/>
        <v/>
      </c>
      <c r="L580" s="178">
        <f t="shared" si="78"/>
        <v>0</v>
      </c>
      <c r="M580" s="178">
        <f>IF(E580="",0,IF(AND(OR(OR(Dashboard!$E$5="All",Dashboard!$E$5=""),AG580=Dashboard!$E$5),OR(OR(Dashboard!$H$5="All",Dashboard!$H$5=""),F580=Dashboard!$H$5),OR(OR(Dashboard!$B$5="All",Dashboard!$B$5=""),C580=Dashboard!$B$5),OR(OR(Dashboard!$K$5="All",Dashboard!$K$5=""),A580=Dashboard!$K$5),OR(OR(Dashboard!$N$5="All",Dashboard!$N$5=""),B580=Dashboard!$N$5),OR(OR(Dashboard!$Q$5="All",Dashboard!$Q$5=""),D580=Dashboard!$Q$5),OR(OR(Dashboard!$U$5="All",Dashboard!$U$5=""),E580=Dashboard!$U$5)),1,0))</f>
        <v>0</v>
      </c>
      <c r="N580" s="178">
        <f>IF(E580="",0,IF(AND(OR(OR(Dashboard!$E$5="All",Dashboard!$E$5=""),AG580=Dashboard!$E$5),OR(OR(Dashboard!$B$5="All",Dashboard!$B$5=""),C580=Dashboard!$B$5),OR(OR(Dashboard!$K$5="All",Dashboard!$K$5=""),A580=Dashboard!$K$5),OR(OR(Dashboard!$N$5="All",Dashboard!$N$5=""),B580=Dashboard!$N$5),OR(OR(Dashboard!$Q$5="All",Dashboard!$Q$5=""),D580=Dashboard!$Q$5),OR(OR(Dashboard!$U$5="All",Dashboard!$U$5=""),E580=Dashboard!$U$5)),1,0))</f>
        <v>0</v>
      </c>
      <c r="O580" s="165">
        <f t="shared" si="79"/>
        <v>0</v>
      </c>
      <c r="AG580" s="178" t="str">
        <f>IF(E580="","",IFERROR(IF(INDEX('Item Purchases'!$AM$4:$AM$30,MATCH(E580,'Item Purchases'!$B$4:$B$30,0))="","Uncategorised",INDEX('Item Purchases'!$AM$4:$AM$30,MATCH(E580,'Item Purchases'!$B$4:$B$30,0))),"Uncategorised"))</f>
        <v/>
      </c>
      <c r="AH580" s="165">
        <f>IF(AND(E580&lt;&gt;"",L580=1),COUNTIFS($E$2:E580,E580,$L$2:L580,1),0)</f>
        <v>0</v>
      </c>
      <c r="AI580" s="165">
        <f t="shared" si="80"/>
        <v>0</v>
      </c>
      <c r="AJ580" s="165">
        <f t="shared" si="81"/>
        <v>0</v>
      </c>
    </row>
    <row r="581" spans="1:36" x14ac:dyDescent="0.25">
      <c r="A581" s="177">
        <f t="shared" si="75"/>
        <v>0</v>
      </c>
      <c r="B581" s="178" t="str">
        <f t="shared" si="76"/>
        <v/>
      </c>
      <c r="C581" s="178" t="str">
        <f>'Pantry Inventory'!$A$132</f>
        <v>Sep Week 5</v>
      </c>
      <c r="D581" s="178" t="str">
        <f>IF('Pantry Inventory'!A147="","",'Pantry Inventory'!A147)</f>
        <v>Nestle</v>
      </c>
      <c r="E581" s="178" t="str">
        <f>IF('Pantry Inventory'!B147="","",'Pantry Inventory'!B147)</f>
        <v>Milo 200ml</v>
      </c>
      <c r="F581" s="178" t="str">
        <f>IF(E581="","",IFERROR(IF(INDEX('Item Purchases'!$S$4:$S$30,MATCH(E581,'Item Purchases'!$B$4:$B$30,0))="","Uncategorised",INDEX('Item Purchases'!$S$4:$S$30,MATCH(E581,'Item Purchases'!$B$4:$B$30,0))),"Uncategorised"))</f>
        <v>Other</v>
      </c>
      <c r="G581" s="178">
        <f>IF(E581="",0,'Pantry Inventory'!G147)</f>
        <v>0</v>
      </c>
      <c r="H581" s="178" t="str">
        <f>IF(E581="","",IF('Pantry Inventory'!H147="","",'Pantry Inventory'!H147))</f>
        <v/>
      </c>
      <c r="I581" s="178" t="str">
        <f>IF(H581="","",'Pantry Inventory'!I147)</f>
        <v/>
      </c>
      <c r="J581" s="179">
        <f>IF(E581="",0,IFERROR(INDEX('Item Purchases'!$Q$4:$Q$30,MATCH(E581,'Item Purchases'!$B$4:$B$30,0)),0))</f>
        <v>2.37</v>
      </c>
      <c r="K581" s="180" t="str">
        <f t="shared" si="77"/>
        <v/>
      </c>
      <c r="L581" s="178">
        <f t="shared" si="78"/>
        <v>0</v>
      </c>
      <c r="M581" s="178">
        <f>IF(E581="",0,IF(AND(OR(OR(Dashboard!$E$5="All",Dashboard!$E$5=""),AG581=Dashboard!$E$5),OR(OR(Dashboard!$H$5="All",Dashboard!$H$5=""),F581=Dashboard!$H$5),OR(OR(Dashboard!$B$5="All",Dashboard!$B$5=""),C581=Dashboard!$B$5),OR(OR(Dashboard!$K$5="All",Dashboard!$K$5=""),A581=Dashboard!$K$5),OR(OR(Dashboard!$N$5="All",Dashboard!$N$5=""),B581=Dashboard!$N$5),OR(OR(Dashboard!$Q$5="All",Dashboard!$Q$5=""),D581=Dashboard!$Q$5),OR(OR(Dashboard!$U$5="All",Dashboard!$U$5=""),E581=Dashboard!$U$5)),1,0))</f>
        <v>1</v>
      </c>
      <c r="N581" s="178">
        <f>IF(E581="",0,IF(AND(OR(OR(Dashboard!$E$5="All",Dashboard!$E$5=""),AG581=Dashboard!$E$5),OR(OR(Dashboard!$B$5="All",Dashboard!$B$5=""),C581=Dashboard!$B$5),OR(OR(Dashboard!$K$5="All",Dashboard!$K$5=""),A581=Dashboard!$K$5),OR(OR(Dashboard!$N$5="All",Dashboard!$N$5=""),B581=Dashboard!$N$5),OR(OR(Dashboard!$Q$5="All",Dashboard!$Q$5=""),D581=Dashboard!$Q$5),OR(OR(Dashboard!$U$5="All",Dashboard!$U$5=""),E581=Dashboard!$U$5)),1,0))</f>
        <v>1</v>
      </c>
      <c r="O581" s="165">
        <f t="shared" si="79"/>
        <v>0</v>
      </c>
      <c r="AG581" s="178" t="str">
        <f>IF(E581="","",IFERROR(IF(INDEX('Item Purchases'!$AM$4:$AM$30,MATCH(E581,'Item Purchases'!$B$4:$B$30,0))="","Uncategorised",INDEX('Item Purchases'!$AM$4:$AM$30,MATCH(E581,'Item Purchases'!$B$4:$B$30,0))),"Uncategorised"))</f>
        <v>Beverages</v>
      </c>
      <c r="AH581" s="165">
        <f>IF(AND(E581&lt;&gt;"",L581=1),COUNTIFS($E$2:E581,E581,$L$2:L581,1),0)</f>
        <v>0</v>
      </c>
      <c r="AI581" s="165">
        <f t="shared" si="80"/>
        <v>0</v>
      </c>
      <c r="AJ581" s="165">
        <f t="shared" si="81"/>
        <v>0</v>
      </c>
    </row>
    <row r="582" spans="1:36" x14ac:dyDescent="0.25">
      <c r="A582" s="177">
        <f t="shared" si="75"/>
        <v>0</v>
      </c>
      <c r="B582" s="178" t="str">
        <f t="shared" si="76"/>
        <v/>
      </c>
      <c r="C582" s="178" t="str">
        <f>'Pantry Inventory'!$A$132</f>
        <v>Sep Week 5</v>
      </c>
      <c r="D582" s="178" t="str">
        <f>IF('Pantry Inventory'!A148="","",'Pantry Inventory'!A148)</f>
        <v>Nestle</v>
      </c>
      <c r="E582" s="178" t="str">
        <f>IF('Pantry Inventory'!B148="","",'Pantry Inventory'!B148)</f>
        <v>Nescafe Latte 240ml</v>
      </c>
      <c r="F582" s="178" t="str">
        <f>IF(E582="","",IFERROR(IF(INDEX('Item Purchases'!$S$4:$S$30,MATCH(E582,'Item Purchases'!$B$4:$B$30,0))="","Uncategorised",INDEX('Item Purchases'!$S$4:$S$30,MATCH(E582,'Item Purchases'!$B$4:$B$30,0))),"Uncategorised"))</f>
        <v>Coffee</v>
      </c>
      <c r="G582" s="178">
        <f>IF(E582="",0,'Pantry Inventory'!G148)</f>
        <v>0</v>
      </c>
      <c r="H582" s="178" t="str">
        <f>IF(E582="","",IF('Pantry Inventory'!H148="","",'Pantry Inventory'!H148))</f>
        <v/>
      </c>
      <c r="I582" s="178" t="str">
        <f>IF(H582="","",'Pantry Inventory'!I148)</f>
        <v/>
      </c>
      <c r="J582" s="179">
        <f>IF(E582="",0,IFERROR(INDEX('Item Purchases'!$Q$4:$Q$30,MATCH(E582,'Item Purchases'!$B$4:$B$30,0)),0))</f>
        <v>2.1875</v>
      </c>
      <c r="K582" s="180" t="str">
        <f t="shared" si="77"/>
        <v/>
      </c>
      <c r="L582" s="178">
        <f t="shared" si="78"/>
        <v>0</v>
      </c>
      <c r="M582" s="178">
        <f>IF(E582="",0,IF(AND(OR(OR(Dashboard!$E$5="All",Dashboard!$E$5=""),AG582=Dashboard!$E$5),OR(OR(Dashboard!$H$5="All",Dashboard!$H$5=""),F582=Dashboard!$H$5),OR(OR(Dashboard!$B$5="All",Dashboard!$B$5=""),C582=Dashboard!$B$5),OR(OR(Dashboard!$K$5="All",Dashboard!$K$5=""),A582=Dashboard!$K$5),OR(OR(Dashboard!$N$5="All",Dashboard!$N$5=""),B582=Dashboard!$N$5),OR(OR(Dashboard!$Q$5="All",Dashboard!$Q$5=""),D582=Dashboard!$Q$5),OR(OR(Dashboard!$U$5="All",Dashboard!$U$5=""),E582=Dashboard!$U$5)),1,0))</f>
        <v>1</v>
      </c>
      <c r="N582" s="178">
        <f>IF(E582="",0,IF(AND(OR(OR(Dashboard!$E$5="All",Dashboard!$E$5=""),AG582=Dashboard!$E$5),OR(OR(Dashboard!$B$5="All",Dashboard!$B$5=""),C582=Dashboard!$B$5),OR(OR(Dashboard!$K$5="All",Dashboard!$K$5=""),A582=Dashboard!$K$5),OR(OR(Dashboard!$N$5="All",Dashboard!$N$5=""),B582=Dashboard!$N$5),OR(OR(Dashboard!$Q$5="All",Dashboard!$Q$5=""),D582=Dashboard!$Q$5),OR(OR(Dashboard!$U$5="All",Dashboard!$U$5=""),E582=Dashboard!$U$5)),1,0))</f>
        <v>1</v>
      </c>
      <c r="O582" s="165">
        <f t="shared" si="79"/>
        <v>0</v>
      </c>
      <c r="AG582" s="178" t="str">
        <f>IF(E582="","",IFERROR(IF(INDEX('Item Purchases'!$AM$4:$AM$30,MATCH(E582,'Item Purchases'!$B$4:$B$30,0))="","Uncategorised",INDEX('Item Purchases'!$AM$4:$AM$30,MATCH(E582,'Item Purchases'!$B$4:$B$30,0))),"Uncategorised"))</f>
        <v>Beverages</v>
      </c>
      <c r="AH582" s="165">
        <f>IF(AND(E582&lt;&gt;"",L582=1),COUNTIFS($E$2:E582,E582,$L$2:L582,1),0)</f>
        <v>0</v>
      </c>
      <c r="AI582" s="165">
        <f t="shared" si="80"/>
        <v>0</v>
      </c>
      <c r="AJ582" s="165">
        <f t="shared" si="81"/>
        <v>0</v>
      </c>
    </row>
    <row r="583" spans="1:36" x14ac:dyDescent="0.25">
      <c r="A583" s="177">
        <f t="shared" si="75"/>
        <v>0</v>
      </c>
      <c r="B583" s="178" t="str">
        <f t="shared" si="76"/>
        <v/>
      </c>
      <c r="C583" s="178" t="str">
        <f>'Pantry Inventory'!$A$132</f>
        <v>Sep Week 5</v>
      </c>
      <c r="D583" s="178" t="str">
        <f>IF('Pantry Inventory'!A149="","",'Pantry Inventory'!A149)</f>
        <v>Nestle</v>
      </c>
      <c r="E583" s="178" t="str">
        <f>IF('Pantry Inventory'!B149="","",'Pantry Inventory'!B149)</f>
        <v>Nescafe original 240ml</v>
      </c>
      <c r="F583" s="178" t="str">
        <f>IF(E583="","",IFERROR(IF(INDEX('Item Purchases'!$S$4:$S$30,MATCH(E583,'Item Purchases'!$B$4:$B$30,0))="","Uncategorised",INDEX('Item Purchases'!$S$4:$S$30,MATCH(E583,'Item Purchases'!$B$4:$B$30,0))),"Uncategorised"))</f>
        <v>Coffee</v>
      </c>
      <c r="G583" s="178">
        <f>IF(E583="",0,'Pantry Inventory'!G149)</f>
        <v>0</v>
      </c>
      <c r="H583" s="178" t="str">
        <f>IF(E583="","",IF('Pantry Inventory'!H149="","",'Pantry Inventory'!H149))</f>
        <v/>
      </c>
      <c r="I583" s="178" t="str">
        <f>IF(H583="","",'Pantry Inventory'!I149)</f>
        <v/>
      </c>
      <c r="J583" s="179">
        <f>IF(E583="",0,IFERROR(INDEX('Item Purchases'!$Q$4:$Q$30,MATCH(E583,'Item Purchases'!$B$4:$B$30,0)),0))</f>
        <v>2.1875</v>
      </c>
      <c r="K583" s="180" t="str">
        <f t="shared" si="77"/>
        <v/>
      </c>
      <c r="L583" s="178">
        <f t="shared" si="78"/>
        <v>0</v>
      </c>
      <c r="M583" s="178">
        <f>IF(E583="",0,IF(AND(OR(OR(Dashboard!$E$5="All",Dashboard!$E$5=""),AG583=Dashboard!$E$5),OR(OR(Dashboard!$H$5="All",Dashboard!$H$5=""),F583=Dashboard!$H$5),OR(OR(Dashboard!$B$5="All",Dashboard!$B$5=""),C583=Dashboard!$B$5),OR(OR(Dashboard!$K$5="All",Dashboard!$K$5=""),A583=Dashboard!$K$5),OR(OR(Dashboard!$N$5="All",Dashboard!$N$5=""),B583=Dashboard!$N$5),OR(OR(Dashboard!$Q$5="All",Dashboard!$Q$5=""),D583=Dashboard!$Q$5),OR(OR(Dashboard!$U$5="All",Dashboard!$U$5=""),E583=Dashboard!$U$5)),1,0))</f>
        <v>1</v>
      </c>
      <c r="N583" s="178">
        <f>IF(E583="",0,IF(AND(OR(OR(Dashboard!$E$5="All",Dashboard!$E$5=""),AG583=Dashboard!$E$5),OR(OR(Dashboard!$B$5="All",Dashboard!$B$5=""),C583=Dashboard!$B$5),OR(OR(Dashboard!$K$5="All",Dashboard!$K$5=""),A583=Dashboard!$K$5),OR(OR(Dashboard!$N$5="All",Dashboard!$N$5=""),B583=Dashboard!$N$5),OR(OR(Dashboard!$Q$5="All",Dashboard!$Q$5=""),D583=Dashboard!$Q$5),OR(OR(Dashboard!$U$5="All",Dashboard!$U$5=""),E583=Dashboard!$U$5)),1,0))</f>
        <v>1</v>
      </c>
      <c r="O583" s="165">
        <f t="shared" si="79"/>
        <v>0</v>
      </c>
      <c r="AG583" s="178" t="str">
        <f>IF(E583="","",IFERROR(IF(INDEX('Item Purchases'!$AM$4:$AM$30,MATCH(E583,'Item Purchases'!$B$4:$B$30,0))="","Uncategorised",INDEX('Item Purchases'!$AM$4:$AM$30,MATCH(E583,'Item Purchases'!$B$4:$B$30,0))),"Uncategorised"))</f>
        <v>Beverages</v>
      </c>
      <c r="AH583" s="165">
        <f>IF(AND(E583&lt;&gt;"",L583=1),COUNTIFS($E$2:E583,E583,$L$2:L583,1),0)</f>
        <v>0</v>
      </c>
      <c r="AI583" s="165">
        <f t="shared" si="80"/>
        <v>0</v>
      </c>
      <c r="AJ583" s="165">
        <f t="shared" si="81"/>
        <v>0</v>
      </c>
    </row>
    <row r="584" spans="1:36" x14ac:dyDescent="0.25">
      <c r="A584" s="177">
        <f t="shared" si="75"/>
        <v>0</v>
      </c>
      <c r="B584" s="178" t="str">
        <f t="shared" si="76"/>
        <v/>
      </c>
      <c r="C584" s="178" t="str">
        <f>'Pantry Inventory'!$A$132</f>
        <v>Sep Week 5</v>
      </c>
      <c r="D584" s="178" t="str">
        <f>IF('Pantry Inventory'!A150="","",'Pantry Inventory'!A150)</f>
        <v>COWA</v>
      </c>
      <c r="E584" s="178" t="str">
        <f>IF('Pantry Inventory'!B150="","",'Pantry Inventory'!B150)</f>
        <v>COWA Coconut Water 330 ml</v>
      </c>
      <c r="F584" s="178" t="str">
        <f>IF(E584="","",IFERROR(IF(INDEX('Item Purchases'!$S$4:$S$30,MATCH(E584,'Item Purchases'!$B$4:$B$30,0))="","Uncategorised",INDEX('Item Purchases'!$S$4:$S$30,MATCH(E584,'Item Purchases'!$B$4:$B$30,0))),"Uncategorised"))</f>
        <v>Other</v>
      </c>
      <c r="G584" s="178">
        <f>IF(E584="",0,'Pantry Inventory'!G150)</f>
        <v>0</v>
      </c>
      <c r="H584" s="178" t="str">
        <f>IF(E584="","",IF('Pantry Inventory'!H150="","",'Pantry Inventory'!H150))</f>
        <v/>
      </c>
      <c r="I584" s="178" t="str">
        <f>IF(H584="","",'Pantry Inventory'!I150)</f>
        <v/>
      </c>
      <c r="J584" s="179">
        <f>IF(E584="",0,IFERROR(INDEX('Item Purchases'!$Q$4:$Q$30,MATCH(E584,'Item Purchases'!$B$4:$B$30,0)),0))</f>
        <v>3</v>
      </c>
      <c r="K584" s="180" t="str">
        <f t="shared" si="77"/>
        <v/>
      </c>
      <c r="L584" s="178">
        <f t="shared" si="78"/>
        <v>0</v>
      </c>
      <c r="M584" s="178">
        <f>IF(E584="",0,IF(AND(OR(OR(Dashboard!$E$5="All",Dashboard!$E$5=""),AG584=Dashboard!$E$5),OR(OR(Dashboard!$H$5="All",Dashboard!$H$5=""),F584=Dashboard!$H$5),OR(OR(Dashboard!$B$5="All",Dashboard!$B$5=""),C584=Dashboard!$B$5),OR(OR(Dashboard!$K$5="All",Dashboard!$K$5=""),A584=Dashboard!$K$5),OR(OR(Dashboard!$N$5="All",Dashboard!$N$5=""),B584=Dashboard!$N$5),OR(OR(Dashboard!$Q$5="All",Dashboard!$Q$5=""),D584=Dashboard!$Q$5),OR(OR(Dashboard!$U$5="All",Dashboard!$U$5=""),E584=Dashboard!$U$5)),1,0))</f>
        <v>1</v>
      </c>
      <c r="N584" s="178">
        <f>IF(E584="",0,IF(AND(OR(OR(Dashboard!$E$5="All",Dashboard!$E$5=""),AG584=Dashboard!$E$5),OR(OR(Dashboard!$B$5="All",Dashboard!$B$5=""),C584=Dashboard!$B$5),OR(OR(Dashboard!$K$5="All",Dashboard!$K$5=""),A584=Dashboard!$K$5),OR(OR(Dashboard!$N$5="All",Dashboard!$N$5=""),B584=Dashboard!$N$5),OR(OR(Dashboard!$Q$5="All",Dashboard!$Q$5=""),D584=Dashboard!$Q$5),OR(OR(Dashboard!$U$5="All",Dashboard!$U$5=""),E584=Dashboard!$U$5)),1,0))</f>
        <v>1</v>
      </c>
      <c r="O584" s="165">
        <f t="shared" si="79"/>
        <v>0</v>
      </c>
      <c r="AG584" s="178" t="str">
        <f>IF(E584="","",IFERROR(IF(INDEX('Item Purchases'!$AM$4:$AM$30,MATCH(E584,'Item Purchases'!$B$4:$B$30,0))="","Uncategorised",INDEX('Item Purchases'!$AM$4:$AM$30,MATCH(E584,'Item Purchases'!$B$4:$B$30,0))),"Uncategorised"))</f>
        <v>Beverages</v>
      </c>
      <c r="AH584" s="165">
        <f>IF(AND(E584&lt;&gt;"",L584=1),COUNTIFS($E$2:E584,E584,$L$2:L584,1),0)</f>
        <v>0</v>
      </c>
      <c r="AI584" s="165">
        <f t="shared" si="80"/>
        <v>0</v>
      </c>
      <c r="AJ584" s="165">
        <f t="shared" si="81"/>
        <v>0</v>
      </c>
    </row>
    <row r="585" spans="1:36" x14ac:dyDescent="0.25">
      <c r="A585" s="177">
        <f t="shared" si="75"/>
        <v>0</v>
      </c>
      <c r="B585" s="178" t="str">
        <f t="shared" si="76"/>
        <v/>
      </c>
      <c r="C585" s="178" t="str">
        <f>'Pantry Inventory'!$A$132</f>
        <v>Sep Week 5</v>
      </c>
      <c r="D585" s="178" t="str">
        <f>IF('Pantry Inventory'!A151="","",'Pantry Inventory'!A151)</f>
        <v>KARTA</v>
      </c>
      <c r="E585" s="178" t="str">
        <f>IF('Pantry Inventory'!B151="","",'Pantry Inventory'!B151)</f>
        <v>KARTA Coconut Water 330 ml</v>
      </c>
      <c r="F585" s="178" t="str">
        <f>IF(E585="","",IFERROR(IF(INDEX('Item Purchases'!$S$4:$S$30,MATCH(E585,'Item Purchases'!$B$4:$B$30,0))="","Uncategorised",INDEX('Item Purchases'!$S$4:$S$30,MATCH(E585,'Item Purchases'!$B$4:$B$30,0))),"Uncategorised"))</f>
        <v>Other</v>
      </c>
      <c r="G585" s="178">
        <f>IF(E585="",0,'Pantry Inventory'!G151)</f>
        <v>0</v>
      </c>
      <c r="H585" s="178" t="str">
        <f>IF(E585="","",IF('Pantry Inventory'!H151="","",'Pantry Inventory'!H151))</f>
        <v/>
      </c>
      <c r="I585" s="178" t="str">
        <f>IF(H585="","",'Pantry Inventory'!I151)</f>
        <v/>
      </c>
      <c r="J585" s="179">
        <f>IF(E585="",0,IFERROR(INDEX('Item Purchases'!$Q$4:$Q$30,MATCH(E585,'Item Purchases'!$B$4:$B$30,0)),0))</f>
        <v>2.2999999999999998</v>
      </c>
      <c r="K585" s="180" t="str">
        <f t="shared" si="77"/>
        <v/>
      </c>
      <c r="L585" s="178">
        <f t="shared" si="78"/>
        <v>0</v>
      </c>
      <c r="M585" s="178">
        <f>IF(E585="",0,IF(AND(OR(OR(Dashboard!$E$5="All",Dashboard!$E$5=""),AG585=Dashboard!$E$5),OR(OR(Dashboard!$H$5="All",Dashboard!$H$5=""),F585=Dashboard!$H$5),OR(OR(Dashboard!$B$5="All",Dashboard!$B$5=""),C585=Dashboard!$B$5),OR(OR(Dashboard!$K$5="All",Dashboard!$K$5=""),A585=Dashboard!$K$5),OR(OR(Dashboard!$N$5="All",Dashboard!$N$5=""),B585=Dashboard!$N$5),OR(OR(Dashboard!$Q$5="All",Dashboard!$Q$5=""),D585=Dashboard!$Q$5),OR(OR(Dashboard!$U$5="All",Dashboard!$U$5=""),E585=Dashboard!$U$5)),1,0))</f>
        <v>1</v>
      </c>
      <c r="N585" s="178">
        <f>IF(E585="",0,IF(AND(OR(OR(Dashboard!$E$5="All",Dashboard!$E$5=""),AG585=Dashboard!$E$5),OR(OR(Dashboard!$B$5="All",Dashboard!$B$5=""),C585=Dashboard!$B$5),OR(OR(Dashboard!$K$5="All",Dashboard!$K$5=""),A585=Dashboard!$K$5),OR(OR(Dashboard!$N$5="All",Dashboard!$N$5=""),B585=Dashboard!$N$5),OR(OR(Dashboard!$Q$5="All",Dashboard!$Q$5=""),D585=Dashboard!$Q$5),OR(OR(Dashboard!$U$5="All",Dashboard!$U$5=""),E585=Dashboard!$U$5)),1,0))</f>
        <v>1</v>
      </c>
      <c r="O585" s="165">
        <f t="shared" si="79"/>
        <v>0</v>
      </c>
      <c r="AG585" s="178" t="str">
        <f>IF(E585="","",IFERROR(IF(INDEX('Item Purchases'!$AM$4:$AM$30,MATCH(E585,'Item Purchases'!$B$4:$B$30,0))="","Uncategorised",INDEX('Item Purchases'!$AM$4:$AM$30,MATCH(E585,'Item Purchases'!$B$4:$B$30,0))),"Uncategorised"))</f>
        <v>Beverages</v>
      </c>
      <c r="AH585" s="165">
        <f>IF(AND(E585&lt;&gt;"",L585=1),COUNTIFS($E$2:E585,E585,$L$2:L585,1),0)</f>
        <v>0</v>
      </c>
      <c r="AI585" s="165">
        <f t="shared" si="80"/>
        <v>0</v>
      </c>
      <c r="AJ585" s="165">
        <f t="shared" si="81"/>
        <v>0</v>
      </c>
    </row>
    <row r="586" spans="1:36" x14ac:dyDescent="0.25">
      <c r="A586" s="177">
        <f t="shared" si="75"/>
        <v>0</v>
      </c>
      <c r="B586" s="178" t="str">
        <f t="shared" si="76"/>
        <v/>
      </c>
      <c r="C586" s="178" t="str">
        <f>'Pantry Inventory'!$A$132</f>
        <v>Sep Week 5</v>
      </c>
      <c r="D586" s="178" t="str">
        <f>IF('Pantry Inventory'!A152="","",'Pantry Inventory'!A152)</f>
        <v>Coca Cola</v>
      </c>
      <c r="E586" s="178" t="str">
        <f>IF('Pantry Inventory'!B152="","",'Pantry Inventory'!B152)</f>
        <v>COKE ZERO  325ML</v>
      </c>
      <c r="F586" s="178" t="str">
        <f>IF(E586="","",IFERROR(IF(INDEX('Item Purchases'!$S$4:$S$30,MATCH(E586,'Item Purchases'!$B$4:$B$30,0))="","Uncategorised",INDEX('Item Purchases'!$S$4:$S$30,MATCH(E586,'Item Purchases'!$B$4:$B$30,0))),"Uncategorised"))</f>
        <v>Other</v>
      </c>
      <c r="G586" s="178">
        <f>IF(E586="",0,'Pantry Inventory'!G152)</f>
        <v>0</v>
      </c>
      <c r="H586" s="178" t="str">
        <f>IF(E586="","",IF('Pantry Inventory'!H152="","",'Pantry Inventory'!H152))</f>
        <v/>
      </c>
      <c r="I586" s="178" t="str">
        <f>IF(H586="","",'Pantry Inventory'!I152)</f>
        <v/>
      </c>
      <c r="J586" s="179">
        <f>IF(E586="",0,IFERROR(INDEX('Item Purchases'!$Q$4:$Q$30,MATCH(E586,'Item Purchases'!$B$4:$B$30,0)),0))</f>
        <v>1.83</v>
      </c>
      <c r="K586" s="180" t="str">
        <f t="shared" si="77"/>
        <v/>
      </c>
      <c r="L586" s="178">
        <f t="shared" si="78"/>
        <v>0</v>
      </c>
      <c r="M586" s="178">
        <f>IF(E586="",0,IF(AND(OR(OR(Dashboard!$E$5="All",Dashboard!$E$5=""),AG586=Dashboard!$E$5),OR(OR(Dashboard!$H$5="All",Dashboard!$H$5=""),F586=Dashboard!$H$5),OR(OR(Dashboard!$B$5="All",Dashboard!$B$5=""),C586=Dashboard!$B$5),OR(OR(Dashboard!$K$5="All",Dashboard!$K$5=""),A586=Dashboard!$K$5),OR(OR(Dashboard!$N$5="All",Dashboard!$N$5=""),B586=Dashboard!$N$5),OR(OR(Dashboard!$Q$5="All",Dashboard!$Q$5=""),D586=Dashboard!$Q$5),OR(OR(Dashboard!$U$5="All",Dashboard!$U$5=""),E586=Dashboard!$U$5)),1,0))</f>
        <v>1</v>
      </c>
      <c r="N586" s="178">
        <f>IF(E586="",0,IF(AND(OR(OR(Dashboard!$E$5="All",Dashboard!$E$5=""),AG586=Dashboard!$E$5),OR(OR(Dashboard!$B$5="All",Dashboard!$B$5=""),C586=Dashboard!$B$5),OR(OR(Dashboard!$K$5="All",Dashboard!$K$5=""),A586=Dashboard!$K$5),OR(OR(Dashboard!$N$5="All",Dashboard!$N$5=""),B586=Dashboard!$N$5),OR(OR(Dashboard!$Q$5="All",Dashboard!$Q$5=""),D586=Dashboard!$Q$5),OR(OR(Dashboard!$U$5="All",Dashboard!$U$5=""),E586=Dashboard!$U$5)),1,0))</f>
        <v>1</v>
      </c>
      <c r="O586" s="165">
        <f t="shared" si="79"/>
        <v>0</v>
      </c>
      <c r="AG586" s="178" t="str">
        <f>IF(E586="","",IFERROR(IF(INDEX('Item Purchases'!$AM$4:$AM$30,MATCH(E586,'Item Purchases'!$B$4:$B$30,0))="","Uncategorised",INDEX('Item Purchases'!$AM$4:$AM$30,MATCH(E586,'Item Purchases'!$B$4:$B$30,0))),"Uncategorised"))</f>
        <v>Beverages</v>
      </c>
      <c r="AH586" s="165">
        <f>IF(AND(E586&lt;&gt;"",L586=1),COUNTIFS($E$2:E586,E586,$L$2:L586,1),0)</f>
        <v>0</v>
      </c>
      <c r="AI586" s="165">
        <f t="shared" si="80"/>
        <v>0</v>
      </c>
      <c r="AJ586" s="165">
        <f t="shared" si="81"/>
        <v>0</v>
      </c>
    </row>
    <row r="587" spans="1:36" x14ac:dyDescent="0.25">
      <c r="A587" s="177">
        <f t="shared" si="75"/>
        <v>0</v>
      </c>
      <c r="B587" s="178" t="str">
        <f t="shared" si="76"/>
        <v/>
      </c>
      <c r="C587" s="178" t="str">
        <f>'Pantry Inventory'!$A$132</f>
        <v>Sep Week 5</v>
      </c>
      <c r="D587" s="178" t="str">
        <f>IF('Pantry Inventory'!A153="","",'Pantry Inventory'!A153)</f>
        <v>Coca Cola</v>
      </c>
      <c r="E587" s="178" t="str">
        <f>IF('Pantry Inventory'!B153="","",'Pantry Inventory'!B153)</f>
        <v>Ayataka Tea 300ml</v>
      </c>
      <c r="F587" s="178" t="str">
        <f>IF(E587="","",IFERROR(IF(INDEX('Item Purchases'!$S$4:$S$30,MATCH(E587,'Item Purchases'!$B$4:$B$30,0))="","Uncategorised",INDEX('Item Purchases'!$S$4:$S$30,MATCH(E587,'Item Purchases'!$B$4:$B$30,0))),"Uncategorised"))</f>
        <v>Tea</v>
      </c>
      <c r="G587" s="178">
        <f>IF(E587="",0,'Pantry Inventory'!G153)</f>
        <v>0</v>
      </c>
      <c r="H587" s="178" t="str">
        <f>IF(E587="","",IF('Pantry Inventory'!H153="","",'Pantry Inventory'!H153))</f>
        <v/>
      </c>
      <c r="I587" s="178" t="str">
        <f>IF(H587="","",'Pantry Inventory'!I153)</f>
        <v/>
      </c>
      <c r="J587" s="179">
        <f>IF(E587="",0,IFERROR(INDEX('Item Purchases'!$Q$4:$Q$30,MATCH(E587,'Item Purchases'!$B$4:$B$30,0)),0))</f>
        <v>1.75</v>
      </c>
      <c r="K587" s="180" t="str">
        <f t="shared" si="77"/>
        <v/>
      </c>
      <c r="L587" s="178">
        <f t="shared" si="78"/>
        <v>0</v>
      </c>
      <c r="M587" s="178">
        <f>IF(E587="",0,IF(AND(OR(OR(Dashboard!$E$5="All",Dashboard!$E$5=""),AG587=Dashboard!$E$5),OR(OR(Dashboard!$H$5="All",Dashboard!$H$5=""),F587=Dashboard!$H$5),OR(OR(Dashboard!$B$5="All",Dashboard!$B$5=""),C587=Dashboard!$B$5),OR(OR(Dashboard!$K$5="All",Dashboard!$K$5=""),A587=Dashboard!$K$5),OR(OR(Dashboard!$N$5="All",Dashboard!$N$5=""),B587=Dashboard!$N$5),OR(OR(Dashboard!$Q$5="All",Dashboard!$Q$5=""),D587=Dashboard!$Q$5),OR(OR(Dashboard!$U$5="All",Dashboard!$U$5=""),E587=Dashboard!$U$5)),1,0))</f>
        <v>1</v>
      </c>
      <c r="N587" s="178">
        <f>IF(E587="",0,IF(AND(OR(OR(Dashboard!$E$5="All",Dashboard!$E$5=""),AG587=Dashboard!$E$5),OR(OR(Dashboard!$B$5="All",Dashboard!$B$5=""),C587=Dashboard!$B$5),OR(OR(Dashboard!$K$5="All",Dashboard!$K$5=""),A587=Dashboard!$K$5),OR(OR(Dashboard!$N$5="All",Dashboard!$N$5=""),B587=Dashboard!$N$5),OR(OR(Dashboard!$Q$5="All",Dashboard!$Q$5=""),D587=Dashboard!$Q$5),OR(OR(Dashboard!$U$5="All",Dashboard!$U$5=""),E587=Dashboard!$U$5)),1,0))</f>
        <v>1</v>
      </c>
      <c r="O587" s="165">
        <f t="shared" si="79"/>
        <v>0</v>
      </c>
      <c r="AG587" s="178" t="str">
        <f>IF(E587="","",IFERROR(IF(INDEX('Item Purchases'!$AM$4:$AM$30,MATCH(E587,'Item Purchases'!$B$4:$B$30,0))="","Uncategorised",INDEX('Item Purchases'!$AM$4:$AM$30,MATCH(E587,'Item Purchases'!$B$4:$B$30,0))),"Uncategorised"))</f>
        <v>Beverages</v>
      </c>
      <c r="AH587" s="165">
        <f>IF(AND(E587&lt;&gt;"",L587=1),COUNTIFS($E$2:E587,E587,$L$2:L587,1),0)</f>
        <v>0</v>
      </c>
      <c r="AI587" s="165">
        <f t="shared" si="80"/>
        <v>0</v>
      </c>
      <c r="AJ587" s="165">
        <f t="shared" si="81"/>
        <v>0</v>
      </c>
    </row>
    <row r="588" spans="1:36" x14ac:dyDescent="0.25">
      <c r="A588" s="177">
        <f t="shared" si="75"/>
        <v>0</v>
      </c>
      <c r="B588" s="178" t="str">
        <f t="shared" si="76"/>
        <v/>
      </c>
      <c r="C588" s="178" t="str">
        <f>'Pantry Inventory'!$A$132</f>
        <v>Sep Week 5</v>
      </c>
      <c r="D588" s="178" t="str">
        <f>IF('Pantry Inventory'!A154="","",'Pantry Inventory'!A154)</f>
        <v>Coca Cola</v>
      </c>
      <c r="E588" s="178" t="str">
        <f>IF('Pantry Inventory'!B154="","",'Pantry Inventory'!B154)</f>
        <v>Oolong Tea 300ml</v>
      </c>
      <c r="F588" s="178" t="str">
        <f>IF(E588="","",IFERROR(IF(INDEX('Item Purchases'!$S$4:$S$30,MATCH(E588,'Item Purchases'!$B$4:$B$30,0))="","Uncategorised",INDEX('Item Purchases'!$S$4:$S$30,MATCH(E588,'Item Purchases'!$B$4:$B$30,0))),"Uncategorised"))</f>
        <v>Tea</v>
      </c>
      <c r="G588" s="178">
        <f>IF(E588="",0,'Pantry Inventory'!G154)</f>
        <v>0</v>
      </c>
      <c r="H588" s="178" t="str">
        <f>IF(E588="","",IF('Pantry Inventory'!H154="","",'Pantry Inventory'!H154))</f>
        <v/>
      </c>
      <c r="I588" s="178" t="str">
        <f>IF(H588="","",'Pantry Inventory'!I154)</f>
        <v/>
      </c>
      <c r="J588" s="179">
        <f>IF(E588="",0,IFERROR(INDEX('Item Purchases'!$Q$4:$Q$30,MATCH(E588,'Item Purchases'!$B$4:$B$30,0)),0))</f>
        <v>1.75</v>
      </c>
      <c r="K588" s="180" t="str">
        <f t="shared" si="77"/>
        <v/>
      </c>
      <c r="L588" s="178">
        <f t="shared" si="78"/>
        <v>0</v>
      </c>
      <c r="M588" s="178">
        <f>IF(E588="",0,IF(AND(OR(OR(Dashboard!$E$5="All",Dashboard!$E$5=""),AG588=Dashboard!$E$5),OR(OR(Dashboard!$H$5="All",Dashboard!$H$5=""),F588=Dashboard!$H$5),OR(OR(Dashboard!$B$5="All",Dashboard!$B$5=""),C588=Dashboard!$B$5),OR(OR(Dashboard!$K$5="All",Dashboard!$K$5=""),A588=Dashboard!$K$5),OR(OR(Dashboard!$N$5="All",Dashboard!$N$5=""),B588=Dashboard!$N$5),OR(OR(Dashboard!$Q$5="All",Dashboard!$Q$5=""),D588=Dashboard!$Q$5),OR(OR(Dashboard!$U$5="All",Dashboard!$U$5=""),E588=Dashboard!$U$5)),1,0))</f>
        <v>1</v>
      </c>
      <c r="N588" s="178">
        <f>IF(E588="",0,IF(AND(OR(OR(Dashboard!$E$5="All",Dashboard!$E$5=""),AG588=Dashboard!$E$5),OR(OR(Dashboard!$B$5="All",Dashboard!$B$5=""),C588=Dashboard!$B$5),OR(OR(Dashboard!$K$5="All",Dashboard!$K$5=""),A588=Dashboard!$K$5),OR(OR(Dashboard!$N$5="All",Dashboard!$N$5=""),B588=Dashboard!$N$5),OR(OR(Dashboard!$Q$5="All",Dashboard!$Q$5=""),D588=Dashboard!$Q$5),OR(OR(Dashboard!$U$5="All",Dashboard!$U$5=""),E588=Dashboard!$U$5)),1,0))</f>
        <v>1</v>
      </c>
      <c r="O588" s="165">
        <f t="shared" si="79"/>
        <v>0</v>
      </c>
      <c r="AG588" s="178" t="str">
        <f>IF(E588="","",IFERROR(IF(INDEX('Item Purchases'!$AM$4:$AM$30,MATCH(E588,'Item Purchases'!$B$4:$B$30,0))="","Uncategorised",INDEX('Item Purchases'!$AM$4:$AM$30,MATCH(E588,'Item Purchases'!$B$4:$B$30,0))),"Uncategorised"))</f>
        <v>Beverages</v>
      </c>
      <c r="AH588" s="165">
        <f>IF(AND(E588&lt;&gt;"",L588=1),COUNTIFS($E$2:E588,E588,$L$2:L588,1),0)</f>
        <v>0</v>
      </c>
      <c r="AI588" s="165">
        <f t="shared" si="80"/>
        <v>0</v>
      </c>
      <c r="AJ588" s="165">
        <f t="shared" si="81"/>
        <v>0</v>
      </c>
    </row>
    <row r="589" spans="1:36" x14ac:dyDescent="0.25">
      <c r="A589" s="177">
        <f t="shared" si="75"/>
        <v>0</v>
      </c>
      <c r="B589" s="178" t="str">
        <f t="shared" si="76"/>
        <v/>
      </c>
      <c r="C589" s="178" t="str">
        <f>'Pantry Inventory'!$A$132</f>
        <v>Sep Week 5</v>
      </c>
      <c r="D589" s="178" t="str">
        <f>IF('Pantry Inventory'!A155="","",'Pantry Inventory'!A155)</f>
        <v>Vsoy</v>
      </c>
      <c r="E589" s="178" t="str">
        <f>IF('Pantry Inventory'!B155="","",'Pantry Inventory'!B155)</f>
        <v>Vsoy Soya Bean  250ml</v>
      </c>
      <c r="F589" s="178" t="str">
        <f>IF(E589="","",IFERROR(IF(INDEX('Item Purchases'!$S$4:$S$30,MATCH(E589,'Item Purchases'!$B$4:$B$30,0))="","Uncategorised",INDEX('Item Purchases'!$S$4:$S$30,MATCH(E589,'Item Purchases'!$B$4:$B$30,0))),"Uncategorised"))</f>
        <v>Other</v>
      </c>
      <c r="G589" s="178">
        <f>IF(E589="",0,'Pantry Inventory'!G155)</f>
        <v>0</v>
      </c>
      <c r="H589" s="178" t="str">
        <f>IF(E589="","",IF('Pantry Inventory'!H155="","",'Pantry Inventory'!H155))</f>
        <v/>
      </c>
      <c r="I589" s="178" t="str">
        <f>IF(H589="","",'Pantry Inventory'!I155)</f>
        <v/>
      </c>
      <c r="J589" s="179">
        <f>IF(E589="",0,IFERROR(INDEX('Item Purchases'!$Q$4:$Q$30,MATCH(E589,'Item Purchases'!$B$4:$B$30,0)),0))</f>
        <v>1.25</v>
      </c>
      <c r="K589" s="180" t="str">
        <f t="shared" si="77"/>
        <v/>
      </c>
      <c r="L589" s="178">
        <f t="shared" si="78"/>
        <v>0</v>
      </c>
      <c r="M589" s="178">
        <f>IF(E589="",0,IF(AND(OR(OR(Dashboard!$E$5="All",Dashboard!$E$5=""),AG589=Dashboard!$E$5),OR(OR(Dashboard!$H$5="All",Dashboard!$H$5=""),F589=Dashboard!$H$5),OR(OR(Dashboard!$B$5="All",Dashboard!$B$5=""),C589=Dashboard!$B$5),OR(OR(Dashboard!$K$5="All",Dashboard!$K$5=""),A589=Dashboard!$K$5),OR(OR(Dashboard!$N$5="All",Dashboard!$N$5=""),B589=Dashboard!$N$5),OR(OR(Dashboard!$Q$5="All",Dashboard!$Q$5=""),D589=Dashboard!$Q$5),OR(OR(Dashboard!$U$5="All",Dashboard!$U$5=""),E589=Dashboard!$U$5)),1,0))</f>
        <v>1</v>
      </c>
      <c r="N589" s="178">
        <f>IF(E589="",0,IF(AND(OR(OR(Dashboard!$E$5="All",Dashboard!$E$5=""),AG589=Dashboard!$E$5),OR(OR(Dashboard!$B$5="All",Dashboard!$B$5=""),C589=Dashboard!$B$5),OR(OR(Dashboard!$K$5="All",Dashboard!$K$5=""),A589=Dashboard!$K$5),OR(OR(Dashboard!$N$5="All",Dashboard!$N$5=""),B589=Dashboard!$N$5),OR(OR(Dashboard!$Q$5="All",Dashboard!$Q$5=""),D589=Dashboard!$Q$5),OR(OR(Dashboard!$U$5="All",Dashboard!$U$5=""),E589=Dashboard!$U$5)),1,0))</f>
        <v>1</v>
      </c>
      <c r="O589" s="165">
        <f t="shared" si="79"/>
        <v>0</v>
      </c>
      <c r="AG589" s="178" t="str">
        <f>IF(E589="","",IFERROR(IF(INDEX('Item Purchases'!$AM$4:$AM$30,MATCH(E589,'Item Purchases'!$B$4:$B$30,0))="","Uncategorised",INDEX('Item Purchases'!$AM$4:$AM$30,MATCH(E589,'Item Purchases'!$B$4:$B$30,0))),"Uncategorised"))</f>
        <v>Beverages</v>
      </c>
      <c r="AH589" s="165">
        <f>IF(AND(E589&lt;&gt;"",L589=1),COUNTIFS($E$2:E589,E589,$L$2:L589,1),0)</f>
        <v>0</v>
      </c>
      <c r="AI589" s="165">
        <f t="shared" si="80"/>
        <v>0</v>
      </c>
      <c r="AJ589" s="165">
        <f t="shared" si="81"/>
        <v>0</v>
      </c>
    </row>
    <row r="590" spans="1:36" x14ac:dyDescent="0.25">
      <c r="A590" s="177">
        <f t="shared" si="75"/>
        <v>0</v>
      </c>
      <c r="B590" s="178" t="str">
        <f t="shared" si="76"/>
        <v/>
      </c>
      <c r="C590" s="178" t="str">
        <f>'Pantry Inventory'!$A$132</f>
        <v>Sep Week 5</v>
      </c>
      <c r="D590" s="178" t="str">
        <f>IF('Pantry Inventory'!A156="","",'Pantry Inventory'!A156)</f>
        <v>BingRae</v>
      </c>
      <c r="E590" s="178" t="str">
        <f>IF('Pantry Inventory'!B156="","",'Pantry Inventory'!B156)</f>
        <v>BingRae Banana Milk 200ml</v>
      </c>
      <c r="F590" s="178" t="str">
        <f>IF(E590="","",IFERROR(IF(INDEX('Item Purchases'!$S$4:$S$30,MATCH(E590,'Item Purchases'!$B$4:$B$30,0))="","Uncategorised",INDEX('Item Purchases'!$S$4:$S$30,MATCH(E590,'Item Purchases'!$B$4:$B$30,0))),"Uncategorised"))</f>
        <v>Other</v>
      </c>
      <c r="G590" s="178">
        <f>IF(E590="",0,'Pantry Inventory'!G156)</f>
        <v>0</v>
      </c>
      <c r="H590" s="178" t="str">
        <f>IF(E590="","",IF('Pantry Inventory'!H156="","",'Pantry Inventory'!H156))</f>
        <v/>
      </c>
      <c r="I590" s="178" t="str">
        <f>IF(H590="","",'Pantry Inventory'!I156)</f>
        <v/>
      </c>
      <c r="J590" s="179">
        <f>IF(E590="",0,IFERROR(INDEX('Item Purchases'!$Q$4:$Q$30,MATCH(E590,'Item Purchases'!$B$4:$B$30,0)),0))</f>
        <v>3.3159999999999998</v>
      </c>
      <c r="K590" s="180" t="str">
        <f t="shared" si="77"/>
        <v/>
      </c>
      <c r="L590" s="178">
        <f t="shared" si="78"/>
        <v>0</v>
      </c>
      <c r="M590" s="178">
        <f>IF(E590="",0,IF(AND(OR(OR(Dashboard!$E$5="All",Dashboard!$E$5=""),AG590=Dashboard!$E$5),OR(OR(Dashboard!$H$5="All",Dashboard!$H$5=""),F590=Dashboard!$H$5),OR(OR(Dashboard!$B$5="All",Dashboard!$B$5=""),C590=Dashboard!$B$5),OR(OR(Dashboard!$K$5="All",Dashboard!$K$5=""),A590=Dashboard!$K$5),OR(OR(Dashboard!$N$5="All",Dashboard!$N$5=""),B590=Dashboard!$N$5),OR(OR(Dashboard!$Q$5="All",Dashboard!$Q$5=""),D590=Dashboard!$Q$5),OR(OR(Dashboard!$U$5="All",Dashboard!$U$5=""),E590=Dashboard!$U$5)),1,0))</f>
        <v>1</v>
      </c>
      <c r="N590" s="178">
        <f>IF(E590="",0,IF(AND(OR(OR(Dashboard!$E$5="All",Dashboard!$E$5=""),AG590=Dashboard!$E$5),OR(OR(Dashboard!$B$5="All",Dashboard!$B$5=""),C590=Dashboard!$B$5),OR(OR(Dashboard!$K$5="All",Dashboard!$K$5=""),A590=Dashboard!$K$5),OR(OR(Dashboard!$N$5="All",Dashboard!$N$5=""),B590=Dashboard!$N$5),OR(OR(Dashboard!$Q$5="All",Dashboard!$Q$5=""),D590=Dashboard!$Q$5),OR(OR(Dashboard!$U$5="All",Dashboard!$U$5=""),E590=Dashboard!$U$5)),1,0))</f>
        <v>1</v>
      </c>
      <c r="O590" s="165">
        <f t="shared" si="79"/>
        <v>0</v>
      </c>
      <c r="AG590" s="178" t="str">
        <f>IF(E590="","",IFERROR(IF(INDEX('Item Purchases'!$AM$4:$AM$30,MATCH(E590,'Item Purchases'!$B$4:$B$30,0))="","Uncategorised",INDEX('Item Purchases'!$AM$4:$AM$30,MATCH(E590,'Item Purchases'!$B$4:$B$30,0))),"Uncategorised"))</f>
        <v>Beverages</v>
      </c>
      <c r="AH590" s="165">
        <f>IF(AND(E590&lt;&gt;"",L590=1),COUNTIFS($E$2:E590,E590,$L$2:L590,1),0)</f>
        <v>0</v>
      </c>
      <c r="AI590" s="165">
        <f t="shared" si="80"/>
        <v>0</v>
      </c>
      <c r="AJ590" s="165">
        <f t="shared" si="81"/>
        <v>0</v>
      </c>
    </row>
    <row r="591" spans="1:36" x14ac:dyDescent="0.25">
      <c r="A591" s="177">
        <f t="shared" si="75"/>
        <v>0</v>
      </c>
      <c r="B591" s="178" t="str">
        <f t="shared" si="76"/>
        <v/>
      </c>
      <c r="C591" s="178" t="str">
        <f>'Pantry Inventory'!$A$132</f>
        <v>Sep Week 5</v>
      </c>
      <c r="D591" s="178" t="str">
        <f>IF('Pantry Inventory'!A157="","",'Pantry Inventory'!A157)</f>
        <v>Fuze Tea</v>
      </c>
      <c r="E591" s="178" t="str">
        <f>IF('Pantry Inventory'!B157="","",'Pantry Inventory'!B157)</f>
        <v>Fuze Tea by Heaven and Earth Jasmine Tea</v>
      </c>
      <c r="F591" s="178" t="str">
        <f>IF(E591="","",IFERROR(IF(INDEX('Item Purchases'!$S$4:$S$30,MATCH(E591,'Item Purchases'!$B$4:$B$30,0))="","Uncategorised",INDEX('Item Purchases'!$S$4:$S$30,MATCH(E591,'Item Purchases'!$B$4:$B$30,0))),"Uncategorised"))</f>
        <v>Tea</v>
      </c>
      <c r="G591" s="178">
        <f>IF(E591="",0,'Pantry Inventory'!G157)</f>
        <v>0</v>
      </c>
      <c r="H591" s="178" t="str">
        <f>IF(E591="","",IF('Pantry Inventory'!H157="","",'Pantry Inventory'!H157))</f>
        <v/>
      </c>
      <c r="I591" s="178" t="str">
        <f>IF(H591="","",'Pantry Inventory'!I157)</f>
        <v/>
      </c>
      <c r="J591" s="179">
        <f>IF(E591="",0,IFERROR(INDEX('Item Purchases'!$Q$4:$Q$30,MATCH(E591,'Item Purchases'!$B$4:$B$30,0)),0))</f>
        <v>1.167</v>
      </c>
      <c r="K591" s="180" t="str">
        <f t="shared" si="77"/>
        <v/>
      </c>
      <c r="L591" s="178">
        <f t="shared" si="78"/>
        <v>0</v>
      </c>
      <c r="M591" s="178">
        <f>IF(E591="",0,IF(AND(OR(OR(Dashboard!$E$5="All",Dashboard!$E$5=""),AG591=Dashboard!$E$5),OR(OR(Dashboard!$H$5="All",Dashboard!$H$5=""),F591=Dashboard!$H$5),OR(OR(Dashboard!$B$5="All",Dashboard!$B$5=""),C591=Dashboard!$B$5),OR(OR(Dashboard!$K$5="All",Dashboard!$K$5=""),A591=Dashboard!$K$5),OR(OR(Dashboard!$N$5="All",Dashboard!$N$5=""),B591=Dashboard!$N$5),OR(OR(Dashboard!$Q$5="All",Dashboard!$Q$5=""),D591=Dashboard!$Q$5),OR(OR(Dashboard!$U$5="All",Dashboard!$U$5=""),E591=Dashboard!$U$5)),1,0))</f>
        <v>1</v>
      </c>
      <c r="N591" s="178">
        <f>IF(E591="",0,IF(AND(OR(OR(Dashboard!$E$5="All",Dashboard!$E$5=""),AG591=Dashboard!$E$5),OR(OR(Dashboard!$B$5="All",Dashboard!$B$5=""),C591=Dashboard!$B$5),OR(OR(Dashboard!$K$5="All",Dashboard!$K$5=""),A591=Dashboard!$K$5),OR(OR(Dashboard!$N$5="All",Dashboard!$N$5=""),B591=Dashboard!$N$5),OR(OR(Dashboard!$Q$5="All",Dashboard!$Q$5=""),D591=Dashboard!$Q$5),OR(OR(Dashboard!$U$5="All",Dashboard!$U$5=""),E591=Dashboard!$U$5)),1,0))</f>
        <v>1</v>
      </c>
      <c r="O591" s="165">
        <f t="shared" si="79"/>
        <v>0</v>
      </c>
      <c r="AG591" s="178" t="str">
        <f>IF(E591="","",IFERROR(IF(INDEX('Item Purchases'!$AM$4:$AM$30,MATCH(E591,'Item Purchases'!$B$4:$B$30,0))="","Uncategorised",INDEX('Item Purchases'!$AM$4:$AM$30,MATCH(E591,'Item Purchases'!$B$4:$B$30,0))),"Uncategorised"))</f>
        <v>Beverages</v>
      </c>
      <c r="AH591" s="165">
        <f>IF(AND(E591&lt;&gt;"",L591=1),COUNTIFS($E$2:E591,E591,$L$2:L591,1),0)</f>
        <v>0</v>
      </c>
      <c r="AI591" s="165">
        <f t="shared" si="80"/>
        <v>0</v>
      </c>
      <c r="AJ591" s="165">
        <f t="shared" si="81"/>
        <v>0</v>
      </c>
    </row>
    <row r="592" spans="1:36" x14ac:dyDescent="0.25">
      <c r="A592" s="177">
        <f t="shared" si="75"/>
        <v>0</v>
      </c>
      <c r="B592" s="178" t="str">
        <f t="shared" si="76"/>
        <v/>
      </c>
      <c r="C592" s="178" t="str">
        <f>'Pantry Inventory'!$A$132</f>
        <v>Sep Week 5</v>
      </c>
      <c r="D592" s="178" t="str">
        <f>IF('Pantry Inventory'!A158="","",'Pantry Inventory'!A158)</f>
        <v>F&amp;N</v>
      </c>
      <c r="E592" s="178" t="str">
        <f>IF('Pantry Inventory'!B158="","",'Pantry Inventory'!B158)</f>
        <v>FN 100 plus (original) 325ml</v>
      </c>
      <c r="F592" s="178" t="str">
        <f>IF(E592="","",IFERROR(IF(INDEX('Item Purchases'!$S$4:$S$30,MATCH(E592,'Item Purchases'!$B$4:$B$30,0))="","Uncategorised",INDEX('Item Purchases'!$S$4:$S$30,MATCH(E592,'Item Purchases'!$B$4:$B$30,0))),"Uncategorised"))</f>
        <v>Other</v>
      </c>
      <c r="G592" s="178">
        <f>IF(E592="",0,'Pantry Inventory'!G158)</f>
        <v>0</v>
      </c>
      <c r="H592" s="178" t="str">
        <f>IF(E592="","",IF('Pantry Inventory'!H158="","",'Pantry Inventory'!H158))</f>
        <v/>
      </c>
      <c r="I592" s="178" t="str">
        <f>IF(H592="","",'Pantry Inventory'!I158)</f>
        <v/>
      </c>
      <c r="J592" s="179">
        <f>IF(E592="",0,IFERROR(INDEX('Item Purchases'!$Q$4:$Q$30,MATCH(E592,'Item Purchases'!$B$4:$B$30,0)),0))</f>
        <v>1.58</v>
      </c>
      <c r="K592" s="180" t="str">
        <f t="shared" si="77"/>
        <v/>
      </c>
      <c r="L592" s="178">
        <f t="shared" si="78"/>
        <v>0</v>
      </c>
      <c r="M592" s="178">
        <f>IF(E592="",0,IF(AND(OR(OR(Dashboard!$E$5="All",Dashboard!$E$5=""),AG592=Dashboard!$E$5),OR(OR(Dashboard!$H$5="All",Dashboard!$H$5=""),F592=Dashboard!$H$5),OR(OR(Dashboard!$B$5="All",Dashboard!$B$5=""),C592=Dashboard!$B$5),OR(OR(Dashboard!$K$5="All",Dashboard!$K$5=""),A592=Dashboard!$K$5),OR(OR(Dashboard!$N$5="All",Dashboard!$N$5=""),B592=Dashboard!$N$5),OR(OR(Dashboard!$Q$5="All",Dashboard!$Q$5=""),D592=Dashboard!$Q$5),OR(OR(Dashboard!$U$5="All",Dashboard!$U$5=""),E592=Dashboard!$U$5)),1,0))</f>
        <v>1</v>
      </c>
      <c r="N592" s="178">
        <f>IF(E592="",0,IF(AND(OR(OR(Dashboard!$E$5="All",Dashboard!$E$5=""),AG592=Dashboard!$E$5),OR(OR(Dashboard!$B$5="All",Dashboard!$B$5=""),C592=Dashboard!$B$5),OR(OR(Dashboard!$K$5="All",Dashboard!$K$5=""),A592=Dashboard!$K$5),OR(OR(Dashboard!$N$5="All",Dashboard!$N$5=""),B592=Dashboard!$N$5),OR(OR(Dashboard!$Q$5="All",Dashboard!$Q$5=""),D592=Dashboard!$Q$5),OR(OR(Dashboard!$U$5="All",Dashboard!$U$5=""),E592=Dashboard!$U$5)),1,0))</f>
        <v>1</v>
      </c>
      <c r="O592" s="165">
        <f t="shared" si="79"/>
        <v>0</v>
      </c>
      <c r="AG592" s="178" t="str">
        <f>IF(E592="","",IFERROR(IF(INDEX('Item Purchases'!$AM$4:$AM$30,MATCH(E592,'Item Purchases'!$B$4:$B$30,0))="","Uncategorised",INDEX('Item Purchases'!$AM$4:$AM$30,MATCH(E592,'Item Purchases'!$B$4:$B$30,0))),"Uncategorised"))</f>
        <v>Beverages</v>
      </c>
      <c r="AH592" s="165">
        <f>IF(AND(E592&lt;&gt;"",L592=1),COUNTIFS($E$2:E592,E592,$L$2:L592,1),0)</f>
        <v>0</v>
      </c>
      <c r="AI592" s="165">
        <f t="shared" si="80"/>
        <v>0</v>
      </c>
      <c r="AJ592" s="165">
        <f t="shared" si="81"/>
        <v>0</v>
      </c>
    </row>
    <row r="593" spans="1:36" x14ac:dyDescent="0.25">
      <c r="A593" s="177">
        <f t="shared" si="75"/>
        <v>0</v>
      </c>
      <c r="B593" s="178" t="str">
        <f t="shared" si="76"/>
        <v/>
      </c>
      <c r="C593" s="178" t="str">
        <f>'Pantry Inventory'!$A$132</f>
        <v>Sep Week 5</v>
      </c>
      <c r="D593" s="178" t="str">
        <f>IF('Pantry Inventory'!A159="","",'Pantry Inventory'!A159)</f>
        <v>Spritzer</v>
      </c>
      <c r="E593" s="178" t="str">
        <f>IF('Pantry Inventory'!B159="","",'Pantry Inventory'!B159)</f>
        <v>Spritzer sparkling water (original) 400ml</v>
      </c>
      <c r="F593" s="178" t="str">
        <f>IF(E593="","",IFERROR(IF(INDEX('Item Purchases'!$S$4:$S$30,MATCH(E593,'Item Purchases'!$B$4:$B$30,0))="","Uncategorised",INDEX('Item Purchases'!$S$4:$S$30,MATCH(E593,'Item Purchases'!$B$4:$B$30,0))),"Uncategorised"))</f>
        <v>Other</v>
      </c>
      <c r="G593" s="178">
        <f>IF(E593="",0,'Pantry Inventory'!G159)</f>
        <v>0</v>
      </c>
      <c r="H593" s="178" t="str">
        <f>IF(E593="","",IF('Pantry Inventory'!H159="","",'Pantry Inventory'!H159))</f>
        <v/>
      </c>
      <c r="I593" s="178" t="str">
        <f>IF(H593="","",'Pantry Inventory'!I159)</f>
        <v/>
      </c>
      <c r="J593" s="179">
        <f>IF(E593="",0,IFERROR(INDEX('Item Purchases'!$Q$4:$Q$30,MATCH(E593,'Item Purchases'!$B$4:$B$30,0)),0))</f>
        <v>1.616666666666666</v>
      </c>
      <c r="K593" s="180" t="str">
        <f t="shared" si="77"/>
        <v/>
      </c>
      <c r="L593" s="178">
        <f t="shared" si="78"/>
        <v>0</v>
      </c>
      <c r="M593" s="178">
        <f>IF(E593="",0,IF(AND(OR(OR(Dashboard!$E$5="All",Dashboard!$E$5=""),AG593=Dashboard!$E$5),OR(OR(Dashboard!$H$5="All",Dashboard!$H$5=""),F593=Dashboard!$H$5),OR(OR(Dashboard!$B$5="All",Dashboard!$B$5=""),C593=Dashboard!$B$5),OR(OR(Dashboard!$K$5="All",Dashboard!$K$5=""),A593=Dashboard!$K$5),OR(OR(Dashboard!$N$5="All",Dashboard!$N$5=""),B593=Dashboard!$N$5),OR(OR(Dashboard!$Q$5="All",Dashboard!$Q$5=""),D593=Dashboard!$Q$5),OR(OR(Dashboard!$U$5="All",Dashboard!$U$5=""),E593=Dashboard!$U$5)),1,0))</f>
        <v>1</v>
      </c>
      <c r="N593" s="178">
        <f>IF(E593="",0,IF(AND(OR(OR(Dashboard!$E$5="All",Dashboard!$E$5=""),AG593=Dashboard!$E$5),OR(OR(Dashboard!$B$5="All",Dashboard!$B$5=""),C593=Dashboard!$B$5),OR(OR(Dashboard!$K$5="All",Dashboard!$K$5=""),A593=Dashboard!$K$5),OR(OR(Dashboard!$N$5="All",Dashboard!$N$5=""),B593=Dashboard!$N$5),OR(OR(Dashboard!$Q$5="All",Dashboard!$Q$5=""),D593=Dashboard!$Q$5),OR(OR(Dashboard!$U$5="All",Dashboard!$U$5=""),E593=Dashboard!$U$5)),1,0))</f>
        <v>1</v>
      </c>
      <c r="O593" s="165">
        <f t="shared" si="79"/>
        <v>0</v>
      </c>
      <c r="AG593" s="178" t="str">
        <f>IF(E593="","",IFERROR(IF(INDEX('Item Purchases'!$AM$4:$AM$30,MATCH(E593,'Item Purchases'!$B$4:$B$30,0))="","Uncategorised",INDEX('Item Purchases'!$AM$4:$AM$30,MATCH(E593,'Item Purchases'!$B$4:$B$30,0))),"Uncategorised"))</f>
        <v>Beverages</v>
      </c>
      <c r="AH593" s="165">
        <f>IF(AND(E593&lt;&gt;"",L593=1),COUNTIFS($E$2:E593,E593,$L$2:L593,1),0)</f>
        <v>0</v>
      </c>
      <c r="AI593" s="165">
        <f t="shared" si="80"/>
        <v>0</v>
      </c>
      <c r="AJ593" s="165">
        <f t="shared" si="81"/>
        <v>0</v>
      </c>
    </row>
    <row r="594" spans="1:36" x14ac:dyDescent="0.25">
      <c r="A594" s="177">
        <f t="shared" si="75"/>
        <v>0</v>
      </c>
      <c r="B594" s="178" t="str">
        <f t="shared" si="76"/>
        <v/>
      </c>
      <c r="C594" s="178" t="str">
        <f>'Pantry Inventory'!$A$132</f>
        <v>Sep Week 5</v>
      </c>
      <c r="D594" s="178" t="str">
        <f>IF('Pantry Inventory'!A160="","",'Pantry Inventory'!A160)</f>
        <v>Oat Side</v>
      </c>
      <c r="E594" s="178" t="str">
        <f>IF('Pantry Inventory'!B160="","",'Pantry Inventory'!B160)</f>
        <v>Oat Side Original 200ml</v>
      </c>
      <c r="F594" s="178" t="str">
        <f>IF(E594="","",IFERROR(IF(INDEX('Item Purchases'!$S$4:$S$30,MATCH(E594,'Item Purchases'!$B$4:$B$30,0))="","Uncategorised",INDEX('Item Purchases'!$S$4:$S$30,MATCH(E594,'Item Purchases'!$B$4:$B$30,0))),"Uncategorised"))</f>
        <v>Other</v>
      </c>
      <c r="G594" s="178">
        <f>IF(E594="",0,'Pantry Inventory'!G160)</f>
        <v>0</v>
      </c>
      <c r="H594" s="178" t="str">
        <f>IF(E594="","",IF('Pantry Inventory'!H160="","",'Pantry Inventory'!H160))</f>
        <v/>
      </c>
      <c r="I594" s="178" t="str">
        <f>IF(H594="","",'Pantry Inventory'!I160)</f>
        <v/>
      </c>
      <c r="J594" s="179">
        <f>IF(E594="",0,IFERROR(INDEX('Item Purchases'!$Q$4:$Q$30,MATCH(E594,'Item Purchases'!$B$4:$B$30,0)),0))</f>
        <v>3</v>
      </c>
      <c r="K594" s="180" t="str">
        <f t="shared" si="77"/>
        <v/>
      </c>
      <c r="L594" s="178">
        <f t="shared" si="78"/>
        <v>0</v>
      </c>
      <c r="M594" s="178">
        <f>IF(E594="",0,IF(AND(OR(OR(Dashboard!$E$5="All",Dashboard!$E$5=""),AG594=Dashboard!$E$5),OR(OR(Dashboard!$H$5="All",Dashboard!$H$5=""),F594=Dashboard!$H$5),OR(OR(Dashboard!$B$5="All",Dashboard!$B$5=""),C594=Dashboard!$B$5),OR(OR(Dashboard!$K$5="All",Dashboard!$K$5=""),A594=Dashboard!$K$5),OR(OR(Dashboard!$N$5="All",Dashboard!$N$5=""),B594=Dashboard!$N$5),OR(OR(Dashboard!$Q$5="All",Dashboard!$Q$5=""),D594=Dashboard!$Q$5),OR(OR(Dashboard!$U$5="All",Dashboard!$U$5=""),E594=Dashboard!$U$5)),1,0))</f>
        <v>1</v>
      </c>
      <c r="N594" s="178">
        <f>IF(E594="",0,IF(AND(OR(OR(Dashboard!$E$5="All",Dashboard!$E$5=""),AG594=Dashboard!$E$5),OR(OR(Dashboard!$B$5="All",Dashboard!$B$5=""),C594=Dashboard!$B$5),OR(OR(Dashboard!$K$5="All",Dashboard!$K$5=""),A594=Dashboard!$K$5),OR(OR(Dashboard!$N$5="All",Dashboard!$N$5=""),B594=Dashboard!$N$5),OR(OR(Dashboard!$Q$5="All",Dashboard!$Q$5=""),D594=Dashboard!$Q$5),OR(OR(Dashboard!$U$5="All",Dashboard!$U$5=""),E594=Dashboard!$U$5)),1,0))</f>
        <v>1</v>
      </c>
      <c r="O594" s="165">
        <f t="shared" si="79"/>
        <v>0</v>
      </c>
      <c r="AG594" s="178" t="str">
        <f>IF(E594="","",IFERROR(IF(INDEX('Item Purchases'!$AM$4:$AM$30,MATCH(E594,'Item Purchases'!$B$4:$B$30,0))="","Uncategorised",INDEX('Item Purchases'!$AM$4:$AM$30,MATCH(E594,'Item Purchases'!$B$4:$B$30,0))),"Uncategorised"))</f>
        <v>Beverages</v>
      </c>
      <c r="AH594" s="165">
        <f>IF(AND(E594&lt;&gt;"",L594=1),COUNTIFS($E$2:E594,E594,$L$2:L594,1),0)</f>
        <v>0</v>
      </c>
      <c r="AI594" s="165">
        <f t="shared" si="80"/>
        <v>0</v>
      </c>
      <c r="AJ594" s="165">
        <f t="shared" si="81"/>
        <v>0</v>
      </c>
    </row>
    <row r="595" spans="1:36" x14ac:dyDescent="0.25">
      <c r="A595" s="177">
        <f t="shared" si="75"/>
        <v>0</v>
      </c>
      <c r="B595" s="178" t="str">
        <f t="shared" si="76"/>
        <v/>
      </c>
      <c r="C595" s="178" t="str">
        <f>'Pantry Inventory'!$A$132</f>
        <v>Sep Week 5</v>
      </c>
      <c r="D595" s="178" t="str">
        <f>IF('Pantry Inventory'!A161="","",'Pantry Inventory'!A161)</f>
        <v>Oat Side</v>
      </c>
      <c r="E595" s="178" t="str">
        <f>IF('Pantry Inventory'!B161="","",'Pantry Inventory'!B161)</f>
        <v>Oat Side Chocolate 200ml</v>
      </c>
      <c r="F595" s="178" t="str">
        <f>IF(E595="","",IFERROR(IF(INDEX('Item Purchases'!$S$4:$S$30,MATCH(E595,'Item Purchases'!$B$4:$B$30,0))="","Uncategorised",INDEX('Item Purchases'!$S$4:$S$30,MATCH(E595,'Item Purchases'!$B$4:$B$30,0))),"Uncategorised"))</f>
        <v>Other</v>
      </c>
      <c r="G595" s="178">
        <f>IF(E595="",0,'Pantry Inventory'!G161)</f>
        <v>0</v>
      </c>
      <c r="H595" s="178" t="str">
        <f>IF(E595="","",IF('Pantry Inventory'!H161="","",'Pantry Inventory'!H161))</f>
        <v/>
      </c>
      <c r="I595" s="178" t="str">
        <f>IF(H595="","",'Pantry Inventory'!I161)</f>
        <v/>
      </c>
      <c r="J595" s="179">
        <f>IF(E595="",0,IFERROR(INDEX('Item Purchases'!$Q$4:$Q$30,MATCH(E595,'Item Purchases'!$B$4:$B$30,0)),0))</f>
        <v>3</v>
      </c>
      <c r="K595" s="180" t="str">
        <f t="shared" si="77"/>
        <v/>
      </c>
      <c r="L595" s="178">
        <f t="shared" si="78"/>
        <v>0</v>
      </c>
      <c r="M595" s="178">
        <f>IF(E595="",0,IF(AND(OR(OR(Dashboard!$E$5="All",Dashboard!$E$5=""),AG595=Dashboard!$E$5),OR(OR(Dashboard!$H$5="All",Dashboard!$H$5=""),F595=Dashboard!$H$5),OR(OR(Dashboard!$B$5="All",Dashboard!$B$5=""),C595=Dashboard!$B$5),OR(OR(Dashboard!$K$5="All",Dashboard!$K$5=""),A595=Dashboard!$K$5),OR(OR(Dashboard!$N$5="All",Dashboard!$N$5=""),B595=Dashboard!$N$5),OR(OR(Dashboard!$Q$5="All",Dashboard!$Q$5=""),D595=Dashboard!$Q$5),OR(OR(Dashboard!$U$5="All",Dashboard!$U$5=""),E595=Dashboard!$U$5)),1,0))</f>
        <v>1</v>
      </c>
      <c r="N595" s="178">
        <f>IF(E595="",0,IF(AND(OR(OR(Dashboard!$E$5="All",Dashboard!$E$5=""),AG595=Dashboard!$E$5),OR(OR(Dashboard!$B$5="All",Dashboard!$B$5=""),C595=Dashboard!$B$5),OR(OR(Dashboard!$K$5="All",Dashboard!$K$5=""),A595=Dashboard!$K$5),OR(OR(Dashboard!$N$5="All",Dashboard!$N$5=""),B595=Dashboard!$N$5),OR(OR(Dashboard!$Q$5="All",Dashboard!$Q$5=""),D595=Dashboard!$Q$5),OR(OR(Dashboard!$U$5="All",Dashboard!$U$5=""),E595=Dashboard!$U$5)),1,0))</f>
        <v>1</v>
      </c>
      <c r="O595" s="165">
        <f t="shared" si="79"/>
        <v>0</v>
      </c>
      <c r="AG595" s="178" t="str">
        <f>IF(E595="","",IFERROR(IF(INDEX('Item Purchases'!$AM$4:$AM$30,MATCH(E595,'Item Purchases'!$B$4:$B$30,0))="","Uncategorised",INDEX('Item Purchases'!$AM$4:$AM$30,MATCH(E595,'Item Purchases'!$B$4:$B$30,0))),"Uncategorised"))</f>
        <v>Beverages</v>
      </c>
      <c r="AH595" s="165">
        <f>IF(AND(E595&lt;&gt;"",L595=1),COUNTIFS($E$2:E595,E595,$L$2:L595,1),0)</f>
        <v>0</v>
      </c>
      <c r="AI595" s="165">
        <f t="shared" si="80"/>
        <v>0</v>
      </c>
      <c r="AJ595" s="165">
        <f t="shared" si="81"/>
        <v>0</v>
      </c>
    </row>
    <row r="596" spans="1:36" x14ac:dyDescent="0.25">
      <c r="A596" s="177">
        <f t="shared" ref="A596:A622" si="82">IF($Z$24="",0,$Z$24)</f>
        <v>0</v>
      </c>
      <c r="B596" s="178" t="str">
        <f t="shared" si="76"/>
        <v/>
      </c>
      <c r="C596" s="178" t="str">
        <f>'Pantry Inventory'!$A$132</f>
        <v>Sep Week 5</v>
      </c>
      <c r="D596" s="178" t="str">
        <f>IF('Pantry Inventory'!A135="","",'Pantry Inventory'!A135)</f>
        <v>Julie's</v>
      </c>
      <c r="E596" s="178" t="str">
        <f>IF('Pantry Inventory'!B135="","",'Pantry Inventory'!B135)</f>
        <v>Julie's Peanut Butter Sandwich 360g (12pkts x 30g)</v>
      </c>
      <c r="F596" s="178" t="str">
        <f>IF(E596="","",IFERROR(IF(INDEX('Item Purchases'!$S$4:$S$30,MATCH(E596,'Item Purchases'!$B$4:$B$30,0))="","Uncategorised",INDEX('Item Purchases'!$S$4:$S$30,MATCH(E596,'Item Purchases'!$B$4:$B$30,0))),"Uncategorised"))</f>
        <v>Sweet</v>
      </c>
      <c r="G596" s="178">
        <f>IF(E596="",0,'Pantry Inventory'!J135)</f>
        <v>0</v>
      </c>
      <c r="H596" s="178" t="str">
        <f>IF(E596="","",IF('Pantry Inventory'!K135="","",'Pantry Inventory'!K135))</f>
        <v/>
      </c>
      <c r="I596" s="178" t="str">
        <f>IF(H596="","",'Pantry Inventory'!L135)</f>
        <v/>
      </c>
      <c r="J596" s="179">
        <f>IF(E596="",0,IFERROR(INDEX('Item Purchases'!$Q$4:$Q$30,MATCH(E596,'Item Purchases'!$B$4:$B$30,0)),0))</f>
        <v>1.083</v>
      </c>
      <c r="K596" s="180" t="str">
        <f t="shared" si="77"/>
        <v/>
      </c>
      <c r="L596" s="178">
        <f t="shared" si="78"/>
        <v>0</v>
      </c>
      <c r="M596" s="178">
        <f>IF(E596="",0,IF(AND(OR(OR(Dashboard!$E$5="All",Dashboard!$E$5=""),AG596=Dashboard!$E$5),OR(OR(Dashboard!$H$5="All",Dashboard!$H$5=""),F596=Dashboard!$H$5),OR(OR(Dashboard!$B$5="All",Dashboard!$B$5=""),C596=Dashboard!$B$5),OR(OR(Dashboard!$K$5="All",Dashboard!$K$5=""),A596=Dashboard!$K$5),OR(OR(Dashboard!$N$5="All",Dashboard!$N$5=""),B596=Dashboard!$N$5),OR(OR(Dashboard!$Q$5="All",Dashboard!$Q$5=""),D596=Dashboard!$Q$5),OR(OR(Dashboard!$U$5="All",Dashboard!$U$5=""),E596=Dashboard!$U$5)),1,0))</f>
        <v>1</v>
      </c>
      <c r="N596" s="178">
        <f>IF(E596="",0,IF(AND(OR(OR(Dashboard!$E$5="All",Dashboard!$E$5=""),AG596=Dashboard!$E$5),OR(OR(Dashboard!$B$5="All",Dashboard!$B$5=""),C596=Dashboard!$B$5),OR(OR(Dashboard!$K$5="All",Dashboard!$K$5=""),A596=Dashboard!$K$5),OR(OR(Dashboard!$N$5="All",Dashboard!$N$5=""),B596=Dashboard!$N$5),OR(OR(Dashboard!$Q$5="All",Dashboard!$Q$5=""),D596=Dashboard!$Q$5),OR(OR(Dashboard!$U$5="All",Dashboard!$U$5=""),E596=Dashboard!$U$5)),1,0))</f>
        <v>1</v>
      </c>
      <c r="O596" s="165">
        <f t="shared" si="79"/>
        <v>0</v>
      </c>
      <c r="AG596" s="178" t="str">
        <f>IF(E596="","",IFERROR(IF(INDEX('Item Purchases'!$AM$4:$AM$30,MATCH(E596,'Item Purchases'!$B$4:$B$30,0))="","Uncategorised",INDEX('Item Purchases'!$AM$4:$AM$30,MATCH(E596,'Item Purchases'!$B$4:$B$30,0))),"Uncategorised"))</f>
        <v>Snacks</v>
      </c>
      <c r="AH596" s="165">
        <f>IF(AND(E596&lt;&gt;"",L596=1),COUNTIFS($E$2:E596,E596,$L$2:L596,1),0)</f>
        <v>0</v>
      </c>
      <c r="AI596" s="165">
        <f t="shared" si="80"/>
        <v>0</v>
      </c>
      <c r="AJ596" s="165">
        <f t="shared" si="81"/>
        <v>0</v>
      </c>
    </row>
    <row r="597" spans="1:36" x14ac:dyDescent="0.25">
      <c r="A597" s="177">
        <f t="shared" si="82"/>
        <v>0</v>
      </c>
      <c r="B597" s="178" t="str">
        <f t="shared" si="76"/>
        <v/>
      </c>
      <c r="C597" s="178" t="str">
        <f>'Pantry Inventory'!$A$132</f>
        <v>Sep Week 5</v>
      </c>
      <c r="D597" s="178" t="str">
        <f>IF('Pantry Inventory'!A136="","",'Pantry Inventory'!A136)</f>
        <v>Julie's</v>
      </c>
      <c r="E597" s="178" t="str">
        <f>IF('Pantry Inventory'!B136="","",'Pantry Inventory'!B136)</f>
        <v>Julies Butter Waffles</v>
      </c>
      <c r="F597" s="178" t="str">
        <f>IF(E597="","",IFERROR(IF(INDEX('Item Purchases'!$S$4:$S$30,MATCH(E597,'Item Purchases'!$B$4:$B$30,0))="","Uncategorised",INDEX('Item Purchases'!$S$4:$S$30,MATCH(E597,'Item Purchases'!$B$4:$B$30,0))),"Uncategorised"))</f>
        <v>Sweet</v>
      </c>
      <c r="G597" s="178">
        <f>IF(E597="",0,'Pantry Inventory'!J136)</f>
        <v>0</v>
      </c>
      <c r="H597" s="178" t="str">
        <f>IF(E597="","",IF('Pantry Inventory'!K136="","",'Pantry Inventory'!K136))</f>
        <v/>
      </c>
      <c r="I597" s="178" t="str">
        <f>IF(H597="","",'Pantry Inventory'!L136)</f>
        <v/>
      </c>
      <c r="J597" s="179">
        <f>IF(E597="",0,IFERROR(INDEX('Item Purchases'!$Q$4:$Q$30,MATCH(E597,'Item Purchases'!$B$4:$B$30,0)),0))</f>
        <v>5.15</v>
      </c>
      <c r="K597" s="180" t="str">
        <f t="shared" si="77"/>
        <v/>
      </c>
      <c r="L597" s="178">
        <f t="shared" si="78"/>
        <v>0</v>
      </c>
      <c r="M597" s="178">
        <f>IF(E597="",0,IF(AND(OR(OR(Dashboard!$E$5="All",Dashboard!$E$5=""),AG597=Dashboard!$E$5),OR(OR(Dashboard!$H$5="All",Dashboard!$H$5=""),F597=Dashboard!$H$5),OR(OR(Dashboard!$B$5="All",Dashboard!$B$5=""),C597=Dashboard!$B$5),OR(OR(Dashboard!$K$5="All",Dashboard!$K$5=""),A597=Dashboard!$K$5),OR(OR(Dashboard!$N$5="All",Dashboard!$N$5=""),B597=Dashboard!$N$5),OR(OR(Dashboard!$Q$5="All",Dashboard!$Q$5=""),D597=Dashboard!$Q$5),OR(OR(Dashboard!$U$5="All",Dashboard!$U$5=""),E597=Dashboard!$U$5)),1,0))</f>
        <v>1</v>
      </c>
      <c r="N597" s="178">
        <f>IF(E597="",0,IF(AND(OR(OR(Dashboard!$E$5="All",Dashboard!$E$5=""),AG597=Dashboard!$E$5),OR(OR(Dashboard!$B$5="All",Dashboard!$B$5=""),C597=Dashboard!$B$5),OR(OR(Dashboard!$K$5="All",Dashboard!$K$5=""),A597=Dashboard!$K$5),OR(OR(Dashboard!$N$5="All",Dashboard!$N$5=""),B597=Dashboard!$N$5),OR(OR(Dashboard!$Q$5="All",Dashboard!$Q$5=""),D597=Dashboard!$Q$5),OR(OR(Dashboard!$U$5="All",Dashboard!$U$5=""),E597=Dashboard!$U$5)),1,0))</f>
        <v>1</v>
      </c>
      <c r="O597" s="165">
        <f t="shared" si="79"/>
        <v>0</v>
      </c>
      <c r="AG597" s="178" t="str">
        <f>IF(E597="","",IFERROR(IF(INDEX('Item Purchases'!$AM$4:$AM$30,MATCH(E597,'Item Purchases'!$B$4:$B$30,0))="","Uncategorised",INDEX('Item Purchases'!$AM$4:$AM$30,MATCH(E597,'Item Purchases'!$B$4:$B$30,0))),"Uncategorised"))</f>
        <v>Snacks</v>
      </c>
      <c r="AH597" s="165">
        <f>IF(AND(E597&lt;&gt;"",L597=1),COUNTIFS($E$2:E597,E597,$L$2:L597,1),0)</f>
        <v>0</v>
      </c>
      <c r="AI597" s="165">
        <f t="shared" si="80"/>
        <v>0</v>
      </c>
      <c r="AJ597" s="165">
        <f t="shared" si="81"/>
        <v>0</v>
      </c>
    </row>
    <row r="598" spans="1:36" x14ac:dyDescent="0.25">
      <c r="A598" s="177">
        <f t="shared" si="82"/>
        <v>0</v>
      </c>
      <c r="B598" s="178" t="str">
        <f t="shared" si="76"/>
        <v/>
      </c>
      <c r="C598" s="178" t="str">
        <f>'Pantry Inventory'!$A$132</f>
        <v>Sep Week 5</v>
      </c>
      <c r="D598" s="178" t="str">
        <f>IF('Pantry Inventory'!A137="","",'Pantry Inventory'!A137)</f>
        <v>Julie's</v>
      </c>
      <c r="E598" s="178" t="str">
        <f>IF('Pantry Inventory'!B137="","",'Pantry Inventory'!B137)</f>
        <v>Julies Choco More Sandwich (44G)</v>
      </c>
      <c r="F598" s="178" t="str">
        <f>IF(E598="","",IFERROR(IF(INDEX('Item Purchases'!$S$4:$S$30,MATCH(E598,'Item Purchases'!$B$4:$B$30,0))="","Uncategorised",INDEX('Item Purchases'!$S$4:$S$30,MATCH(E598,'Item Purchases'!$B$4:$B$30,0))),"Uncategorised"))</f>
        <v>Sweet</v>
      </c>
      <c r="G598" s="178">
        <f>IF(E598="",0,'Pantry Inventory'!J137)</f>
        <v>0</v>
      </c>
      <c r="H598" s="178" t="str">
        <f>IF(E598="","",IF('Pantry Inventory'!K137="","",'Pantry Inventory'!K137))</f>
        <v/>
      </c>
      <c r="I598" s="178" t="str">
        <f>IF(H598="","",'Pantry Inventory'!L137)</f>
        <v/>
      </c>
      <c r="J598" s="179">
        <f>IF(E598="",0,IFERROR(INDEX('Item Purchases'!$Q$4:$Q$30,MATCH(E598,'Item Purchases'!$B$4:$B$30,0)),0))</f>
        <v>1.2</v>
      </c>
      <c r="K598" s="180" t="str">
        <f t="shared" si="77"/>
        <v/>
      </c>
      <c r="L598" s="178">
        <f t="shared" si="78"/>
        <v>0</v>
      </c>
      <c r="M598" s="178">
        <f>IF(E598="",0,IF(AND(OR(OR(Dashboard!$E$5="All",Dashboard!$E$5=""),AG598=Dashboard!$E$5),OR(OR(Dashboard!$H$5="All",Dashboard!$H$5=""),F598=Dashboard!$H$5),OR(OR(Dashboard!$B$5="All",Dashboard!$B$5=""),C598=Dashboard!$B$5),OR(OR(Dashboard!$K$5="All",Dashboard!$K$5=""),A598=Dashboard!$K$5),OR(OR(Dashboard!$N$5="All",Dashboard!$N$5=""),B598=Dashboard!$N$5),OR(OR(Dashboard!$Q$5="All",Dashboard!$Q$5=""),D598=Dashboard!$Q$5),OR(OR(Dashboard!$U$5="All",Dashboard!$U$5=""),E598=Dashboard!$U$5)),1,0))</f>
        <v>1</v>
      </c>
      <c r="N598" s="178">
        <f>IF(E598="",0,IF(AND(OR(OR(Dashboard!$E$5="All",Dashboard!$E$5=""),AG598=Dashboard!$E$5),OR(OR(Dashboard!$B$5="All",Dashboard!$B$5=""),C598=Dashboard!$B$5),OR(OR(Dashboard!$K$5="All",Dashboard!$K$5=""),A598=Dashboard!$K$5),OR(OR(Dashboard!$N$5="All",Dashboard!$N$5=""),B598=Dashboard!$N$5),OR(OR(Dashboard!$Q$5="All",Dashboard!$Q$5=""),D598=Dashboard!$Q$5),OR(OR(Dashboard!$U$5="All",Dashboard!$U$5=""),E598=Dashboard!$U$5)),1,0))</f>
        <v>1</v>
      </c>
      <c r="O598" s="165">
        <f t="shared" si="79"/>
        <v>0</v>
      </c>
      <c r="AG598" s="178" t="str">
        <f>IF(E598="","",IFERROR(IF(INDEX('Item Purchases'!$AM$4:$AM$30,MATCH(E598,'Item Purchases'!$B$4:$B$30,0))="","Uncategorised",INDEX('Item Purchases'!$AM$4:$AM$30,MATCH(E598,'Item Purchases'!$B$4:$B$30,0))),"Uncategorised"))</f>
        <v>Snacks</v>
      </c>
      <c r="AH598" s="165">
        <f>IF(AND(E598&lt;&gt;"",L598=1),COUNTIFS($E$2:E598,E598,$L$2:L598,1),0)</f>
        <v>0</v>
      </c>
      <c r="AI598" s="165">
        <f t="shared" si="80"/>
        <v>0</v>
      </c>
      <c r="AJ598" s="165">
        <f t="shared" si="81"/>
        <v>0</v>
      </c>
    </row>
    <row r="599" spans="1:36" x14ac:dyDescent="0.25">
      <c r="A599" s="177">
        <f t="shared" si="82"/>
        <v>0</v>
      </c>
      <c r="B599" s="178" t="str">
        <f t="shared" si="76"/>
        <v/>
      </c>
      <c r="C599" s="178" t="str">
        <f>'Pantry Inventory'!$A$132</f>
        <v>Sep Week 5</v>
      </c>
      <c r="D599" s="178" t="str">
        <f>IF('Pantry Inventory'!A138="","",'Pantry Inventory'!A138)</f>
        <v>Julie's</v>
      </c>
      <c r="E599" s="178" t="str">
        <f>IF('Pantry Inventory'!B138="","",'Pantry Inventory'!B138)</f>
        <v>Julies Cheese Sandwich (28G)</v>
      </c>
      <c r="F599" s="178" t="str">
        <f>IF(E599="","",IFERROR(IF(INDEX('Item Purchases'!$S$4:$S$30,MATCH(E599,'Item Purchases'!$B$4:$B$30,0))="","Uncategorised",INDEX('Item Purchases'!$S$4:$S$30,MATCH(E599,'Item Purchases'!$B$4:$B$30,0))),"Uncategorised"))</f>
        <v>Savoury</v>
      </c>
      <c r="G599" s="178">
        <f>IF(E599="",0,'Pantry Inventory'!J138)</f>
        <v>0</v>
      </c>
      <c r="H599" s="178" t="str">
        <f>IF(E599="","",IF('Pantry Inventory'!K138="","",'Pantry Inventory'!K138))</f>
        <v/>
      </c>
      <c r="I599" s="178" t="str">
        <f>IF(H599="","",'Pantry Inventory'!L138)</f>
        <v/>
      </c>
      <c r="J599" s="179">
        <f>IF(E599="",0,IFERROR(INDEX('Item Purchases'!$Q$4:$Q$30,MATCH(E599,'Item Purchases'!$B$4:$B$30,0)),0))</f>
        <v>1.1000000000000001</v>
      </c>
      <c r="K599" s="180" t="str">
        <f t="shared" si="77"/>
        <v/>
      </c>
      <c r="L599" s="178">
        <f t="shared" si="78"/>
        <v>0</v>
      </c>
      <c r="M599" s="178">
        <f>IF(E599="",0,IF(AND(OR(OR(Dashboard!$E$5="All",Dashboard!$E$5=""),AG599=Dashboard!$E$5),OR(OR(Dashboard!$H$5="All",Dashboard!$H$5=""),F599=Dashboard!$H$5),OR(OR(Dashboard!$B$5="All",Dashboard!$B$5=""),C599=Dashboard!$B$5),OR(OR(Dashboard!$K$5="All",Dashboard!$K$5=""),A599=Dashboard!$K$5),OR(OR(Dashboard!$N$5="All",Dashboard!$N$5=""),B599=Dashboard!$N$5),OR(OR(Dashboard!$Q$5="All",Dashboard!$Q$5=""),D599=Dashboard!$Q$5),OR(OR(Dashboard!$U$5="All",Dashboard!$U$5=""),E599=Dashboard!$U$5)),1,0))</f>
        <v>1</v>
      </c>
      <c r="N599" s="178">
        <f>IF(E599="",0,IF(AND(OR(OR(Dashboard!$E$5="All",Dashboard!$E$5=""),AG599=Dashboard!$E$5),OR(OR(Dashboard!$B$5="All",Dashboard!$B$5=""),C599=Dashboard!$B$5),OR(OR(Dashboard!$K$5="All",Dashboard!$K$5=""),A599=Dashboard!$K$5),OR(OR(Dashboard!$N$5="All",Dashboard!$N$5=""),B599=Dashboard!$N$5),OR(OR(Dashboard!$Q$5="All",Dashboard!$Q$5=""),D599=Dashboard!$Q$5),OR(OR(Dashboard!$U$5="All",Dashboard!$U$5=""),E599=Dashboard!$U$5)),1,0))</f>
        <v>1</v>
      </c>
      <c r="O599" s="165">
        <f t="shared" si="79"/>
        <v>0</v>
      </c>
      <c r="AG599" s="178" t="str">
        <f>IF(E599="","",IFERROR(IF(INDEX('Item Purchases'!$AM$4:$AM$30,MATCH(E599,'Item Purchases'!$B$4:$B$30,0))="","Uncategorised",INDEX('Item Purchases'!$AM$4:$AM$30,MATCH(E599,'Item Purchases'!$B$4:$B$30,0))),"Uncategorised"))</f>
        <v>Snacks</v>
      </c>
      <c r="AH599" s="165">
        <f>IF(AND(E599&lt;&gt;"",L599=1),COUNTIFS($E$2:E599,E599,$L$2:L599,1),0)</f>
        <v>0</v>
      </c>
      <c r="AI599" s="165">
        <f t="shared" si="80"/>
        <v>0</v>
      </c>
      <c r="AJ599" s="165">
        <f t="shared" si="81"/>
        <v>0</v>
      </c>
    </row>
    <row r="600" spans="1:36" x14ac:dyDescent="0.25">
      <c r="A600" s="177">
        <f t="shared" si="82"/>
        <v>0</v>
      </c>
      <c r="B600" s="178" t="str">
        <f t="shared" si="76"/>
        <v/>
      </c>
      <c r="C600" s="178" t="str">
        <f>'Pantry Inventory'!$A$132</f>
        <v>Sep Week 5</v>
      </c>
      <c r="D600" s="178" t="str">
        <f>IF('Pantry Inventory'!A139="","",'Pantry Inventory'!A139)</f>
        <v>Nature Valley</v>
      </c>
      <c r="E600" s="178" t="str">
        <f>IF('Pantry Inventory'!B139="","",'Pantry Inventory'!B139)</f>
        <v>NV OATS &amp; DARK CHOC 42GX5</v>
      </c>
      <c r="F600" s="178" t="str">
        <f>IF(E600="","",IFERROR(IF(INDEX('Item Purchases'!$S$4:$S$30,MATCH(E600,'Item Purchases'!$B$4:$B$30,0))="","Uncategorised",INDEX('Item Purchases'!$S$4:$S$30,MATCH(E600,'Item Purchases'!$B$4:$B$30,0))),"Uncategorised"))</f>
        <v>Sweet</v>
      </c>
      <c r="G600" s="178">
        <f>IF(E600="",0,'Pantry Inventory'!J139)</f>
        <v>0</v>
      </c>
      <c r="H600" s="178" t="str">
        <f>IF(E600="","",IF('Pantry Inventory'!K139="","",'Pantry Inventory'!K139))</f>
        <v/>
      </c>
      <c r="I600" s="178" t="str">
        <f>IF(H600="","",'Pantry Inventory'!L139)</f>
        <v/>
      </c>
      <c r="J600" s="179">
        <f>IF(E600="",0,IFERROR(INDEX('Item Purchases'!$Q$4:$Q$30,MATCH(E600,'Item Purchases'!$B$4:$B$30,0)),0))</f>
        <v>2.78</v>
      </c>
      <c r="K600" s="180" t="str">
        <f t="shared" si="77"/>
        <v/>
      </c>
      <c r="L600" s="178">
        <f t="shared" si="78"/>
        <v>0</v>
      </c>
      <c r="M600" s="178">
        <f>IF(E600="",0,IF(AND(OR(OR(Dashboard!$E$5="All",Dashboard!$E$5=""),AG600=Dashboard!$E$5),OR(OR(Dashboard!$H$5="All",Dashboard!$H$5=""),F600=Dashboard!$H$5),OR(OR(Dashboard!$B$5="All",Dashboard!$B$5=""),C600=Dashboard!$B$5),OR(OR(Dashboard!$K$5="All",Dashboard!$K$5=""),A600=Dashboard!$K$5),OR(OR(Dashboard!$N$5="All",Dashboard!$N$5=""),B600=Dashboard!$N$5),OR(OR(Dashboard!$Q$5="All",Dashboard!$Q$5=""),D600=Dashboard!$Q$5),OR(OR(Dashboard!$U$5="All",Dashboard!$U$5=""),E600=Dashboard!$U$5)),1,0))</f>
        <v>1</v>
      </c>
      <c r="N600" s="178">
        <f>IF(E600="",0,IF(AND(OR(OR(Dashboard!$E$5="All",Dashboard!$E$5=""),AG600=Dashboard!$E$5),OR(OR(Dashboard!$B$5="All",Dashboard!$B$5=""),C600=Dashboard!$B$5),OR(OR(Dashboard!$K$5="All",Dashboard!$K$5=""),A600=Dashboard!$K$5),OR(OR(Dashboard!$N$5="All",Dashboard!$N$5=""),B600=Dashboard!$N$5),OR(OR(Dashboard!$Q$5="All",Dashboard!$Q$5=""),D600=Dashboard!$Q$5),OR(OR(Dashboard!$U$5="All",Dashboard!$U$5=""),E600=Dashboard!$U$5)),1,0))</f>
        <v>1</v>
      </c>
      <c r="O600" s="165">
        <f t="shared" si="79"/>
        <v>0</v>
      </c>
      <c r="AG600" s="178" t="str">
        <f>IF(E600="","",IFERROR(IF(INDEX('Item Purchases'!$AM$4:$AM$30,MATCH(E600,'Item Purchases'!$B$4:$B$30,0))="","Uncategorised",INDEX('Item Purchases'!$AM$4:$AM$30,MATCH(E600,'Item Purchases'!$B$4:$B$30,0))),"Uncategorised"))</f>
        <v>Snacks</v>
      </c>
      <c r="AH600" s="165">
        <f>IF(AND(E600&lt;&gt;"",L600=1),COUNTIFS($E$2:E600,E600,$L$2:L600,1),0)</f>
        <v>0</v>
      </c>
      <c r="AI600" s="165">
        <f t="shared" si="80"/>
        <v>0</v>
      </c>
      <c r="AJ600" s="165">
        <f t="shared" si="81"/>
        <v>0</v>
      </c>
    </row>
    <row r="601" spans="1:36" x14ac:dyDescent="0.25">
      <c r="A601" s="177">
        <f t="shared" si="82"/>
        <v>0</v>
      </c>
      <c r="B601" s="178" t="str">
        <f t="shared" si="76"/>
        <v/>
      </c>
      <c r="C601" s="178" t="str">
        <f>'Pantry Inventory'!$A$132</f>
        <v>Sep Week 5</v>
      </c>
      <c r="D601" s="178" t="str">
        <f>IF('Pantry Inventory'!A140="","",'Pantry Inventory'!A140)</f>
        <v>Nature Valley</v>
      </c>
      <c r="E601" s="178" t="str">
        <f>IF('Pantry Inventory'!B140="","",'Pantry Inventory'!B140)</f>
        <v xml:space="preserve">NV PROTEIN - SALTED CARAMEL 40G </v>
      </c>
      <c r="F601" s="178" t="str">
        <f>IF(E601="","",IFERROR(IF(INDEX('Item Purchases'!$S$4:$S$30,MATCH(E601,'Item Purchases'!$B$4:$B$30,0))="","Uncategorised",INDEX('Item Purchases'!$S$4:$S$30,MATCH(E601,'Item Purchases'!$B$4:$B$30,0))),"Uncategorised"))</f>
        <v>Sweet</v>
      </c>
      <c r="G601" s="178">
        <f>IF(E601="",0,'Pantry Inventory'!J140)</f>
        <v>0</v>
      </c>
      <c r="H601" s="178" t="str">
        <f>IF(E601="","",IF('Pantry Inventory'!K140="","",'Pantry Inventory'!K140))</f>
        <v/>
      </c>
      <c r="I601" s="178" t="str">
        <f>IF(H601="","",'Pantry Inventory'!L140)</f>
        <v/>
      </c>
      <c r="J601" s="179">
        <f>IF(E601="",0,IFERROR(INDEX('Item Purchases'!$Q$4:$Q$30,MATCH(E601,'Item Purchases'!$B$4:$B$30,0)),0))</f>
        <v>4.9000000000000004</v>
      </c>
      <c r="K601" s="180" t="str">
        <f t="shared" si="77"/>
        <v/>
      </c>
      <c r="L601" s="178">
        <f t="shared" si="78"/>
        <v>0</v>
      </c>
      <c r="M601" s="178">
        <f>IF(E601="",0,IF(AND(OR(OR(Dashboard!$E$5="All",Dashboard!$E$5=""),AG601=Dashboard!$E$5),OR(OR(Dashboard!$H$5="All",Dashboard!$H$5=""),F601=Dashboard!$H$5),OR(OR(Dashboard!$B$5="All",Dashboard!$B$5=""),C601=Dashboard!$B$5),OR(OR(Dashboard!$K$5="All",Dashboard!$K$5=""),A601=Dashboard!$K$5),OR(OR(Dashboard!$N$5="All",Dashboard!$N$5=""),B601=Dashboard!$N$5),OR(OR(Dashboard!$Q$5="All",Dashboard!$Q$5=""),D601=Dashboard!$Q$5),OR(OR(Dashboard!$U$5="All",Dashboard!$U$5=""),E601=Dashboard!$U$5)),1,0))</f>
        <v>1</v>
      </c>
      <c r="N601" s="178">
        <f>IF(E601="",0,IF(AND(OR(OR(Dashboard!$E$5="All",Dashboard!$E$5=""),AG601=Dashboard!$E$5),OR(OR(Dashboard!$B$5="All",Dashboard!$B$5=""),C601=Dashboard!$B$5),OR(OR(Dashboard!$K$5="All",Dashboard!$K$5=""),A601=Dashboard!$K$5),OR(OR(Dashboard!$N$5="All",Dashboard!$N$5=""),B601=Dashboard!$N$5),OR(OR(Dashboard!$Q$5="All",Dashboard!$Q$5=""),D601=Dashboard!$Q$5),OR(OR(Dashboard!$U$5="All",Dashboard!$U$5=""),E601=Dashboard!$U$5)),1,0))</f>
        <v>1</v>
      </c>
      <c r="O601" s="165">
        <f t="shared" si="79"/>
        <v>0</v>
      </c>
      <c r="AG601" s="178" t="str">
        <f>IF(E601="","",IFERROR(IF(INDEX('Item Purchases'!$AM$4:$AM$30,MATCH(E601,'Item Purchases'!$B$4:$B$30,0))="","Uncategorised",INDEX('Item Purchases'!$AM$4:$AM$30,MATCH(E601,'Item Purchases'!$B$4:$B$30,0))),"Uncategorised"))</f>
        <v>Snacks</v>
      </c>
      <c r="AH601" s="165">
        <f>IF(AND(E601&lt;&gt;"",L601=1),COUNTIFS($E$2:E601,E601,$L$2:L601,1),0)</f>
        <v>0</v>
      </c>
      <c r="AI601" s="165">
        <f t="shared" si="80"/>
        <v>0</v>
      </c>
      <c r="AJ601" s="165">
        <f t="shared" si="81"/>
        <v>0</v>
      </c>
    </row>
    <row r="602" spans="1:36" x14ac:dyDescent="0.25">
      <c r="A602" s="177">
        <f t="shared" si="82"/>
        <v>0</v>
      </c>
      <c r="B602" s="178" t="str">
        <f t="shared" si="76"/>
        <v/>
      </c>
      <c r="C602" s="178" t="str">
        <f>'Pantry Inventory'!$A$132</f>
        <v>Sep Week 5</v>
      </c>
      <c r="D602" s="178" t="str">
        <f>IF('Pantry Inventory'!A141="","",'Pantry Inventory'!A141)</f>
        <v>BBMG</v>
      </c>
      <c r="E602" s="178" t="str">
        <f>IF('Pantry Inventory'!B141="","",'Pantry Inventory'!B141)</f>
        <v>BBMG 90G</v>
      </c>
      <c r="F602" s="178" t="str">
        <f>IF(E602="","",IFERROR(IF(INDEX('Item Purchases'!$S$4:$S$30,MATCH(E602,'Item Purchases'!$B$4:$B$30,0))="","Uncategorised",INDEX('Item Purchases'!$S$4:$S$30,MATCH(E602,'Item Purchases'!$B$4:$B$30,0))),"Uncategorised"))</f>
        <v>Savoury</v>
      </c>
      <c r="G602" s="178">
        <f>IF(E602="",0,'Pantry Inventory'!J141)</f>
        <v>0</v>
      </c>
      <c r="H602" s="178" t="str">
        <f>IF(E602="","",IF('Pantry Inventory'!K141="","",'Pantry Inventory'!K141))</f>
        <v/>
      </c>
      <c r="I602" s="178" t="str">
        <f>IF(H602="","",'Pantry Inventory'!L141)</f>
        <v/>
      </c>
      <c r="J602" s="179">
        <f>IF(E602="",0,IFERROR(INDEX('Item Purchases'!$Q$4:$Q$30,MATCH(E602,'Item Purchases'!$B$4:$B$30,0)),0))</f>
        <v>0.34300000000000003</v>
      </c>
      <c r="K602" s="180" t="str">
        <f t="shared" si="77"/>
        <v/>
      </c>
      <c r="L602" s="178">
        <f t="shared" si="78"/>
        <v>0</v>
      </c>
      <c r="M602" s="178">
        <f>IF(E602="",0,IF(AND(OR(OR(Dashboard!$E$5="All",Dashboard!$E$5=""),AG602=Dashboard!$E$5),OR(OR(Dashboard!$H$5="All",Dashboard!$H$5=""),F602=Dashboard!$H$5),OR(OR(Dashboard!$B$5="All",Dashboard!$B$5=""),C602=Dashboard!$B$5),OR(OR(Dashboard!$K$5="All",Dashboard!$K$5=""),A602=Dashboard!$K$5),OR(OR(Dashboard!$N$5="All",Dashboard!$N$5=""),B602=Dashboard!$N$5),OR(OR(Dashboard!$Q$5="All",Dashboard!$Q$5=""),D602=Dashboard!$Q$5),OR(OR(Dashboard!$U$5="All",Dashboard!$U$5=""),E602=Dashboard!$U$5)),1,0))</f>
        <v>1</v>
      </c>
      <c r="N602" s="178">
        <f>IF(E602="",0,IF(AND(OR(OR(Dashboard!$E$5="All",Dashboard!$E$5=""),AG602=Dashboard!$E$5),OR(OR(Dashboard!$B$5="All",Dashboard!$B$5=""),C602=Dashboard!$B$5),OR(OR(Dashboard!$K$5="All",Dashboard!$K$5=""),A602=Dashboard!$K$5),OR(OR(Dashboard!$N$5="All",Dashboard!$N$5=""),B602=Dashboard!$N$5),OR(OR(Dashboard!$Q$5="All",Dashboard!$Q$5=""),D602=Dashboard!$Q$5),OR(OR(Dashboard!$U$5="All",Dashboard!$U$5=""),E602=Dashboard!$U$5)),1,0))</f>
        <v>1</v>
      </c>
      <c r="O602" s="165">
        <f t="shared" si="79"/>
        <v>0</v>
      </c>
      <c r="AG602" s="178" t="str">
        <f>IF(E602="","",IFERROR(IF(INDEX('Item Purchases'!$AM$4:$AM$30,MATCH(E602,'Item Purchases'!$B$4:$B$30,0))="","Uncategorised",INDEX('Item Purchases'!$AM$4:$AM$30,MATCH(E602,'Item Purchases'!$B$4:$B$30,0))),"Uncategorised"))</f>
        <v>Snacks</v>
      </c>
      <c r="AH602" s="165">
        <f>IF(AND(E602&lt;&gt;"",L602=1),COUNTIFS($E$2:E602,E602,$L$2:L602,1),0)</f>
        <v>0</v>
      </c>
      <c r="AI602" s="165">
        <f t="shared" si="80"/>
        <v>0</v>
      </c>
      <c r="AJ602" s="165">
        <f t="shared" si="81"/>
        <v>0</v>
      </c>
    </row>
    <row r="603" spans="1:36" x14ac:dyDescent="0.25">
      <c r="A603" s="177">
        <f t="shared" si="82"/>
        <v>0</v>
      </c>
      <c r="B603" s="178" t="str">
        <f t="shared" si="76"/>
        <v/>
      </c>
      <c r="C603" s="178" t="str">
        <f>'Pantry Inventory'!$A$132</f>
        <v>Sep Week 5</v>
      </c>
      <c r="D603" s="178" t="str">
        <f>IF('Pantry Inventory'!A142="","",'Pantry Inventory'!A142)</f>
        <v>Lays</v>
      </c>
      <c r="E603" s="178" t="str">
        <f>IF('Pantry Inventory'!B142="","",'Pantry Inventory'!B142)</f>
        <v>Lays Potato Chips (Original) 50g</v>
      </c>
      <c r="F603" s="178" t="str">
        <f>IF(E603="","",IFERROR(IF(INDEX('Item Purchases'!$S$4:$S$30,MATCH(E603,'Item Purchases'!$B$4:$B$30,0))="","Uncategorised",INDEX('Item Purchases'!$S$4:$S$30,MATCH(E603,'Item Purchases'!$B$4:$B$30,0))),"Uncategorised"))</f>
        <v>Savoury</v>
      </c>
      <c r="G603" s="178">
        <f>IF(E603="",0,'Pantry Inventory'!J142)</f>
        <v>0</v>
      </c>
      <c r="H603" s="178" t="str">
        <f>IF(E603="","",IF('Pantry Inventory'!K142="","",'Pantry Inventory'!K142))</f>
        <v/>
      </c>
      <c r="I603" s="178" t="str">
        <f>IF(H603="","",'Pantry Inventory'!L142)</f>
        <v/>
      </c>
      <c r="J603" s="179">
        <f>IF(E603="",0,IFERROR(INDEX('Item Purchases'!$Q$4:$Q$30,MATCH(E603,'Item Purchases'!$B$4:$B$30,0)),0))</f>
        <v>3.4580000000000002</v>
      </c>
      <c r="K603" s="180" t="str">
        <f t="shared" si="77"/>
        <v/>
      </c>
      <c r="L603" s="178">
        <f t="shared" si="78"/>
        <v>0</v>
      </c>
      <c r="M603" s="178">
        <f>IF(E603="",0,IF(AND(OR(OR(Dashboard!$E$5="All",Dashboard!$E$5=""),AG603=Dashboard!$E$5),OR(OR(Dashboard!$H$5="All",Dashboard!$H$5=""),F603=Dashboard!$H$5),OR(OR(Dashboard!$B$5="All",Dashboard!$B$5=""),C603=Dashboard!$B$5),OR(OR(Dashboard!$K$5="All",Dashboard!$K$5=""),A603=Dashboard!$K$5),OR(OR(Dashboard!$N$5="All",Dashboard!$N$5=""),B603=Dashboard!$N$5),OR(OR(Dashboard!$Q$5="All",Dashboard!$Q$5=""),D603=Dashboard!$Q$5),OR(OR(Dashboard!$U$5="All",Dashboard!$U$5=""),E603=Dashboard!$U$5)),1,0))</f>
        <v>1</v>
      </c>
      <c r="N603" s="178">
        <f>IF(E603="",0,IF(AND(OR(OR(Dashboard!$E$5="All",Dashboard!$E$5=""),AG603=Dashboard!$E$5),OR(OR(Dashboard!$B$5="All",Dashboard!$B$5=""),C603=Dashboard!$B$5),OR(OR(Dashboard!$K$5="All",Dashboard!$K$5=""),A603=Dashboard!$K$5),OR(OR(Dashboard!$N$5="All",Dashboard!$N$5=""),B603=Dashboard!$N$5),OR(OR(Dashboard!$Q$5="All",Dashboard!$Q$5=""),D603=Dashboard!$Q$5),OR(OR(Dashboard!$U$5="All",Dashboard!$U$5=""),E603=Dashboard!$U$5)),1,0))</f>
        <v>1</v>
      </c>
      <c r="O603" s="165">
        <f t="shared" si="79"/>
        <v>0</v>
      </c>
      <c r="AG603" s="178" t="str">
        <f>IF(E603="","",IFERROR(IF(INDEX('Item Purchases'!$AM$4:$AM$30,MATCH(E603,'Item Purchases'!$B$4:$B$30,0))="","Uncategorised",INDEX('Item Purchases'!$AM$4:$AM$30,MATCH(E603,'Item Purchases'!$B$4:$B$30,0))),"Uncategorised"))</f>
        <v>Snacks</v>
      </c>
      <c r="AH603" s="165">
        <f>IF(AND(E603&lt;&gt;"",L603=1),COUNTIFS($E$2:E603,E603,$L$2:L603,1),0)</f>
        <v>0</v>
      </c>
      <c r="AI603" s="165">
        <f t="shared" si="80"/>
        <v>0</v>
      </c>
      <c r="AJ603" s="165">
        <f t="shared" si="81"/>
        <v>0</v>
      </c>
    </row>
    <row r="604" spans="1:36" x14ac:dyDescent="0.25">
      <c r="A604" s="177">
        <f t="shared" si="82"/>
        <v>0</v>
      </c>
      <c r="B604" s="178" t="str">
        <f t="shared" si="76"/>
        <v/>
      </c>
      <c r="C604" s="178" t="str">
        <f>'Pantry Inventory'!$A$132</f>
        <v>Sep Week 5</v>
      </c>
      <c r="D604" s="178" t="str">
        <f>IF('Pantry Inventory'!A143="","",'Pantry Inventory'!A143)</f>
        <v>Lays</v>
      </c>
      <c r="E604" s="178" t="str">
        <f>IF('Pantry Inventory'!B143="","",'Pantry Inventory'!B143)</f>
        <v xml:space="preserve">Lays Double Crunch - Seaweed Flav (50g) </v>
      </c>
      <c r="F604" s="178" t="str">
        <f>IF(E604="","",IFERROR(IF(INDEX('Item Purchases'!$S$4:$S$30,MATCH(E604,'Item Purchases'!$B$4:$B$30,0))="","Uncategorised",INDEX('Item Purchases'!$S$4:$S$30,MATCH(E604,'Item Purchases'!$B$4:$B$30,0))),"Uncategorised"))</f>
        <v>Savoury</v>
      </c>
      <c r="G604" s="178">
        <f>IF(E604="",0,'Pantry Inventory'!J143)</f>
        <v>0</v>
      </c>
      <c r="H604" s="178" t="str">
        <f>IF(E604="","",IF('Pantry Inventory'!K143="","",'Pantry Inventory'!K143))</f>
        <v/>
      </c>
      <c r="I604" s="178" t="str">
        <f>IF(H604="","",'Pantry Inventory'!L143)</f>
        <v/>
      </c>
      <c r="J604" s="179">
        <f>IF(E604="",0,IFERROR(INDEX('Item Purchases'!$Q$4:$Q$30,MATCH(E604,'Item Purchases'!$B$4:$B$30,0)),0))</f>
        <v>4</v>
      </c>
      <c r="K604" s="180" t="str">
        <f t="shared" si="77"/>
        <v/>
      </c>
      <c r="L604" s="178">
        <f t="shared" si="78"/>
        <v>0</v>
      </c>
      <c r="M604" s="178">
        <f>IF(E604="",0,IF(AND(OR(OR(Dashboard!$E$5="All",Dashboard!$E$5=""),AG604=Dashboard!$E$5),OR(OR(Dashboard!$H$5="All",Dashboard!$H$5=""),F604=Dashboard!$H$5),OR(OR(Dashboard!$B$5="All",Dashboard!$B$5=""),C604=Dashboard!$B$5),OR(OR(Dashboard!$K$5="All",Dashboard!$K$5=""),A604=Dashboard!$K$5),OR(OR(Dashboard!$N$5="All",Dashboard!$N$5=""),B604=Dashboard!$N$5),OR(OR(Dashboard!$Q$5="All",Dashboard!$Q$5=""),D604=Dashboard!$Q$5),OR(OR(Dashboard!$U$5="All",Dashboard!$U$5=""),E604=Dashboard!$U$5)),1,0))</f>
        <v>1</v>
      </c>
      <c r="N604" s="178">
        <f>IF(E604="",0,IF(AND(OR(OR(Dashboard!$E$5="All",Dashboard!$E$5=""),AG604=Dashboard!$E$5),OR(OR(Dashboard!$B$5="All",Dashboard!$B$5=""),C604=Dashboard!$B$5),OR(OR(Dashboard!$K$5="All",Dashboard!$K$5=""),A604=Dashboard!$K$5),OR(OR(Dashboard!$N$5="All",Dashboard!$N$5=""),B604=Dashboard!$N$5),OR(OR(Dashboard!$Q$5="All",Dashboard!$Q$5=""),D604=Dashboard!$Q$5),OR(OR(Dashboard!$U$5="All",Dashboard!$U$5=""),E604=Dashboard!$U$5)),1,0))</f>
        <v>1</v>
      </c>
      <c r="O604" s="165">
        <f t="shared" si="79"/>
        <v>0</v>
      </c>
      <c r="AG604" s="178" t="str">
        <f>IF(E604="","",IFERROR(IF(INDEX('Item Purchases'!$AM$4:$AM$30,MATCH(E604,'Item Purchases'!$B$4:$B$30,0))="","Uncategorised",INDEX('Item Purchases'!$AM$4:$AM$30,MATCH(E604,'Item Purchases'!$B$4:$B$30,0))),"Uncategorised"))</f>
        <v>Snacks</v>
      </c>
      <c r="AH604" s="165">
        <f>IF(AND(E604&lt;&gt;"",L604=1),COUNTIFS($E$2:E604,E604,$L$2:L604,1),0)</f>
        <v>0</v>
      </c>
      <c r="AI604" s="165">
        <f t="shared" si="80"/>
        <v>0</v>
      </c>
      <c r="AJ604" s="165">
        <f t="shared" si="81"/>
        <v>0</v>
      </c>
    </row>
    <row r="605" spans="1:36" x14ac:dyDescent="0.25">
      <c r="A605" s="177">
        <f t="shared" si="82"/>
        <v>0</v>
      </c>
      <c r="B605" s="178" t="str">
        <f t="shared" si="76"/>
        <v/>
      </c>
      <c r="C605" s="178" t="str">
        <f>'Pantry Inventory'!$A$132</f>
        <v>Sep Week 5</v>
      </c>
      <c r="D605" s="178" t="str">
        <f>IF('Pantry Inventory'!A144="","",'Pantry Inventory'!A144)</f>
        <v>Munchy</v>
      </c>
      <c r="E605" s="178" t="str">
        <f>IF('Pantry Inventory'!B144="","",'Pantry Inventory'!B144)</f>
        <v>Munchy Oat Krunch - Dark Choco</v>
      </c>
      <c r="F605" s="178" t="str">
        <f>IF(E605="","",IFERROR(IF(INDEX('Item Purchases'!$S$4:$S$30,MATCH(E605,'Item Purchases'!$B$4:$B$30,0))="","Uncategorised",INDEX('Item Purchases'!$S$4:$S$30,MATCH(E605,'Item Purchases'!$B$4:$B$30,0))),"Uncategorised"))</f>
        <v>Sweet</v>
      </c>
      <c r="G605" s="178">
        <f>IF(E605="",0,'Pantry Inventory'!J144)</f>
        <v>0</v>
      </c>
      <c r="H605" s="178" t="str">
        <f>IF(E605="","",IF('Pantry Inventory'!K144="","",'Pantry Inventory'!K144))</f>
        <v/>
      </c>
      <c r="I605" s="178" t="str">
        <f>IF(H605="","",'Pantry Inventory'!L144)</f>
        <v/>
      </c>
      <c r="J605" s="179">
        <f>IF(E605="",0,IFERROR(INDEX('Item Purchases'!$Q$4:$Q$30,MATCH(E605,'Item Purchases'!$B$4:$B$30,0)),0))</f>
        <v>0.73</v>
      </c>
      <c r="K605" s="180" t="str">
        <f t="shared" si="77"/>
        <v/>
      </c>
      <c r="L605" s="178">
        <f t="shared" si="78"/>
        <v>0</v>
      </c>
      <c r="M605" s="178">
        <f>IF(E605="",0,IF(AND(OR(OR(Dashboard!$E$5="All",Dashboard!$E$5=""),AG605=Dashboard!$E$5),OR(OR(Dashboard!$H$5="All",Dashboard!$H$5=""),F605=Dashboard!$H$5),OR(OR(Dashboard!$B$5="All",Dashboard!$B$5=""),C605=Dashboard!$B$5),OR(OR(Dashboard!$K$5="All",Dashboard!$K$5=""),A605=Dashboard!$K$5),OR(OR(Dashboard!$N$5="All",Dashboard!$N$5=""),B605=Dashboard!$N$5),OR(OR(Dashboard!$Q$5="All",Dashboard!$Q$5=""),D605=Dashboard!$Q$5),OR(OR(Dashboard!$U$5="All",Dashboard!$U$5=""),E605=Dashboard!$U$5)),1,0))</f>
        <v>1</v>
      </c>
      <c r="N605" s="178">
        <f>IF(E605="",0,IF(AND(OR(OR(Dashboard!$E$5="All",Dashboard!$E$5=""),AG605=Dashboard!$E$5),OR(OR(Dashboard!$B$5="All",Dashboard!$B$5=""),C605=Dashboard!$B$5),OR(OR(Dashboard!$K$5="All",Dashboard!$K$5=""),A605=Dashboard!$K$5),OR(OR(Dashboard!$N$5="All",Dashboard!$N$5=""),B605=Dashboard!$N$5),OR(OR(Dashboard!$Q$5="All",Dashboard!$Q$5=""),D605=Dashboard!$Q$5),OR(OR(Dashboard!$U$5="All",Dashboard!$U$5=""),E605=Dashboard!$U$5)),1,0))</f>
        <v>1</v>
      </c>
      <c r="O605" s="165">
        <f t="shared" si="79"/>
        <v>0</v>
      </c>
      <c r="AG605" s="178" t="str">
        <f>IF(E605="","",IFERROR(IF(INDEX('Item Purchases'!$AM$4:$AM$30,MATCH(E605,'Item Purchases'!$B$4:$B$30,0))="","Uncategorised",INDEX('Item Purchases'!$AM$4:$AM$30,MATCH(E605,'Item Purchases'!$B$4:$B$30,0))),"Uncategorised"))</f>
        <v>Snacks</v>
      </c>
      <c r="AH605" s="165">
        <f>IF(AND(E605&lt;&gt;"",L605=1),COUNTIFS($E$2:E605,E605,$L$2:L605,1),0)</f>
        <v>0</v>
      </c>
      <c r="AI605" s="165">
        <f t="shared" si="80"/>
        <v>0</v>
      </c>
      <c r="AJ605" s="165">
        <f t="shared" si="81"/>
        <v>0</v>
      </c>
    </row>
    <row r="606" spans="1:36" x14ac:dyDescent="0.25">
      <c r="A606" s="177">
        <f t="shared" si="82"/>
        <v>0</v>
      </c>
      <c r="B606" s="178" t="str">
        <f t="shared" si="76"/>
        <v/>
      </c>
      <c r="C606" s="178" t="str">
        <f>'Pantry Inventory'!$A$132</f>
        <v>Sep Week 5</v>
      </c>
      <c r="D606" s="178" t="str">
        <f>IF('Pantry Inventory'!A145="","",'Pantry Inventory'!A145)</f>
        <v>Munchy</v>
      </c>
      <c r="E606" s="178" t="str">
        <f>IF('Pantry Inventory'!B145="","",'Pantry Inventory'!B145)</f>
        <v>Munchy Oat Krunch - Strawberry &amp; Blackcurrant</v>
      </c>
      <c r="F606" s="178" t="str">
        <f>IF(E606="","",IFERROR(IF(INDEX('Item Purchases'!$S$4:$S$30,MATCH(E606,'Item Purchases'!$B$4:$B$30,0))="","Uncategorised",INDEX('Item Purchases'!$S$4:$S$30,MATCH(E606,'Item Purchases'!$B$4:$B$30,0))),"Uncategorised"))</f>
        <v>Sweet</v>
      </c>
      <c r="G606" s="178">
        <f>IF(E606="",0,'Pantry Inventory'!J145)</f>
        <v>0</v>
      </c>
      <c r="H606" s="178" t="str">
        <f>IF(E606="","",IF('Pantry Inventory'!K145="","",'Pantry Inventory'!K145))</f>
        <v/>
      </c>
      <c r="I606" s="178" t="str">
        <f>IF(H606="","",'Pantry Inventory'!L145)</f>
        <v/>
      </c>
      <c r="J606" s="179">
        <f>IF(E606="",0,IFERROR(INDEX('Item Purchases'!$Q$4:$Q$30,MATCH(E606,'Item Purchases'!$B$4:$B$30,0)),0))</f>
        <v>0.73</v>
      </c>
      <c r="K606" s="180" t="str">
        <f t="shared" si="77"/>
        <v/>
      </c>
      <c r="L606" s="178">
        <f t="shared" si="78"/>
        <v>0</v>
      </c>
      <c r="M606" s="178">
        <f>IF(E606="",0,IF(AND(OR(OR(Dashboard!$E$5="All",Dashboard!$E$5=""),AG606=Dashboard!$E$5),OR(OR(Dashboard!$H$5="All",Dashboard!$H$5=""),F606=Dashboard!$H$5),OR(OR(Dashboard!$B$5="All",Dashboard!$B$5=""),C606=Dashboard!$B$5),OR(OR(Dashboard!$K$5="All",Dashboard!$K$5=""),A606=Dashboard!$K$5),OR(OR(Dashboard!$N$5="All",Dashboard!$N$5=""),B606=Dashboard!$N$5),OR(OR(Dashboard!$Q$5="All",Dashboard!$Q$5=""),D606=Dashboard!$Q$5),OR(OR(Dashboard!$U$5="All",Dashboard!$U$5=""),E606=Dashboard!$U$5)),1,0))</f>
        <v>1</v>
      </c>
      <c r="N606" s="178">
        <f>IF(E606="",0,IF(AND(OR(OR(Dashboard!$E$5="All",Dashboard!$E$5=""),AG606=Dashboard!$E$5),OR(OR(Dashboard!$B$5="All",Dashboard!$B$5=""),C606=Dashboard!$B$5),OR(OR(Dashboard!$K$5="All",Dashboard!$K$5=""),A606=Dashboard!$K$5),OR(OR(Dashboard!$N$5="All",Dashboard!$N$5=""),B606=Dashboard!$N$5),OR(OR(Dashboard!$Q$5="All",Dashboard!$Q$5=""),D606=Dashboard!$Q$5),OR(OR(Dashboard!$U$5="All",Dashboard!$U$5=""),E606=Dashboard!$U$5)),1,0))</f>
        <v>1</v>
      </c>
      <c r="O606" s="165">
        <f t="shared" si="79"/>
        <v>0</v>
      </c>
      <c r="AG606" s="178" t="str">
        <f>IF(E606="","",IFERROR(IF(INDEX('Item Purchases'!$AM$4:$AM$30,MATCH(E606,'Item Purchases'!$B$4:$B$30,0))="","Uncategorised",INDEX('Item Purchases'!$AM$4:$AM$30,MATCH(E606,'Item Purchases'!$B$4:$B$30,0))),"Uncategorised"))</f>
        <v>Snacks</v>
      </c>
      <c r="AH606" s="165">
        <f>IF(AND(E606&lt;&gt;"",L606=1),COUNTIFS($E$2:E606,E606,$L$2:L606,1),0)</f>
        <v>0</v>
      </c>
      <c r="AI606" s="165">
        <f t="shared" si="80"/>
        <v>0</v>
      </c>
      <c r="AJ606" s="165">
        <f t="shared" si="81"/>
        <v>0</v>
      </c>
    </row>
    <row r="607" spans="1:36" x14ac:dyDescent="0.25">
      <c r="A607" s="177">
        <f t="shared" si="82"/>
        <v>0</v>
      </c>
      <c r="B607" s="178" t="str">
        <f t="shared" si="76"/>
        <v/>
      </c>
      <c r="C607" s="178" t="str">
        <f>'Pantry Inventory'!$A$132</f>
        <v>Sep Week 5</v>
      </c>
      <c r="D607" s="178" t="str">
        <f>IF('Pantry Inventory'!A146="","",'Pantry Inventory'!A146)</f>
        <v/>
      </c>
      <c r="E607" s="178" t="str">
        <f>IF('Pantry Inventory'!B146="","",'Pantry Inventory'!B146)</f>
        <v/>
      </c>
      <c r="F607" s="178" t="str">
        <f>IF(E607="","",IFERROR(IF(INDEX('Item Purchases'!$S$4:$S$30,MATCH(E607,'Item Purchases'!$B$4:$B$30,0))="","Uncategorised",INDEX('Item Purchases'!$S$4:$S$30,MATCH(E607,'Item Purchases'!$B$4:$B$30,0))),"Uncategorised"))</f>
        <v/>
      </c>
      <c r="G607" s="178">
        <f>IF(E607="",0,'Pantry Inventory'!J146)</f>
        <v>0</v>
      </c>
      <c r="H607" s="178" t="str">
        <f>IF(E607="","",IF('Pantry Inventory'!K146="","",'Pantry Inventory'!K146))</f>
        <v/>
      </c>
      <c r="I607" s="178" t="str">
        <f>IF(H607="","",'Pantry Inventory'!L146)</f>
        <v/>
      </c>
      <c r="J607" s="179">
        <f>IF(E607="",0,IFERROR(INDEX('Item Purchases'!$Q$4:$Q$30,MATCH(E607,'Item Purchases'!$B$4:$B$30,0)),0))</f>
        <v>0</v>
      </c>
      <c r="K607" s="180" t="str">
        <f t="shared" si="77"/>
        <v/>
      </c>
      <c r="L607" s="178">
        <f t="shared" si="78"/>
        <v>0</v>
      </c>
      <c r="M607" s="178">
        <f>IF(E607="",0,IF(AND(OR(OR(Dashboard!$E$5="All",Dashboard!$E$5=""),AG607=Dashboard!$E$5),OR(OR(Dashboard!$H$5="All",Dashboard!$H$5=""),F607=Dashboard!$H$5),OR(OR(Dashboard!$B$5="All",Dashboard!$B$5=""),C607=Dashboard!$B$5),OR(OR(Dashboard!$K$5="All",Dashboard!$K$5=""),A607=Dashboard!$K$5),OR(OR(Dashboard!$N$5="All",Dashboard!$N$5=""),B607=Dashboard!$N$5),OR(OR(Dashboard!$Q$5="All",Dashboard!$Q$5=""),D607=Dashboard!$Q$5),OR(OR(Dashboard!$U$5="All",Dashboard!$U$5=""),E607=Dashboard!$U$5)),1,0))</f>
        <v>0</v>
      </c>
      <c r="N607" s="178">
        <f>IF(E607="",0,IF(AND(OR(OR(Dashboard!$E$5="All",Dashboard!$E$5=""),AG607=Dashboard!$E$5),OR(OR(Dashboard!$B$5="All",Dashboard!$B$5=""),C607=Dashboard!$B$5),OR(OR(Dashboard!$K$5="All",Dashboard!$K$5=""),A607=Dashboard!$K$5),OR(OR(Dashboard!$N$5="All",Dashboard!$N$5=""),B607=Dashboard!$N$5),OR(OR(Dashboard!$Q$5="All",Dashboard!$Q$5=""),D607=Dashboard!$Q$5),OR(OR(Dashboard!$U$5="All",Dashboard!$U$5=""),E607=Dashboard!$U$5)),1,0))</f>
        <v>0</v>
      </c>
      <c r="O607" s="165">
        <f t="shared" si="79"/>
        <v>0</v>
      </c>
      <c r="AG607" s="178" t="str">
        <f>IF(E607="","",IFERROR(IF(INDEX('Item Purchases'!$AM$4:$AM$30,MATCH(E607,'Item Purchases'!$B$4:$B$30,0))="","Uncategorised",INDEX('Item Purchases'!$AM$4:$AM$30,MATCH(E607,'Item Purchases'!$B$4:$B$30,0))),"Uncategorised"))</f>
        <v/>
      </c>
      <c r="AH607" s="165">
        <f>IF(AND(E607&lt;&gt;"",L607=1),COUNTIFS($E$2:E607,E607,$L$2:L607,1),0)</f>
        <v>0</v>
      </c>
      <c r="AI607" s="165">
        <f t="shared" si="80"/>
        <v>0</v>
      </c>
      <c r="AJ607" s="165">
        <f t="shared" si="81"/>
        <v>0</v>
      </c>
    </row>
    <row r="608" spans="1:36" x14ac:dyDescent="0.25">
      <c r="A608" s="177">
        <f t="shared" si="82"/>
        <v>0</v>
      </c>
      <c r="B608" s="178" t="str">
        <f t="shared" si="76"/>
        <v/>
      </c>
      <c r="C608" s="178" t="str">
        <f>'Pantry Inventory'!$A$132</f>
        <v>Sep Week 5</v>
      </c>
      <c r="D608" s="178" t="str">
        <f>IF('Pantry Inventory'!A147="","",'Pantry Inventory'!A147)</f>
        <v>Nestle</v>
      </c>
      <c r="E608" s="178" t="str">
        <f>IF('Pantry Inventory'!B147="","",'Pantry Inventory'!B147)</f>
        <v>Milo 200ml</v>
      </c>
      <c r="F608" s="178" t="str">
        <f>IF(E608="","",IFERROR(IF(INDEX('Item Purchases'!$S$4:$S$30,MATCH(E608,'Item Purchases'!$B$4:$B$30,0))="","Uncategorised",INDEX('Item Purchases'!$S$4:$S$30,MATCH(E608,'Item Purchases'!$B$4:$B$30,0))),"Uncategorised"))</f>
        <v>Other</v>
      </c>
      <c r="G608" s="178">
        <f>IF(E608="",0,'Pantry Inventory'!J147)</f>
        <v>0</v>
      </c>
      <c r="H608" s="178" t="str">
        <f>IF(E608="","",IF('Pantry Inventory'!K147="","",'Pantry Inventory'!K147))</f>
        <v/>
      </c>
      <c r="I608" s="178" t="str">
        <f>IF(H608="","",'Pantry Inventory'!L147)</f>
        <v/>
      </c>
      <c r="J608" s="179">
        <f>IF(E608="",0,IFERROR(INDEX('Item Purchases'!$Q$4:$Q$30,MATCH(E608,'Item Purchases'!$B$4:$B$30,0)),0))</f>
        <v>2.37</v>
      </c>
      <c r="K608" s="180" t="str">
        <f t="shared" si="77"/>
        <v/>
      </c>
      <c r="L608" s="178">
        <f t="shared" si="78"/>
        <v>0</v>
      </c>
      <c r="M608" s="178">
        <f>IF(E608="",0,IF(AND(OR(OR(Dashboard!$E$5="All",Dashboard!$E$5=""),AG608=Dashboard!$E$5),OR(OR(Dashboard!$H$5="All",Dashboard!$H$5=""),F608=Dashboard!$H$5),OR(OR(Dashboard!$B$5="All",Dashboard!$B$5=""),C608=Dashboard!$B$5),OR(OR(Dashboard!$K$5="All",Dashboard!$K$5=""),A608=Dashboard!$K$5),OR(OR(Dashboard!$N$5="All",Dashboard!$N$5=""),B608=Dashboard!$N$5),OR(OR(Dashboard!$Q$5="All",Dashboard!$Q$5=""),D608=Dashboard!$Q$5),OR(OR(Dashboard!$U$5="All",Dashboard!$U$5=""),E608=Dashboard!$U$5)),1,0))</f>
        <v>1</v>
      </c>
      <c r="N608" s="178">
        <f>IF(E608="",0,IF(AND(OR(OR(Dashboard!$E$5="All",Dashboard!$E$5=""),AG608=Dashboard!$E$5),OR(OR(Dashboard!$B$5="All",Dashboard!$B$5=""),C608=Dashboard!$B$5),OR(OR(Dashboard!$K$5="All",Dashboard!$K$5=""),A608=Dashboard!$K$5),OR(OR(Dashboard!$N$5="All",Dashboard!$N$5=""),B608=Dashboard!$N$5),OR(OR(Dashboard!$Q$5="All",Dashboard!$Q$5=""),D608=Dashboard!$Q$5),OR(OR(Dashboard!$U$5="All",Dashboard!$U$5=""),E608=Dashboard!$U$5)),1,0))</f>
        <v>1</v>
      </c>
      <c r="O608" s="165">
        <f t="shared" si="79"/>
        <v>0</v>
      </c>
      <c r="AG608" s="178" t="str">
        <f>IF(E608="","",IFERROR(IF(INDEX('Item Purchases'!$AM$4:$AM$30,MATCH(E608,'Item Purchases'!$B$4:$B$30,0))="","Uncategorised",INDEX('Item Purchases'!$AM$4:$AM$30,MATCH(E608,'Item Purchases'!$B$4:$B$30,0))),"Uncategorised"))</f>
        <v>Beverages</v>
      </c>
      <c r="AH608" s="165">
        <f>IF(AND(E608&lt;&gt;"",L608=1),COUNTIFS($E$2:E608,E608,$L$2:L608,1),0)</f>
        <v>0</v>
      </c>
      <c r="AI608" s="165">
        <f t="shared" si="80"/>
        <v>0</v>
      </c>
      <c r="AJ608" s="165">
        <f t="shared" si="81"/>
        <v>0</v>
      </c>
    </row>
    <row r="609" spans="1:36" x14ac:dyDescent="0.25">
      <c r="A609" s="177">
        <f t="shared" si="82"/>
        <v>0</v>
      </c>
      <c r="B609" s="178" t="str">
        <f t="shared" si="76"/>
        <v/>
      </c>
      <c r="C609" s="178" t="str">
        <f>'Pantry Inventory'!$A$132</f>
        <v>Sep Week 5</v>
      </c>
      <c r="D609" s="178" t="str">
        <f>IF('Pantry Inventory'!A148="","",'Pantry Inventory'!A148)</f>
        <v>Nestle</v>
      </c>
      <c r="E609" s="178" t="str">
        <f>IF('Pantry Inventory'!B148="","",'Pantry Inventory'!B148)</f>
        <v>Nescafe Latte 240ml</v>
      </c>
      <c r="F609" s="178" t="str">
        <f>IF(E609="","",IFERROR(IF(INDEX('Item Purchases'!$S$4:$S$30,MATCH(E609,'Item Purchases'!$B$4:$B$30,0))="","Uncategorised",INDEX('Item Purchases'!$S$4:$S$30,MATCH(E609,'Item Purchases'!$B$4:$B$30,0))),"Uncategorised"))</f>
        <v>Coffee</v>
      </c>
      <c r="G609" s="178">
        <f>IF(E609="",0,'Pantry Inventory'!J148)</f>
        <v>0</v>
      </c>
      <c r="H609" s="178" t="str">
        <f>IF(E609="","",IF('Pantry Inventory'!K148="","",'Pantry Inventory'!K148))</f>
        <v/>
      </c>
      <c r="I609" s="178" t="str">
        <f>IF(H609="","",'Pantry Inventory'!L148)</f>
        <v/>
      </c>
      <c r="J609" s="179">
        <f>IF(E609="",0,IFERROR(INDEX('Item Purchases'!$Q$4:$Q$30,MATCH(E609,'Item Purchases'!$B$4:$B$30,0)),0))</f>
        <v>2.1875</v>
      </c>
      <c r="K609" s="180" t="str">
        <f t="shared" si="77"/>
        <v/>
      </c>
      <c r="L609" s="178">
        <f t="shared" si="78"/>
        <v>0</v>
      </c>
      <c r="M609" s="178">
        <f>IF(E609="",0,IF(AND(OR(OR(Dashboard!$E$5="All",Dashboard!$E$5=""),AG609=Dashboard!$E$5),OR(OR(Dashboard!$H$5="All",Dashboard!$H$5=""),F609=Dashboard!$H$5),OR(OR(Dashboard!$B$5="All",Dashboard!$B$5=""),C609=Dashboard!$B$5),OR(OR(Dashboard!$K$5="All",Dashboard!$K$5=""),A609=Dashboard!$K$5),OR(OR(Dashboard!$N$5="All",Dashboard!$N$5=""),B609=Dashboard!$N$5),OR(OR(Dashboard!$Q$5="All",Dashboard!$Q$5=""),D609=Dashboard!$Q$5),OR(OR(Dashboard!$U$5="All",Dashboard!$U$5=""),E609=Dashboard!$U$5)),1,0))</f>
        <v>1</v>
      </c>
      <c r="N609" s="178">
        <f>IF(E609="",0,IF(AND(OR(OR(Dashboard!$E$5="All",Dashboard!$E$5=""),AG609=Dashboard!$E$5),OR(OR(Dashboard!$B$5="All",Dashboard!$B$5=""),C609=Dashboard!$B$5),OR(OR(Dashboard!$K$5="All",Dashboard!$K$5=""),A609=Dashboard!$K$5),OR(OR(Dashboard!$N$5="All",Dashboard!$N$5=""),B609=Dashboard!$N$5),OR(OR(Dashboard!$Q$5="All",Dashboard!$Q$5=""),D609=Dashboard!$Q$5),OR(OR(Dashboard!$U$5="All",Dashboard!$U$5=""),E609=Dashboard!$U$5)),1,0))</f>
        <v>1</v>
      </c>
      <c r="O609" s="165">
        <f t="shared" si="79"/>
        <v>0</v>
      </c>
      <c r="AG609" s="178" t="str">
        <f>IF(E609="","",IFERROR(IF(INDEX('Item Purchases'!$AM$4:$AM$30,MATCH(E609,'Item Purchases'!$B$4:$B$30,0))="","Uncategorised",INDEX('Item Purchases'!$AM$4:$AM$30,MATCH(E609,'Item Purchases'!$B$4:$B$30,0))),"Uncategorised"))</f>
        <v>Beverages</v>
      </c>
      <c r="AH609" s="165">
        <f>IF(AND(E609&lt;&gt;"",L609=1),COUNTIFS($E$2:E609,E609,$L$2:L609,1),0)</f>
        <v>0</v>
      </c>
      <c r="AI609" s="165">
        <f t="shared" si="80"/>
        <v>0</v>
      </c>
      <c r="AJ609" s="165">
        <f t="shared" si="81"/>
        <v>0</v>
      </c>
    </row>
    <row r="610" spans="1:36" x14ac:dyDescent="0.25">
      <c r="A610" s="177">
        <f t="shared" si="82"/>
        <v>0</v>
      </c>
      <c r="B610" s="178" t="str">
        <f t="shared" si="76"/>
        <v/>
      </c>
      <c r="C610" s="178" t="str">
        <f>'Pantry Inventory'!$A$132</f>
        <v>Sep Week 5</v>
      </c>
      <c r="D610" s="178" t="str">
        <f>IF('Pantry Inventory'!A149="","",'Pantry Inventory'!A149)</f>
        <v>Nestle</v>
      </c>
      <c r="E610" s="178" t="str">
        <f>IF('Pantry Inventory'!B149="","",'Pantry Inventory'!B149)</f>
        <v>Nescafe original 240ml</v>
      </c>
      <c r="F610" s="178" t="str">
        <f>IF(E610="","",IFERROR(IF(INDEX('Item Purchases'!$S$4:$S$30,MATCH(E610,'Item Purchases'!$B$4:$B$30,0))="","Uncategorised",INDEX('Item Purchases'!$S$4:$S$30,MATCH(E610,'Item Purchases'!$B$4:$B$30,0))),"Uncategorised"))</f>
        <v>Coffee</v>
      </c>
      <c r="G610" s="178">
        <f>IF(E610="",0,'Pantry Inventory'!J149)</f>
        <v>0</v>
      </c>
      <c r="H610" s="178" t="str">
        <f>IF(E610="","",IF('Pantry Inventory'!K149="","",'Pantry Inventory'!K149))</f>
        <v/>
      </c>
      <c r="I610" s="178" t="str">
        <f>IF(H610="","",'Pantry Inventory'!L149)</f>
        <v/>
      </c>
      <c r="J610" s="179">
        <f>IF(E610="",0,IFERROR(INDEX('Item Purchases'!$Q$4:$Q$30,MATCH(E610,'Item Purchases'!$B$4:$B$30,0)),0))</f>
        <v>2.1875</v>
      </c>
      <c r="K610" s="180" t="str">
        <f t="shared" si="77"/>
        <v/>
      </c>
      <c r="L610" s="178">
        <f t="shared" si="78"/>
        <v>0</v>
      </c>
      <c r="M610" s="178">
        <f>IF(E610="",0,IF(AND(OR(OR(Dashboard!$E$5="All",Dashboard!$E$5=""),AG610=Dashboard!$E$5),OR(OR(Dashboard!$H$5="All",Dashboard!$H$5=""),F610=Dashboard!$H$5),OR(OR(Dashboard!$B$5="All",Dashboard!$B$5=""),C610=Dashboard!$B$5),OR(OR(Dashboard!$K$5="All",Dashboard!$K$5=""),A610=Dashboard!$K$5),OR(OR(Dashboard!$N$5="All",Dashboard!$N$5=""),B610=Dashboard!$N$5),OR(OR(Dashboard!$Q$5="All",Dashboard!$Q$5=""),D610=Dashboard!$Q$5),OR(OR(Dashboard!$U$5="All",Dashboard!$U$5=""),E610=Dashboard!$U$5)),1,0))</f>
        <v>1</v>
      </c>
      <c r="N610" s="178">
        <f>IF(E610="",0,IF(AND(OR(OR(Dashboard!$E$5="All",Dashboard!$E$5=""),AG610=Dashboard!$E$5),OR(OR(Dashboard!$B$5="All",Dashboard!$B$5=""),C610=Dashboard!$B$5),OR(OR(Dashboard!$K$5="All",Dashboard!$K$5=""),A610=Dashboard!$K$5),OR(OR(Dashboard!$N$5="All",Dashboard!$N$5=""),B610=Dashboard!$N$5),OR(OR(Dashboard!$Q$5="All",Dashboard!$Q$5=""),D610=Dashboard!$Q$5),OR(OR(Dashboard!$U$5="All",Dashboard!$U$5=""),E610=Dashboard!$U$5)),1,0))</f>
        <v>1</v>
      </c>
      <c r="O610" s="165">
        <f t="shared" si="79"/>
        <v>0</v>
      </c>
      <c r="AG610" s="178" t="str">
        <f>IF(E610="","",IFERROR(IF(INDEX('Item Purchases'!$AM$4:$AM$30,MATCH(E610,'Item Purchases'!$B$4:$B$30,0))="","Uncategorised",INDEX('Item Purchases'!$AM$4:$AM$30,MATCH(E610,'Item Purchases'!$B$4:$B$30,0))),"Uncategorised"))</f>
        <v>Beverages</v>
      </c>
      <c r="AH610" s="165">
        <f>IF(AND(E610&lt;&gt;"",L610=1),COUNTIFS($E$2:E610,E610,$L$2:L610,1),0)</f>
        <v>0</v>
      </c>
      <c r="AI610" s="165">
        <f t="shared" si="80"/>
        <v>0</v>
      </c>
      <c r="AJ610" s="165">
        <f t="shared" si="81"/>
        <v>0</v>
      </c>
    </row>
    <row r="611" spans="1:36" x14ac:dyDescent="0.25">
      <c r="A611" s="177">
        <f t="shared" si="82"/>
        <v>0</v>
      </c>
      <c r="B611" s="178" t="str">
        <f t="shared" si="76"/>
        <v/>
      </c>
      <c r="C611" s="178" t="str">
        <f>'Pantry Inventory'!$A$132</f>
        <v>Sep Week 5</v>
      </c>
      <c r="D611" s="178" t="str">
        <f>IF('Pantry Inventory'!A150="","",'Pantry Inventory'!A150)</f>
        <v>COWA</v>
      </c>
      <c r="E611" s="178" t="str">
        <f>IF('Pantry Inventory'!B150="","",'Pantry Inventory'!B150)</f>
        <v>COWA Coconut Water 330 ml</v>
      </c>
      <c r="F611" s="178" t="str">
        <f>IF(E611="","",IFERROR(IF(INDEX('Item Purchases'!$S$4:$S$30,MATCH(E611,'Item Purchases'!$B$4:$B$30,0))="","Uncategorised",INDEX('Item Purchases'!$S$4:$S$30,MATCH(E611,'Item Purchases'!$B$4:$B$30,0))),"Uncategorised"))</f>
        <v>Other</v>
      </c>
      <c r="G611" s="178">
        <f>IF(E611="",0,'Pantry Inventory'!J150)</f>
        <v>0</v>
      </c>
      <c r="H611" s="178" t="str">
        <f>IF(E611="","",IF('Pantry Inventory'!K150="","",'Pantry Inventory'!K150))</f>
        <v/>
      </c>
      <c r="I611" s="178" t="str">
        <f>IF(H611="","",'Pantry Inventory'!L150)</f>
        <v/>
      </c>
      <c r="J611" s="179">
        <f>IF(E611="",0,IFERROR(INDEX('Item Purchases'!$Q$4:$Q$30,MATCH(E611,'Item Purchases'!$B$4:$B$30,0)),0))</f>
        <v>3</v>
      </c>
      <c r="K611" s="180" t="str">
        <f t="shared" si="77"/>
        <v/>
      </c>
      <c r="L611" s="178">
        <f t="shared" si="78"/>
        <v>0</v>
      </c>
      <c r="M611" s="178">
        <f>IF(E611="",0,IF(AND(OR(OR(Dashboard!$E$5="All",Dashboard!$E$5=""),AG611=Dashboard!$E$5),OR(OR(Dashboard!$H$5="All",Dashboard!$H$5=""),F611=Dashboard!$H$5),OR(OR(Dashboard!$B$5="All",Dashboard!$B$5=""),C611=Dashboard!$B$5),OR(OR(Dashboard!$K$5="All",Dashboard!$K$5=""),A611=Dashboard!$K$5),OR(OR(Dashboard!$N$5="All",Dashboard!$N$5=""),B611=Dashboard!$N$5),OR(OR(Dashboard!$Q$5="All",Dashboard!$Q$5=""),D611=Dashboard!$Q$5),OR(OR(Dashboard!$U$5="All",Dashboard!$U$5=""),E611=Dashboard!$U$5)),1,0))</f>
        <v>1</v>
      </c>
      <c r="N611" s="178">
        <f>IF(E611="",0,IF(AND(OR(OR(Dashboard!$E$5="All",Dashboard!$E$5=""),AG611=Dashboard!$E$5),OR(OR(Dashboard!$B$5="All",Dashboard!$B$5=""),C611=Dashboard!$B$5),OR(OR(Dashboard!$K$5="All",Dashboard!$K$5=""),A611=Dashboard!$K$5),OR(OR(Dashboard!$N$5="All",Dashboard!$N$5=""),B611=Dashboard!$N$5),OR(OR(Dashboard!$Q$5="All",Dashboard!$Q$5=""),D611=Dashboard!$Q$5),OR(OR(Dashboard!$U$5="All",Dashboard!$U$5=""),E611=Dashboard!$U$5)),1,0))</f>
        <v>1</v>
      </c>
      <c r="O611" s="165">
        <f t="shared" si="79"/>
        <v>0</v>
      </c>
      <c r="AG611" s="178" t="str">
        <f>IF(E611="","",IFERROR(IF(INDEX('Item Purchases'!$AM$4:$AM$30,MATCH(E611,'Item Purchases'!$B$4:$B$30,0))="","Uncategorised",INDEX('Item Purchases'!$AM$4:$AM$30,MATCH(E611,'Item Purchases'!$B$4:$B$30,0))),"Uncategorised"))</f>
        <v>Beverages</v>
      </c>
      <c r="AH611" s="165">
        <f>IF(AND(E611&lt;&gt;"",L611=1),COUNTIFS($E$2:E611,E611,$L$2:L611,1),0)</f>
        <v>0</v>
      </c>
      <c r="AI611" s="165">
        <f t="shared" si="80"/>
        <v>0</v>
      </c>
      <c r="AJ611" s="165">
        <f t="shared" si="81"/>
        <v>0</v>
      </c>
    </row>
    <row r="612" spans="1:36" x14ac:dyDescent="0.25">
      <c r="A612" s="177">
        <f t="shared" si="82"/>
        <v>0</v>
      </c>
      <c r="B612" s="178" t="str">
        <f t="shared" si="76"/>
        <v/>
      </c>
      <c r="C612" s="178" t="str">
        <f>'Pantry Inventory'!$A$132</f>
        <v>Sep Week 5</v>
      </c>
      <c r="D612" s="178" t="str">
        <f>IF('Pantry Inventory'!A151="","",'Pantry Inventory'!A151)</f>
        <v>KARTA</v>
      </c>
      <c r="E612" s="178" t="str">
        <f>IF('Pantry Inventory'!B151="","",'Pantry Inventory'!B151)</f>
        <v>KARTA Coconut Water 330 ml</v>
      </c>
      <c r="F612" s="178" t="str">
        <f>IF(E612="","",IFERROR(IF(INDEX('Item Purchases'!$S$4:$S$30,MATCH(E612,'Item Purchases'!$B$4:$B$30,0))="","Uncategorised",INDEX('Item Purchases'!$S$4:$S$30,MATCH(E612,'Item Purchases'!$B$4:$B$30,0))),"Uncategorised"))</f>
        <v>Other</v>
      </c>
      <c r="G612" s="178">
        <f>IF(E612="",0,'Pantry Inventory'!J151)</f>
        <v>0</v>
      </c>
      <c r="H612" s="178" t="str">
        <f>IF(E612="","",IF('Pantry Inventory'!K151="","",'Pantry Inventory'!K151))</f>
        <v/>
      </c>
      <c r="I612" s="178" t="str">
        <f>IF(H612="","",'Pantry Inventory'!L151)</f>
        <v/>
      </c>
      <c r="J612" s="179">
        <f>IF(E612="",0,IFERROR(INDEX('Item Purchases'!$Q$4:$Q$30,MATCH(E612,'Item Purchases'!$B$4:$B$30,0)),0))</f>
        <v>2.2999999999999998</v>
      </c>
      <c r="K612" s="180" t="str">
        <f t="shared" si="77"/>
        <v/>
      </c>
      <c r="L612" s="178">
        <f t="shared" si="78"/>
        <v>0</v>
      </c>
      <c r="M612" s="178">
        <f>IF(E612="",0,IF(AND(OR(OR(Dashboard!$E$5="All",Dashboard!$E$5=""),AG612=Dashboard!$E$5),OR(OR(Dashboard!$H$5="All",Dashboard!$H$5=""),F612=Dashboard!$H$5),OR(OR(Dashboard!$B$5="All",Dashboard!$B$5=""),C612=Dashboard!$B$5),OR(OR(Dashboard!$K$5="All",Dashboard!$K$5=""),A612=Dashboard!$K$5),OR(OR(Dashboard!$N$5="All",Dashboard!$N$5=""),B612=Dashboard!$N$5),OR(OR(Dashboard!$Q$5="All",Dashboard!$Q$5=""),D612=Dashboard!$Q$5),OR(OR(Dashboard!$U$5="All",Dashboard!$U$5=""),E612=Dashboard!$U$5)),1,0))</f>
        <v>1</v>
      </c>
      <c r="N612" s="178">
        <f>IF(E612="",0,IF(AND(OR(OR(Dashboard!$E$5="All",Dashboard!$E$5=""),AG612=Dashboard!$E$5),OR(OR(Dashboard!$B$5="All",Dashboard!$B$5=""),C612=Dashboard!$B$5),OR(OR(Dashboard!$K$5="All",Dashboard!$K$5=""),A612=Dashboard!$K$5),OR(OR(Dashboard!$N$5="All",Dashboard!$N$5=""),B612=Dashboard!$N$5),OR(OR(Dashboard!$Q$5="All",Dashboard!$Q$5=""),D612=Dashboard!$Q$5),OR(OR(Dashboard!$U$5="All",Dashboard!$U$5=""),E612=Dashboard!$U$5)),1,0))</f>
        <v>1</v>
      </c>
      <c r="O612" s="165">
        <f t="shared" si="79"/>
        <v>0</v>
      </c>
      <c r="AG612" s="178" t="str">
        <f>IF(E612="","",IFERROR(IF(INDEX('Item Purchases'!$AM$4:$AM$30,MATCH(E612,'Item Purchases'!$B$4:$B$30,0))="","Uncategorised",INDEX('Item Purchases'!$AM$4:$AM$30,MATCH(E612,'Item Purchases'!$B$4:$B$30,0))),"Uncategorised"))</f>
        <v>Beverages</v>
      </c>
      <c r="AH612" s="165">
        <f>IF(AND(E612&lt;&gt;"",L612=1),COUNTIFS($E$2:E612,E612,$L$2:L612,1),0)</f>
        <v>0</v>
      </c>
      <c r="AI612" s="165">
        <f t="shared" si="80"/>
        <v>0</v>
      </c>
      <c r="AJ612" s="165">
        <f t="shared" si="81"/>
        <v>0</v>
      </c>
    </row>
    <row r="613" spans="1:36" x14ac:dyDescent="0.25">
      <c r="A613" s="177">
        <f t="shared" si="82"/>
        <v>0</v>
      </c>
      <c r="B613" s="178" t="str">
        <f t="shared" si="76"/>
        <v/>
      </c>
      <c r="C613" s="178" t="str">
        <f>'Pantry Inventory'!$A$132</f>
        <v>Sep Week 5</v>
      </c>
      <c r="D613" s="178" t="str">
        <f>IF('Pantry Inventory'!A152="","",'Pantry Inventory'!A152)</f>
        <v>Coca Cola</v>
      </c>
      <c r="E613" s="178" t="str">
        <f>IF('Pantry Inventory'!B152="","",'Pantry Inventory'!B152)</f>
        <v>COKE ZERO  325ML</v>
      </c>
      <c r="F613" s="178" t="str">
        <f>IF(E613="","",IFERROR(IF(INDEX('Item Purchases'!$S$4:$S$30,MATCH(E613,'Item Purchases'!$B$4:$B$30,0))="","Uncategorised",INDEX('Item Purchases'!$S$4:$S$30,MATCH(E613,'Item Purchases'!$B$4:$B$30,0))),"Uncategorised"))</f>
        <v>Other</v>
      </c>
      <c r="G613" s="178">
        <f>IF(E613="",0,'Pantry Inventory'!J152)</f>
        <v>0</v>
      </c>
      <c r="H613" s="178" t="str">
        <f>IF(E613="","",IF('Pantry Inventory'!K152="","",'Pantry Inventory'!K152))</f>
        <v/>
      </c>
      <c r="I613" s="178" t="str">
        <f>IF(H613="","",'Pantry Inventory'!L152)</f>
        <v/>
      </c>
      <c r="J613" s="179">
        <f>IF(E613="",0,IFERROR(INDEX('Item Purchases'!$Q$4:$Q$30,MATCH(E613,'Item Purchases'!$B$4:$B$30,0)),0))</f>
        <v>1.83</v>
      </c>
      <c r="K613" s="180" t="str">
        <f t="shared" si="77"/>
        <v/>
      </c>
      <c r="L613" s="178">
        <f t="shared" si="78"/>
        <v>0</v>
      </c>
      <c r="M613" s="178">
        <f>IF(E613="",0,IF(AND(OR(OR(Dashboard!$E$5="All",Dashboard!$E$5=""),AG613=Dashboard!$E$5),OR(OR(Dashboard!$H$5="All",Dashboard!$H$5=""),F613=Dashboard!$H$5),OR(OR(Dashboard!$B$5="All",Dashboard!$B$5=""),C613=Dashboard!$B$5),OR(OR(Dashboard!$K$5="All",Dashboard!$K$5=""),A613=Dashboard!$K$5),OR(OR(Dashboard!$N$5="All",Dashboard!$N$5=""),B613=Dashboard!$N$5),OR(OR(Dashboard!$Q$5="All",Dashboard!$Q$5=""),D613=Dashboard!$Q$5),OR(OR(Dashboard!$U$5="All",Dashboard!$U$5=""),E613=Dashboard!$U$5)),1,0))</f>
        <v>1</v>
      </c>
      <c r="N613" s="178">
        <f>IF(E613="",0,IF(AND(OR(OR(Dashboard!$E$5="All",Dashboard!$E$5=""),AG613=Dashboard!$E$5),OR(OR(Dashboard!$B$5="All",Dashboard!$B$5=""),C613=Dashboard!$B$5),OR(OR(Dashboard!$K$5="All",Dashboard!$K$5=""),A613=Dashboard!$K$5),OR(OR(Dashboard!$N$5="All",Dashboard!$N$5=""),B613=Dashboard!$N$5),OR(OR(Dashboard!$Q$5="All",Dashboard!$Q$5=""),D613=Dashboard!$Q$5),OR(OR(Dashboard!$U$5="All",Dashboard!$U$5=""),E613=Dashboard!$U$5)),1,0))</f>
        <v>1</v>
      </c>
      <c r="O613" s="165">
        <f t="shared" si="79"/>
        <v>0</v>
      </c>
      <c r="AG613" s="178" t="str">
        <f>IF(E613="","",IFERROR(IF(INDEX('Item Purchases'!$AM$4:$AM$30,MATCH(E613,'Item Purchases'!$B$4:$B$30,0))="","Uncategorised",INDEX('Item Purchases'!$AM$4:$AM$30,MATCH(E613,'Item Purchases'!$B$4:$B$30,0))),"Uncategorised"))</f>
        <v>Beverages</v>
      </c>
      <c r="AH613" s="165">
        <f>IF(AND(E613&lt;&gt;"",L613=1),COUNTIFS($E$2:E613,E613,$L$2:L613,1),0)</f>
        <v>0</v>
      </c>
      <c r="AI613" s="165">
        <f t="shared" si="80"/>
        <v>0</v>
      </c>
      <c r="AJ613" s="165">
        <f t="shared" si="81"/>
        <v>0</v>
      </c>
    </row>
    <row r="614" spans="1:36" x14ac:dyDescent="0.25">
      <c r="A614" s="177">
        <f t="shared" si="82"/>
        <v>0</v>
      </c>
      <c r="B614" s="178" t="str">
        <f t="shared" si="76"/>
        <v/>
      </c>
      <c r="C614" s="178" t="str">
        <f>'Pantry Inventory'!$A$132</f>
        <v>Sep Week 5</v>
      </c>
      <c r="D614" s="178" t="str">
        <f>IF('Pantry Inventory'!A153="","",'Pantry Inventory'!A153)</f>
        <v>Coca Cola</v>
      </c>
      <c r="E614" s="178" t="str">
        <f>IF('Pantry Inventory'!B153="","",'Pantry Inventory'!B153)</f>
        <v>Ayataka Tea 300ml</v>
      </c>
      <c r="F614" s="178" t="str">
        <f>IF(E614="","",IFERROR(IF(INDEX('Item Purchases'!$S$4:$S$30,MATCH(E614,'Item Purchases'!$B$4:$B$30,0))="","Uncategorised",INDEX('Item Purchases'!$S$4:$S$30,MATCH(E614,'Item Purchases'!$B$4:$B$30,0))),"Uncategorised"))</f>
        <v>Tea</v>
      </c>
      <c r="G614" s="178">
        <f>IF(E614="",0,'Pantry Inventory'!J153)</f>
        <v>0</v>
      </c>
      <c r="H614" s="178" t="str">
        <f>IF(E614="","",IF('Pantry Inventory'!K153="","",'Pantry Inventory'!K153))</f>
        <v/>
      </c>
      <c r="I614" s="178" t="str">
        <f>IF(H614="","",'Pantry Inventory'!L153)</f>
        <v/>
      </c>
      <c r="J614" s="179">
        <f>IF(E614="",0,IFERROR(INDEX('Item Purchases'!$Q$4:$Q$30,MATCH(E614,'Item Purchases'!$B$4:$B$30,0)),0))</f>
        <v>1.75</v>
      </c>
      <c r="K614" s="180" t="str">
        <f t="shared" si="77"/>
        <v/>
      </c>
      <c r="L614" s="178">
        <f t="shared" si="78"/>
        <v>0</v>
      </c>
      <c r="M614" s="178">
        <f>IF(E614="",0,IF(AND(OR(OR(Dashboard!$E$5="All",Dashboard!$E$5=""),AG614=Dashboard!$E$5),OR(OR(Dashboard!$H$5="All",Dashboard!$H$5=""),F614=Dashboard!$H$5),OR(OR(Dashboard!$B$5="All",Dashboard!$B$5=""),C614=Dashboard!$B$5),OR(OR(Dashboard!$K$5="All",Dashboard!$K$5=""),A614=Dashboard!$K$5),OR(OR(Dashboard!$N$5="All",Dashboard!$N$5=""),B614=Dashboard!$N$5),OR(OR(Dashboard!$Q$5="All",Dashboard!$Q$5=""),D614=Dashboard!$Q$5),OR(OR(Dashboard!$U$5="All",Dashboard!$U$5=""),E614=Dashboard!$U$5)),1,0))</f>
        <v>1</v>
      </c>
      <c r="N614" s="178">
        <f>IF(E614="",0,IF(AND(OR(OR(Dashboard!$E$5="All",Dashboard!$E$5=""),AG614=Dashboard!$E$5),OR(OR(Dashboard!$B$5="All",Dashboard!$B$5=""),C614=Dashboard!$B$5),OR(OR(Dashboard!$K$5="All",Dashboard!$K$5=""),A614=Dashboard!$K$5),OR(OR(Dashboard!$N$5="All",Dashboard!$N$5=""),B614=Dashboard!$N$5),OR(OR(Dashboard!$Q$5="All",Dashboard!$Q$5=""),D614=Dashboard!$Q$5),OR(OR(Dashboard!$U$5="All",Dashboard!$U$5=""),E614=Dashboard!$U$5)),1,0))</f>
        <v>1</v>
      </c>
      <c r="O614" s="165">
        <f t="shared" si="79"/>
        <v>0</v>
      </c>
      <c r="AG614" s="178" t="str">
        <f>IF(E614="","",IFERROR(IF(INDEX('Item Purchases'!$AM$4:$AM$30,MATCH(E614,'Item Purchases'!$B$4:$B$30,0))="","Uncategorised",INDEX('Item Purchases'!$AM$4:$AM$30,MATCH(E614,'Item Purchases'!$B$4:$B$30,0))),"Uncategorised"))</f>
        <v>Beverages</v>
      </c>
      <c r="AH614" s="165">
        <f>IF(AND(E614&lt;&gt;"",L614=1),COUNTIFS($E$2:E614,E614,$L$2:L614,1),0)</f>
        <v>0</v>
      </c>
      <c r="AI614" s="165">
        <f t="shared" si="80"/>
        <v>0</v>
      </c>
      <c r="AJ614" s="165">
        <f t="shared" si="81"/>
        <v>0</v>
      </c>
    </row>
    <row r="615" spans="1:36" x14ac:dyDescent="0.25">
      <c r="A615" s="177">
        <f t="shared" si="82"/>
        <v>0</v>
      </c>
      <c r="B615" s="178" t="str">
        <f t="shared" si="76"/>
        <v/>
      </c>
      <c r="C615" s="178" t="str">
        <f>'Pantry Inventory'!$A$132</f>
        <v>Sep Week 5</v>
      </c>
      <c r="D615" s="178" t="str">
        <f>IF('Pantry Inventory'!A154="","",'Pantry Inventory'!A154)</f>
        <v>Coca Cola</v>
      </c>
      <c r="E615" s="178" t="str">
        <f>IF('Pantry Inventory'!B154="","",'Pantry Inventory'!B154)</f>
        <v>Oolong Tea 300ml</v>
      </c>
      <c r="F615" s="178" t="str">
        <f>IF(E615="","",IFERROR(IF(INDEX('Item Purchases'!$S$4:$S$30,MATCH(E615,'Item Purchases'!$B$4:$B$30,0))="","Uncategorised",INDEX('Item Purchases'!$S$4:$S$30,MATCH(E615,'Item Purchases'!$B$4:$B$30,0))),"Uncategorised"))</f>
        <v>Tea</v>
      </c>
      <c r="G615" s="178">
        <f>IF(E615="",0,'Pantry Inventory'!J154)</f>
        <v>0</v>
      </c>
      <c r="H615" s="178" t="str">
        <f>IF(E615="","",IF('Pantry Inventory'!K154="","",'Pantry Inventory'!K154))</f>
        <v/>
      </c>
      <c r="I615" s="178" t="str">
        <f>IF(H615="","",'Pantry Inventory'!L154)</f>
        <v/>
      </c>
      <c r="J615" s="179">
        <f>IF(E615="",0,IFERROR(INDEX('Item Purchases'!$Q$4:$Q$30,MATCH(E615,'Item Purchases'!$B$4:$B$30,0)),0))</f>
        <v>1.75</v>
      </c>
      <c r="K615" s="180" t="str">
        <f t="shared" si="77"/>
        <v/>
      </c>
      <c r="L615" s="178">
        <f t="shared" si="78"/>
        <v>0</v>
      </c>
      <c r="M615" s="178">
        <f>IF(E615="",0,IF(AND(OR(OR(Dashboard!$E$5="All",Dashboard!$E$5=""),AG615=Dashboard!$E$5),OR(OR(Dashboard!$H$5="All",Dashboard!$H$5=""),F615=Dashboard!$H$5),OR(OR(Dashboard!$B$5="All",Dashboard!$B$5=""),C615=Dashboard!$B$5),OR(OR(Dashboard!$K$5="All",Dashboard!$K$5=""),A615=Dashboard!$K$5),OR(OR(Dashboard!$N$5="All",Dashboard!$N$5=""),B615=Dashboard!$N$5),OR(OR(Dashboard!$Q$5="All",Dashboard!$Q$5=""),D615=Dashboard!$Q$5),OR(OR(Dashboard!$U$5="All",Dashboard!$U$5=""),E615=Dashboard!$U$5)),1,0))</f>
        <v>1</v>
      </c>
      <c r="N615" s="178">
        <f>IF(E615="",0,IF(AND(OR(OR(Dashboard!$E$5="All",Dashboard!$E$5=""),AG615=Dashboard!$E$5),OR(OR(Dashboard!$B$5="All",Dashboard!$B$5=""),C615=Dashboard!$B$5),OR(OR(Dashboard!$K$5="All",Dashboard!$K$5=""),A615=Dashboard!$K$5),OR(OR(Dashboard!$N$5="All",Dashboard!$N$5=""),B615=Dashboard!$N$5),OR(OR(Dashboard!$Q$5="All",Dashboard!$Q$5=""),D615=Dashboard!$Q$5),OR(OR(Dashboard!$U$5="All",Dashboard!$U$5=""),E615=Dashboard!$U$5)),1,0))</f>
        <v>1</v>
      </c>
      <c r="O615" s="165">
        <f t="shared" si="79"/>
        <v>0</v>
      </c>
      <c r="AG615" s="178" t="str">
        <f>IF(E615="","",IFERROR(IF(INDEX('Item Purchases'!$AM$4:$AM$30,MATCH(E615,'Item Purchases'!$B$4:$B$30,0))="","Uncategorised",INDEX('Item Purchases'!$AM$4:$AM$30,MATCH(E615,'Item Purchases'!$B$4:$B$30,0))),"Uncategorised"))</f>
        <v>Beverages</v>
      </c>
      <c r="AH615" s="165">
        <f>IF(AND(E615&lt;&gt;"",L615=1),COUNTIFS($E$2:E615,E615,$L$2:L615,1),0)</f>
        <v>0</v>
      </c>
      <c r="AI615" s="165">
        <f t="shared" si="80"/>
        <v>0</v>
      </c>
      <c r="AJ615" s="165">
        <f t="shared" si="81"/>
        <v>0</v>
      </c>
    </row>
    <row r="616" spans="1:36" x14ac:dyDescent="0.25">
      <c r="A616" s="177">
        <f t="shared" si="82"/>
        <v>0</v>
      </c>
      <c r="B616" s="178" t="str">
        <f t="shared" si="76"/>
        <v/>
      </c>
      <c r="C616" s="178" t="str">
        <f>'Pantry Inventory'!$A$132</f>
        <v>Sep Week 5</v>
      </c>
      <c r="D616" s="178" t="str">
        <f>IF('Pantry Inventory'!A155="","",'Pantry Inventory'!A155)</f>
        <v>Vsoy</v>
      </c>
      <c r="E616" s="178" t="str">
        <f>IF('Pantry Inventory'!B155="","",'Pantry Inventory'!B155)</f>
        <v>Vsoy Soya Bean  250ml</v>
      </c>
      <c r="F616" s="178" t="str">
        <f>IF(E616="","",IFERROR(IF(INDEX('Item Purchases'!$S$4:$S$30,MATCH(E616,'Item Purchases'!$B$4:$B$30,0))="","Uncategorised",INDEX('Item Purchases'!$S$4:$S$30,MATCH(E616,'Item Purchases'!$B$4:$B$30,0))),"Uncategorised"))</f>
        <v>Other</v>
      </c>
      <c r="G616" s="178">
        <f>IF(E616="",0,'Pantry Inventory'!J155)</f>
        <v>0</v>
      </c>
      <c r="H616" s="178" t="str">
        <f>IF(E616="","",IF('Pantry Inventory'!K155="","",'Pantry Inventory'!K155))</f>
        <v/>
      </c>
      <c r="I616" s="178" t="str">
        <f>IF(H616="","",'Pantry Inventory'!L155)</f>
        <v/>
      </c>
      <c r="J616" s="179">
        <f>IF(E616="",0,IFERROR(INDEX('Item Purchases'!$Q$4:$Q$30,MATCH(E616,'Item Purchases'!$B$4:$B$30,0)),0))</f>
        <v>1.25</v>
      </c>
      <c r="K616" s="180" t="str">
        <f t="shared" si="77"/>
        <v/>
      </c>
      <c r="L616" s="178">
        <f t="shared" si="78"/>
        <v>0</v>
      </c>
      <c r="M616" s="178">
        <f>IF(E616="",0,IF(AND(OR(OR(Dashboard!$E$5="All",Dashboard!$E$5=""),AG616=Dashboard!$E$5),OR(OR(Dashboard!$H$5="All",Dashboard!$H$5=""),F616=Dashboard!$H$5),OR(OR(Dashboard!$B$5="All",Dashboard!$B$5=""),C616=Dashboard!$B$5),OR(OR(Dashboard!$K$5="All",Dashboard!$K$5=""),A616=Dashboard!$K$5),OR(OR(Dashboard!$N$5="All",Dashboard!$N$5=""),B616=Dashboard!$N$5),OR(OR(Dashboard!$Q$5="All",Dashboard!$Q$5=""),D616=Dashboard!$Q$5),OR(OR(Dashboard!$U$5="All",Dashboard!$U$5=""),E616=Dashboard!$U$5)),1,0))</f>
        <v>1</v>
      </c>
      <c r="N616" s="178">
        <f>IF(E616="",0,IF(AND(OR(OR(Dashboard!$E$5="All",Dashboard!$E$5=""),AG616=Dashboard!$E$5),OR(OR(Dashboard!$B$5="All",Dashboard!$B$5=""),C616=Dashboard!$B$5),OR(OR(Dashboard!$K$5="All",Dashboard!$K$5=""),A616=Dashboard!$K$5),OR(OR(Dashboard!$N$5="All",Dashboard!$N$5=""),B616=Dashboard!$N$5),OR(OR(Dashboard!$Q$5="All",Dashboard!$Q$5=""),D616=Dashboard!$Q$5),OR(OR(Dashboard!$U$5="All",Dashboard!$U$5=""),E616=Dashboard!$U$5)),1,0))</f>
        <v>1</v>
      </c>
      <c r="O616" s="165">
        <f t="shared" si="79"/>
        <v>0</v>
      </c>
      <c r="AG616" s="178" t="str">
        <f>IF(E616="","",IFERROR(IF(INDEX('Item Purchases'!$AM$4:$AM$30,MATCH(E616,'Item Purchases'!$B$4:$B$30,0))="","Uncategorised",INDEX('Item Purchases'!$AM$4:$AM$30,MATCH(E616,'Item Purchases'!$B$4:$B$30,0))),"Uncategorised"))</f>
        <v>Beverages</v>
      </c>
      <c r="AH616" s="165">
        <f>IF(AND(E616&lt;&gt;"",L616=1),COUNTIFS($E$2:E616,E616,$L$2:L616,1),0)</f>
        <v>0</v>
      </c>
      <c r="AI616" s="165">
        <f t="shared" si="80"/>
        <v>0</v>
      </c>
      <c r="AJ616" s="165">
        <f t="shared" si="81"/>
        <v>0</v>
      </c>
    </row>
    <row r="617" spans="1:36" x14ac:dyDescent="0.25">
      <c r="A617" s="177">
        <f t="shared" si="82"/>
        <v>0</v>
      </c>
      <c r="B617" s="178" t="str">
        <f t="shared" si="76"/>
        <v/>
      </c>
      <c r="C617" s="178" t="str">
        <f>'Pantry Inventory'!$A$132</f>
        <v>Sep Week 5</v>
      </c>
      <c r="D617" s="178" t="str">
        <f>IF('Pantry Inventory'!A156="","",'Pantry Inventory'!A156)</f>
        <v>BingRae</v>
      </c>
      <c r="E617" s="178" t="str">
        <f>IF('Pantry Inventory'!B156="","",'Pantry Inventory'!B156)</f>
        <v>BingRae Banana Milk 200ml</v>
      </c>
      <c r="F617" s="178" t="str">
        <f>IF(E617="","",IFERROR(IF(INDEX('Item Purchases'!$S$4:$S$30,MATCH(E617,'Item Purchases'!$B$4:$B$30,0))="","Uncategorised",INDEX('Item Purchases'!$S$4:$S$30,MATCH(E617,'Item Purchases'!$B$4:$B$30,0))),"Uncategorised"))</f>
        <v>Other</v>
      </c>
      <c r="G617" s="178">
        <f>IF(E617="",0,'Pantry Inventory'!J156)</f>
        <v>0</v>
      </c>
      <c r="H617" s="178" t="str">
        <f>IF(E617="","",IF('Pantry Inventory'!K156="","",'Pantry Inventory'!K156))</f>
        <v/>
      </c>
      <c r="I617" s="178" t="str">
        <f>IF(H617="","",'Pantry Inventory'!L156)</f>
        <v/>
      </c>
      <c r="J617" s="179">
        <f>IF(E617="",0,IFERROR(INDEX('Item Purchases'!$Q$4:$Q$30,MATCH(E617,'Item Purchases'!$B$4:$B$30,0)),0))</f>
        <v>3.3159999999999998</v>
      </c>
      <c r="K617" s="180" t="str">
        <f t="shared" si="77"/>
        <v/>
      </c>
      <c r="L617" s="178">
        <f t="shared" si="78"/>
        <v>0</v>
      </c>
      <c r="M617" s="178">
        <f>IF(E617="",0,IF(AND(OR(OR(Dashboard!$E$5="All",Dashboard!$E$5=""),AG617=Dashboard!$E$5),OR(OR(Dashboard!$H$5="All",Dashboard!$H$5=""),F617=Dashboard!$H$5),OR(OR(Dashboard!$B$5="All",Dashboard!$B$5=""),C617=Dashboard!$B$5),OR(OR(Dashboard!$K$5="All",Dashboard!$K$5=""),A617=Dashboard!$K$5),OR(OR(Dashboard!$N$5="All",Dashboard!$N$5=""),B617=Dashboard!$N$5),OR(OR(Dashboard!$Q$5="All",Dashboard!$Q$5=""),D617=Dashboard!$Q$5),OR(OR(Dashboard!$U$5="All",Dashboard!$U$5=""),E617=Dashboard!$U$5)),1,0))</f>
        <v>1</v>
      </c>
      <c r="N617" s="178">
        <f>IF(E617="",0,IF(AND(OR(OR(Dashboard!$E$5="All",Dashboard!$E$5=""),AG617=Dashboard!$E$5),OR(OR(Dashboard!$B$5="All",Dashboard!$B$5=""),C617=Dashboard!$B$5),OR(OR(Dashboard!$K$5="All",Dashboard!$K$5=""),A617=Dashboard!$K$5),OR(OR(Dashboard!$N$5="All",Dashboard!$N$5=""),B617=Dashboard!$N$5),OR(OR(Dashboard!$Q$5="All",Dashboard!$Q$5=""),D617=Dashboard!$Q$5),OR(OR(Dashboard!$U$5="All",Dashboard!$U$5=""),E617=Dashboard!$U$5)),1,0))</f>
        <v>1</v>
      </c>
      <c r="O617" s="165">
        <f t="shared" si="79"/>
        <v>0</v>
      </c>
      <c r="AG617" s="178" t="str">
        <f>IF(E617="","",IFERROR(IF(INDEX('Item Purchases'!$AM$4:$AM$30,MATCH(E617,'Item Purchases'!$B$4:$B$30,0))="","Uncategorised",INDEX('Item Purchases'!$AM$4:$AM$30,MATCH(E617,'Item Purchases'!$B$4:$B$30,0))),"Uncategorised"))</f>
        <v>Beverages</v>
      </c>
      <c r="AH617" s="165">
        <f>IF(AND(E617&lt;&gt;"",L617=1),COUNTIFS($E$2:E617,E617,$L$2:L617,1),0)</f>
        <v>0</v>
      </c>
      <c r="AI617" s="165">
        <f t="shared" si="80"/>
        <v>0</v>
      </c>
      <c r="AJ617" s="165">
        <f t="shared" si="81"/>
        <v>0</v>
      </c>
    </row>
    <row r="618" spans="1:36" x14ac:dyDescent="0.25">
      <c r="A618" s="177">
        <f t="shared" si="82"/>
        <v>0</v>
      </c>
      <c r="B618" s="178" t="str">
        <f t="shared" si="76"/>
        <v/>
      </c>
      <c r="C618" s="178" t="str">
        <f>'Pantry Inventory'!$A$132</f>
        <v>Sep Week 5</v>
      </c>
      <c r="D618" s="178" t="str">
        <f>IF('Pantry Inventory'!A157="","",'Pantry Inventory'!A157)</f>
        <v>Fuze Tea</v>
      </c>
      <c r="E618" s="178" t="str">
        <f>IF('Pantry Inventory'!B157="","",'Pantry Inventory'!B157)</f>
        <v>Fuze Tea by Heaven and Earth Jasmine Tea</v>
      </c>
      <c r="F618" s="178" t="str">
        <f>IF(E618="","",IFERROR(IF(INDEX('Item Purchases'!$S$4:$S$30,MATCH(E618,'Item Purchases'!$B$4:$B$30,0))="","Uncategorised",INDEX('Item Purchases'!$S$4:$S$30,MATCH(E618,'Item Purchases'!$B$4:$B$30,0))),"Uncategorised"))</f>
        <v>Tea</v>
      </c>
      <c r="G618" s="178">
        <f>IF(E618="",0,'Pantry Inventory'!J157)</f>
        <v>0</v>
      </c>
      <c r="H618" s="178" t="str">
        <f>IF(E618="","",IF('Pantry Inventory'!K157="","",'Pantry Inventory'!K157))</f>
        <v/>
      </c>
      <c r="I618" s="178" t="str">
        <f>IF(H618="","",'Pantry Inventory'!L157)</f>
        <v/>
      </c>
      <c r="J618" s="179">
        <f>IF(E618="",0,IFERROR(INDEX('Item Purchases'!$Q$4:$Q$30,MATCH(E618,'Item Purchases'!$B$4:$B$30,0)),0))</f>
        <v>1.167</v>
      </c>
      <c r="K618" s="180" t="str">
        <f t="shared" si="77"/>
        <v/>
      </c>
      <c r="L618" s="178">
        <f t="shared" si="78"/>
        <v>0</v>
      </c>
      <c r="M618" s="178">
        <f>IF(E618="",0,IF(AND(OR(OR(Dashboard!$E$5="All",Dashboard!$E$5=""),AG618=Dashboard!$E$5),OR(OR(Dashboard!$H$5="All",Dashboard!$H$5=""),F618=Dashboard!$H$5),OR(OR(Dashboard!$B$5="All",Dashboard!$B$5=""),C618=Dashboard!$B$5),OR(OR(Dashboard!$K$5="All",Dashboard!$K$5=""),A618=Dashboard!$K$5),OR(OR(Dashboard!$N$5="All",Dashboard!$N$5=""),B618=Dashboard!$N$5),OR(OR(Dashboard!$Q$5="All",Dashboard!$Q$5=""),D618=Dashboard!$Q$5),OR(OR(Dashboard!$U$5="All",Dashboard!$U$5=""),E618=Dashboard!$U$5)),1,0))</f>
        <v>1</v>
      </c>
      <c r="N618" s="178">
        <f>IF(E618="",0,IF(AND(OR(OR(Dashboard!$E$5="All",Dashboard!$E$5=""),AG618=Dashboard!$E$5),OR(OR(Dashboard!$B$5="All",Dashboard!$B$5=""),C618=Dashboard!$B$5),OR(OR(Dashboard!$K$5="All",Dashboard!$K$5=""),A618=Dashboard!$K$5),OR(OR(Dashboard!$N$5="All",Dashboard!$N$5=""),B618=Dashboard!$N$5),OR(OR(Dashboard!$Q$5="All",Dashboard!$Q$5=""),D618=Dashboard!$Q$5),OR(OR(Dashboard!$U$5="All",Dashboard!$U$5=""),E618=Dashboard!$U$5)),1,0))</f>
        <v>1</v>
      </c>
      <c r="O618" s="165">
        <f t="shared" si="79"/>
        <v>0</v>
      </c>
      <c r="AG618" s="178" t="str">
        <f>IF(E618="","",IFERROR(IF(INDEX('Item Purchases'!$AM$4:$AM$30,MATCH(E618,'Item Purchases'!$B$4:$B$30,0))="","Uncategorised",INDEX('Item Purchases'!$AM$4:$AM$30,MATCH(E618,'Item Purchases'!$B$4:$B$30,0))),"Uncategorised"))</f>
        <v>Beverages</v>
      </c>
      <c r="AH618" s="165">
        <f>IF(AND(E618&lt;&gt;"",L618=1),COUNTIFS($E$2:E618,E618,$L$2:L618,1),0)</f>
        <v>0</v>
      </c>
      <c r="AI618" s="165">
        <f t="shared" si="80"/>
        <v>0</v>
      </c>
      <c r="AJ618" s="165">
        <f t="shared" si="81"/>
        <v>0</v>
      </c>
    </row>
    <row r="619" spans="1:36" x14ac:dyDescent="0.25">
      <c r="A619" s="177">
        <f t="shared" si="82"/>
        <v>0</v>
      </c>
      <c r="B619" s="178" t="str">
        <f t="shared" si="76"/>
        <v/>
      </c>
      <c r="C619" s="178" t="str">
        <f>'Pantry Inventory'!$A$132</f>
        <v>Sep Week 5</v>
      </c>
      <c r="D619" s="178" t="str">
        <f>IF('Pantry Inventory'!A158="","",'Pantry Inventory'!A158)</f>
        <v>F&amp;N</v>
      </c>
      <c r="E619" s="178" t="str">
        <f>IF('Pantry Inventory'!B158="","",'Pantry Inventory'!B158)</f>
        <v>FN 100 plus (original) 325ml</v>
      </c>
      <c r="F619" s="178" t="str">
        <f>IF(E619="","",IFERROR(IF(INDEX('Item Purchases'!$S$4:$S$30,MATCH(E619,'Item Purchases'!$B$4:$B$30,0))="","Uncategorised",INDEX('Item Purchases'!$S$4:$S$30,MATCH(E619,'Item Purchases'!$B$4:$B$30,0))),"Uncategorised"))</f>
        <v>Other</v>
      </c>
      <c r="G619" s="178">
        <f>IF(E619="",0,'Pantry Inventory'!J158)</f>
        <v>0</v>
      </c>
      <c r="H619" s="178" t="str">
        <f>IF(E619="","",IF('Pantry Inventory'!K158="","",'Pantry Inventory'!K158))</f>
        <v/>
      </c>
      <c r="I619" s="178" t="str">
        <f>IF(H619="","",'Pantry Inventory'!L158)</f>
        <v/>
      </c>
      <c r="J619" s="179">
        <f>IF(E619="",0,IFERROR(INDEX('Item Purchases'!$Q$4:$Q$30,MATCH(E619,'Item Purchases'!$B$4:$B$30,0)),0))</f>
        <v>1.58</v>
      </c>
      <c r="K619" s="180" t="str">
        <f t="shared" si="77"/>
        <v/>
      </c>
      <c r="L619" s="178">
        <f t="shared" si="78"/>
        <v>0</v>
      </c>
      <c r="M619" s="178">
        <f>IF(E619="",0,IF(AND(OR(OR(Dashboard!$E$5="All",Dashboard!$E$5=""),AG619=Dashboard!$E$5),OR(OR(Dashboard!$H$5="All",Dashboard!$H$5=""),F619=Dashboard!$H$5),OR(OR(Dashboard!$B$5="All",Dashboard!$B$5=""),C619=Dashboard!$B$5),OR(OR(Dashboard!$K$5="All",Dashboard!$K$5=""),A619=Dashboard!$K$5),OR(OR(Dashboard!$N$5="All",Dashboard!$N$5=""),B619=Dashboard!$N$5),OR(OR(Dashboard!$Q$5="All",Dashboard!$Q$5=""),D619=Dashboard!$Q$5),OR(OR(Dashboard!$U$5="All",Dashboard!$U$5=""),E619=Dashboard!$U$5)),1,0))</f>
        <v>1</v>
      </c>
      <c r="N619" s="178">
        <f>IF(E619="",0,IF(AND(OR(OR(Dashboard!$E$5="All",Dashboard!$E$5=""),AG619=Dashboard!$E$5),OR(OR(Dashboard!$B$5="All",Dashboard!$B$5=""),C619=Dashboard!$B$5),OR(OR(Dashboard!$K$5="All",Dashboard!$K$5=""),A619=Dashboard!$K$5),OR(OR(Dashboard!$N$5="All",Dashboard!$N$5=""),B619=Dashboard!$N$5),OR(OR(Dashboard!$Q$5="All",Dashboard!$Q$5=""),D619=Dashboard!$Q$5),OR(OR(Dashboard!$U$5="All",Dashboard!$U$5=""),E619=Dashboard!$U$5)),1,0))</f>
        <v>1</v>
      </c>
      <c r="O619" s="165">
        <f t="shared" si="79"/>
        <v>0</v>
      </c>
      <c r="AG619" s="178" t="str">
        <f>IF(E619="","",IFERROR(IF(INDEX('Item Purchases'!$AM$4:$AM$30,MATCH(E619,'Item Purchases'!$B$4:$B$30,0))="","Uncategorised",INDEX('Item Purchases'!$AM$4:$AM$30,MATCH(E619,'Item Purchases'!$B$4:$B$30,0))),"Uncategorised"))</f>
        <v>Beverages</v>
      </c>
      <c r="AH619" s="165">
        <f>IF(AND(E619&lt;&gt;"",L619=1),COUNTIFS($E$2:E619,E619,$L$2:L619,1),0)</f>
        <v>0</v>
      </c>
      <c r="AI619" s="165">
        <f t="shared" si="80"/>
        <v>0</v>
      </c>
      <c r="AJ619" s="165">
        <f t="shared" si="81"/>
        <v>0</v>
      </c>
    </row>
    <row r="620" spans="1:36" x14ac:dyDescent="0.25">
      <c r="A620" s="177">
        <f t="shared" si="82"/>
        <v>0</v>
      </c>
      <c r="B620" s="178" t="str">
        <f t="shared" si="76"/>
        <v/>
      </c>
      <c r="C620" s="178" t="str">
        <f>'Pantry Inventory'!$A$132</f>
        <v>Sep Week 5</v>
      </c>
      <c r="D620" s="178" t="str">
        <f>IF('Pantry Inventory'!A159="","",'Pantry Inventory'!A159)</f>
        <v>Spritzer</v>
      </c>
      <c r="E620" s="178" t="str">
        <f>IF('Pantry Inventory'!B159="","",'Pantry Inventory'!B159)</f>
        <v>Spritzer sparkling water (original) 400ml</v>
      </c>
      <c r="F620" s="178" t="str">
        <f>IF(E620="","",IFERROR(IF(INDEX('Item Purchases'!$S$4:$S$30,MATCH(E620,'Item Purchases'!$B$4:$B$30,0))="","Uncategorised",INDEX('Item Purchases'!$S$4:$S$30,MATCH(E620,'Item Purchases'!$B$4:$B$30,0))),"Uncategorised"))</f>
        <v>Other</v>
      </c>
      <c r="G620" s="178">
        <f>IF(E620="",0,'Pantry Inventory'!J159)</f>
        <v>0</v>
      </c>
      <c r="H620" s="178" t="str">
        <f>IF(E620="","",IF('Pantry Inventory'!K159="","",'Pantry Inventory'!K159))</f>
        <v/>
      </c>
      <c r="I620" s="178" t="str">
        <f>IF(H620="","",'Pantry Inventory'!L159)</f>
        <v/>
      </c>
      <c r="J620" s="179">
        <f>IF(E620="",0,IFERROR(INDEX('Item Purchases'!$Q$4:$Q$30,MATCH(E620,'Item Purchases'!$B$4:$B$30,0)),0))</f>
        <v>1.616666666666666</v>
      </c>
      <c r="K620" s="180" t="str">
        <f t="shared" si="77"/>
        <v/>
      </c>
      <c r="L620" s="178">
        <f t="shared" si="78"/>
        <v>0</v>
      </c>
      <c r="M620" s="178">
        <f>IF(E620="",0,IF(AND(OR(OR(Dashboard!$E$5="All",Dashboard!$E$5=""),AG620=Dashboard!$E$5),OR(OR(Dashboard!$H$5="All",Dashboard!$H$5=""),F620=Dashboard!$H$5),OR(OR(Dashboard!$B$5="All",Dashboard!$B$5=""),C620=Dashboard!$B$5),OR(OR(Dashboard!$K$5="All",Dashboard!$K$5=""),A620=Dashboard!$K$5),OR(OR(Dashboard!$N$5="All",Dashboard!$N$5=""),B620=Dashboard!$N$5),OR(OR(Dashboard!$Q$5="All",Dashboard!$Q$5=""),D620=Dashboard!$Q$5),OR(OR(Dashboard!$U$5="All",Dashboard!$U$5=""),E620=Dashboard!$U$5)),1,0))</f>
        <v>1</v>
      </c>
      <c r="N620" s="178">
        <f>IF(E620="",0,IF(AND(OR(OR(Dashboard!$E$5="All",Dashboard!$E$5=""),AG620=Dashboard!$E$5),OR(OR(Dashboard!$B$5="All",Dashboard!$B$5=""),C620=Dashboard!$B$5),OR(OR(Dashboard!$K$5="All",Dashboard!$K$5=""),A620=Dashboard!$K$5),OR(OR(Dashboard!$N$5="All",Dashboard!$N$5=""),B620=Dashboard!$N$5),OR(OR(Dashboard!$Q$5="All",Dashboard!$Q$5=""),D620=Dashboard!$Q$5),OR(OR(Dashboard!$U$5="All",Dashboard!$U$5=""),E620=Dashboard!$U$5)),1,0))</f>
        <v>1</v>
      </c>
      <c r="O620" s="165">
        <f t="shared" si="79"/>
        <v>0</v>
      </c>
      <c r="AG620" s="178" t="str">
        <f>IF(E620="","",IFERROR(IF(INDEX('Item Purchases'!$AM$4:$AM$30,MATCH(E620,'Item Purchases'!$B$4:$B$30,0))="","Uncategorised",INDEX('Item Purchases'!$AM$4:$AM$30,MATCH(E620,'Item Purchases'!$B$4:$B$30,0))),"Uncategorised"))</f>
        <v>Beverages</v>
      </c>
      <c r="AH620" s="165">
        <f>IF(AND(E620&lt;&gt;"",L620=1),COUNTIFS($E$2:E620,E620,$L$2:L620,1),0)</f>
        <v>0</v>
      </c>
      <c r="AI620" s="165">
        <f t="shared" si="80"/>
        <v>0</v>
      </c>
      <c r="AJ620" s="165">
        <f t="shared" si="81"/>
        <v>0</v>
      </c>
    </row>
    <row r="621" spans="1:36" x14ac:dyDescent="0.25">
      <c r="A621" s="177">
        <f t="shared" si="82"/>
        <v>0</v>
      </c>
      <c r="B621" s="178" t="str">
        <f t="shared" si="76"/>
        <v/>
      </c>
      <c r="C621" s="178" t="str">
        <f>'Pantry Inventory'!$A$132</f>
        <v>Sep Week 5</v>
      </c>
      <c r="D621" s="178" t="str">
        <f>IF('Pantry Inventory'!A160="","",'Pantry Inventory'!A160)</f>
        <v>Oat Side</v>
      </c>
      <c r="E621" s="178" t="str">
        <f>IF('Pantry Inventory'!B160="","",'Pantry Inventory'!B160)</f>
        <v>Oat Side Original 200ml</v>
      </c>
      <c r="F621" s="178" t="str">
        <f>IF(E621="","",IFERROR(IF(INDEX('Item Purchases'!$S$4:$S$30,MATCH(E621,'Item Purchases'!$B$4:$B$30,0))="","Uncategorised",INDEX('Item Purchases'!$S$4:$S$30,MATCH(E621,'Item Purchases'!$B$4:$B$30,0))),"Uncategorised"))</f>
        <v>Other</v>
      </c>
      <c r="G621" s="178">
        <f>IF(E621="",0,'Pantry Inventory'!J160)</f>
        <v>0</v>
      </c>
      <c r="H621" s="178" t="str">
        <f>IF(E621="","",IF('Pantry Inventory'!K160="","",'Pantry Inventory'!K160))</f>
        <v/>
      </c>
      <c r="I621" s="178" t="str">
        <f>IF(H621="","",'Pantry Inventory'!L160)</f>
        <v/>
      </c>
      <c r="J621" s="179">
        <f>IF(E621="",0,IFERROR(INDEX('Item Purchases'!$Q$4:$Q$30,MATCH(E621,'Item Purchases'!$B$4:$B$30,0)),0))</f>
        <v>3</v>
      </c>
      <c r="K621" s="180" t="str">
        <f t="shared" si="77"/>
        <v/>
      </c>
      <c r="L621" s="178">
        <f t="shared" si="78"/>
        <v>0</v>
      </c>
      <c r="M621" s="178">
        <f>IF(E621="",0,IF(AND(OR(OR(Dashboard!$E$5="All",Dashboard!$E$5=""),AG621=Dashboard!$E$5),OR(OR(Dashboard!$H$5="All",Dashboard!$H$5=""),F621=Dashboard!$H$5),OR(OR(Dashboard!$B$5="All",Dashboard!$B$5=""),C621=Dashboard!$B$5),OR(OR(Dashboard!$K$5="All",Dashboard!$K$5=""),A621=Dashboard!$K$5),OR(OR(Dashboard!$N$5="All",Dashboard!$N$5=""),B621=Dashboard!$N$5),OR(OR(Dashboard!$Q$5="All",Dashboard!$Q$5=""),D621=Dashboard!$Q$5),OR(OR(Dashboard!$U$5="All",Dashboard!$U$5=""),E621=Dashboard!$U$5)),1,0))</f>
        <v>1</v>
      </c>
      <c r="N621" s="178">
        <f>IF(E621="",0,IF(AND(OR(OR(Dashboard!$E$5="All",Dashboard!$E$5=""),AG621=Dashboard!$E$5),OR(OR(Dashboard!$B$5="All",Dashboard!$B$5=""),C621=Dashboard!$B$5),OR(OR(Dashboard!$K$5="All",Dashboard!$K$5=""),A621=Dashboard!$K$5),OR(OR(Dashboard!$N$5="All",Dashboard!$N$5=""),B621=Dashboard!$N$5),OR(OR(Dashboard!$Q$5="All",Dashboard!$Q$5=""),D621=Dashboard!$Q$5),OR(OR(Dashboard!$U$5="All",Dashboard!$U$5=""),E621=Dashboard!$U$5)),1,0))</f>
        <v>1</v>
      </c>
      <c r="O621" s="165">
        <f t="shared" si="79"/>
        <v>0</v>
      </c>
      <c r="AG621" s="178" t="str">
        <f>IF(E621="","",IFERROR(IF(INDEX('Item Purchases'!$AM$4:$AM$30,MATCH(E621,'Item Purchases'!$B$4:$B$30,0))="","Uncategorised",INDEX('Item Purchases'!$AM$4:$AM$30,MATCH(E621,'Item Purchases'!$B$4:$B$30,0))),"Uncategorised"))</f>
        <v>Beverages</v>
      </c>
      <c r="AH621" s="165">
        <f>IF(AND(E621&lt;&gt;"",L621=1),COUNTIFS($E$2:E621,E621,$L$2:L621,1),0)</f>
        <v>0</v>
      </c>
      <c r="AI621" s="165">
        <f t="shared" si="80"/>
        <v>0</v>
      </c>
      <c r="AJ621" s="165">
        <f t="shared" si="81"/>
        <v>0</v>
      </c>
    </row>
    <row r="622" spans="1:36" x14ac:dyDescent="0.25">
      <c r="A622" s="177">
        <f t="shared" si="82"/>
        <v>0</v>
      </c>
      <c r="B622" s="178" t="str">
        <f t="shared" si="76"/>
        <v/>
      </c>
      <c r="C622" s="178" t="str">
        <f>'Pantry Inventory'!$A$132</f>
        <v>Sep Week 5</v>
      </c>
      <c r="D622" s="178" t="str">
        <f>IF('Pantry Inventory'!A161="","",'Pantry Inventory'!A161)</f>
        <v>Oat Side</v>
      </c>
      <c r="E622" s="178" t="str">
        <f>IF('Pantry Inventory'!B161="","",'Pantry Inventory'!B161)</f>
        <v>Oat Side Chocolate 200ml</v>
      </c>
      <c r="F622" s="178" t="str">
        <f>IF(E622="","",IFERROR(IF(INDEX('Item Purchases'!$S$4:$S$30,MATCH(E622,'Item Purchases'!$B$4:$B$30,0))="","Uncategorised",INDEX('Item Purchases'!$S$4:$S$30,MATCH(E622,'Item Purchases'!$B$4:$B$30,0))),"Uncategorised"))</f>
        <v>Other</v>
      </c>
      <c r="G622" s="178">
        <f>IF(E622="",0,'Pantry Inventory'!J161)</f>
        <v>0</v>
      </c>
      <c r="H622" s="178" t="str">
        <f>IF(E622="","",IF('Pantry Inventory'!K161="","",'Pantry Inventory'!K161))</f>
        <v/>
      </c>
      <c r="I622" s="178" t="str">
        <f>IF(H622="","",'Pantry Inventory'!L161)</f>
        <v/>
      </c>
      <c r="J622" s="179">
        <f>IF(E622="",0,IFERROR(INDEX('Item Purchases'!$Q$4:$Q$30,MATCH(E622,'Item Purchases'!$B$4:$B$30,0)),0))</f>
        <v>3</v>
      </c>
      <c r="K622" s="180" t="str">
        <f t="shared" si="77"/>
        <v/>
      </c>
      <c r="L622" s="178">
        <f t="shared" si="78"/>
        <v>0</v>
      </c>
      <c r="M622" s="178">
        <f>IF(E622="",0,IF(AND(OR(OR(Dashboard!$E$5="All",Dashboard!$E$5=""),AG622=Dashboard!$E$5),OR(OR(Dashboard!$H$5="All",Dashboard!$H$5=""),F622=Dashboard!$H$5),OR(OR(Dashboard!$B$5="All",Dashboard!$B$5=""),C622=Dashboard!$B$5),OR(OR(Dashboard!$K$5="All",Dashboard!$K$5=""),A622=Dashboard!$K$5),OR(OR(Dashboard!$N$5="All",Dashboard!$N$5=""),B622=Dashboard!$N$5),OR(OR(Dashboard!$Q$5="All",Dashboard!$Q$5=""),D622=Dashboard!$Q$5),OR(OR(Dashboard!$U$5="All",Dashboard!$U$5=""),E622=Dashboard!$U$5)),1,0))</f>
        <v>1</v>
      </c>
      <c r="N622" s="178">
        <f>IF(E622="",0,IF(AND(OR(OR(Dashboard!$E$5="All",Dashboard!$E$5=""),AG622=Dashboard!$E$5),OR(OR(Dashboard!$B$5="All",Dashboard!$B$5=""),C622=Dashboard!$B$5),OR(OR(Dashboard!$K$5="All",Dashboard!$K$5=""),A622=Dashboard!$K$5),OR(OR(Dashboard!$N$5="All",Dashboard!$N$5=""),B622=Dashboard!$N$5),OR(OR(Dashboard!$Q$5="All",Dashboard!$Q$5=""),D622=Dashboard!$Q$5),OR(OR(Dashboard!$U$5="All",Dashboard!$U$5=""),E622=Dashboard!$U$5)),1,0))</f>
        <v>1</v>
      </c>
      <c r="O622" s="165">
        <f t="shared" si="79"/>
        <v>0</v>
      </c>
      <c r="AG622" s="178" t="str">
        <f>IF(E622="","",IFERROR(IF(INDEX('Item Purchases'!$AM$4:$AM$30,MATCH(E622,'Item Purchases'!$B$4:$B$30,0))="","Uncategorised",INDEX('Item Purchases'!$AM$4:$AM$30,MATCH(E622,'Item Purchases'!$B$4:$B$30,0))),"Uncategorised"))</f>
        <v>Beverages</v>
      </c>
      <c r="AH622" s="165">
        <f>IF(AND(E622&lt;&gt;"",L622=1),COUNTIFS($E$2:E622,E622,$L$2:L622,1),0)</f>
        <v>0</v>
      </c>
      <c r="AI622" s="165">
        <f t="shared" si="80"/>
        <v>0</v>
      </c>
      <c r="AJ622" s="165">
        <f t="shared" si="81"/>
        <v>0</v>
      </c>
    </row>
    <row r="623" spans="1:36" x14ac:dyDescent="0.25">
      <c r="A623" s="177">
        <f t="shared" ref="A623:A649" si="83">IF($Z$25="",0,$Z$25)</f>
        <v>46294</v>
      </c>
      <c r="B623" s="178" t="str">
        <f t="shared" si="76"/>
        <v>Tue</v>
      </c>
      <c r="C623" s="178" t="str">
        <f>'Pantry Inventory'!$A$132</f>
        <v>Sep Week 5</v>
      </c>
      <c r="D623" s="178" t="str">
        <f>IF('Pantry Inventory'!A135="","",'Pantry Inventory'!A135)</f>
        <v>Julie's</v>
      </c>
      <c r="E623" s="178" t="str">
        <f>IF('Pantry Inventory'!B135="","",'Pantry Inventory'!B135)</f>
        <v>Julie's Peanut Butter Sandwich 360g (12pkts x 30g)</v>
      </c>
      <c r="F623" s="178" t="str">
        <f>IF(E623="","",IFERROR(IF(INDEX('Item Purchases'!$S$4:$S$30,MATCH(E623,'Item Purchases'!$B$4:$B$30,0))="","Uncategorised",INDEX('Item Purchases'!$S$4:$S$30,MATCH(E623,'Item Purchases'!$B$4:$B$30,0))),"Uncategorised"))</f>
        <v>Sweet</v>
      </c>
      <c r="G623" s="178">
        <f>IF(E623="",0,'Pantry Inventory'!M135)</f>
        <v>0</v>
      </c>
      <c r="H623" s="178">
        <f>IF(E623="","",IF('Pantry Inventory'!N135="","",'Pantry Inventory'!N135))</f>
        <v>41</v>
      </c>
      <c r="I623" s="178">
        <f>IF(H623="","",'Pantry Inventory'!O135)</f>
        <v>4</v>
      </c>
      <c r="J623" s="179">
        <f>IF(E623="",0,IFERROR(INDEX('Item Purchases'!$Q$4:$Q$30,MATCH(E623,'Item Purchases'!$B$4:$B$30,0)),0))</f>
        <v>1.083</v>
      </c>
      <c r="K623" s="180">
        <f t="shared" si="77"/>
        <v>4.3319999999999999</v>
      </c>
      <c r="L623" s="178">
        <f t="shared" si="78"/>
        <v>1</v>
      </c>
      <c r="M623" s="178">
        <f>IF(E623="",0,IF(AND(OR(OR(Dashboard!$E$5="All",Dashboard!$E$5=""),AG623=Dashboard!$E$5),OR(OR(Dashboard!$H$5="All",Dashboard!$H$5=""),F623=Dashboard!$H$5),OR(OR(Dashboard!$B$5="All",Dashboard!$B$5=""),C623=Dashboard!$B$5),OR(OR(Dashboard!$K$5="All",Dashboard!$K$5=""),A623=Dashboard!$K$5),OR(OR(Dashboard!$N$5="All",Dashboard!$N$5=""),B623=Dashboard!$N$5),OR(OR(Dashboard!$Q$5="All",Dashboard!$Q$5=""),D623=Dashboard!$Q$5),OR(OR(Dashboard!$U$5="All",Dashboard!$U$5=""),E623=Dashboard!$U$5)),1,0))</f>
        <v>1</v>
      </c>
      <c r="N623" s="178">
        <f>IF(E623="",0,IF(AND(OR(OR(Dashboard!$E$5="All",Dashboard!$E$5=""),AG623=Dashboard!$E$5),OR(OR(Dashboard!$B$5="All",Dashboard!$B$5=""),C623=Dashboard!$B$5),OR(OR(Dashboard!$K$5="All",Dashboard!$K$5=""),A623=Dashboard!$K$5),OR(OR(Dashboard!$N$5="All",Dashboard!$N$5=""),B623=Dashboard!$N$5),OR(OR(Dashboard!$Q$5="All",Dashboard!$Q$5=""),D623=Dashboard!$Q$5),OR(OR(Dashboard!$U$5="All",Dashboard!$U$5=""),E623=Dashboard!$U$5)),1,0))</f>
        <v>1</v>
      </c>
      <c r="O623" s="165">
        <f t="shared" si="79"/>
        <v>16</v>
      </c>
      <c r="AG623" s="178" t="str">
        <f>IF(E623="","",IFERROR(IF(INDEX('Item Purchases'!$AM$4:$AM$30,MATCH(E623,'Item Purchases'!$B$4:$B$30,0))="","Uncategorised",INDEX('Item Purchases'!$AM$4:$AM$30,MATCH(E623,'Item Purchases'!$B$4:$B$30,0))),"Uncategorised"))</f>
        <v>Snacks</v>
      </c>
      <c r="AH623" s="165">
        <f>IF(AND(E623&lt;&gt;"",L623=1),COUNTIFS($E$2:E623,E623,$L$2:L623,1),0)</f>
        <v>21</v>
      </c>
      <c r="AI623" s="165">
        <f t="shared" si="80"/>
        <v>4</v>
      </c>
      <c r="AJ623" s="165">
        <f t="shared" si="81"/>
        <v>1</v>
      </c>
    </row>
    <row r="624" spans="1:36" x14ac:dyDescent="0.25">
      <c r="A624" s="177">
        <f t="shared" si="83"/>
        <v>46294</v>
      </c>
      <c r="B624" s="178" t="str">
        <f t="shared" si="76"/>
        <v>Tue</v>
      </c>
      <c r="C624" s="178" t="str">
        <f>'Pantry Inventory'!$A$132</f>
        <v>Sep Week 5</v>
      </c>
      <c r="D624" s="178" t="str">
        <f>IF('Pantry Inventory'!A136="","",'Pantry Inventory'!A136)</f>
        <v>Julie's</v>
      </c>
      <c r="E624" s="178" t="str">
        <f>IF('Pantry Inventory'!B136="","",'Pantry Inventory'!B136)</f>
        <v>Julies Butter Waffles</v>
      </c>
      <c r="F624" s="178" t="str">
        <f>IF(E624="","",IFERROR(IF(INDEX('Item Purchases'!$S$4:$S$30,MATCH(E624,'Item Purchases'!$B$4:$B$30,0))="","Uncategorised",INDEX('Item Purchases'!$S$4:$S$30,MATCH(E624,'Item Purchases'!$B$4:$B$30,0))),"Uncategorised"))</f>
        <v>Sweet</v>
      </c>
      <c r="G624" s="178">
        <f>IF(E624="",0,'Pantry Inventory'!M136)</f>
        <v>0</v>
      </c>
      <c r="H624" s="178">
        <f>IF(E624="","",IF('Pantry Inventory'!N136="","",'Pantry Inventory'!N136))</f>
        <v>0</v>
      </c>
      <c r="I624" s="178">
        <f>IF(H624="","",'Pantry Inventory'!O136)</f>
        <v>0</v>
      </c>
      <c r="J624" s="179">
        <f>IF(E624="",0,IFERROR(INDEX('Item Purchases'!$Q$4:$Q$30,MATCH(E624,'Item Purchases'!$B$4:$B$30,0)),0))</f>
        <v>5.15</v>
      </c>
      <c r="K624" s="180">
        <f t="shared" si="77"/>
        <v>0</v>
      </c>
      <c r="L624" s="178">
        <f t="shared" si="78"/>
        <v>1</v>
      </c>
      <c r="M624" s="178">
        <f>IF(E624="",0,IF(AND(OR(OR(Dashboard!$E$5="All",Dashboard!$E$5=""),AG624=Dashboard!$E$5),OR(OR(Dashboard!$H$5="All",Dashboard!$H$5=""),F624=Dashboard!$H$5),OR(OR(Dashboard!$B$5="All",Dashboard!$B$5=""),C624=Dashboard!$B$5),OR(OR(Dashboard!$K$5="All",Dashboard!$K$5=""),A624=Dashboard!$K$5),OR(OR(Dashboard!$N$5="All",Dashboard!$N$5=""),B624=Dashboard!$N$5),OR(OR(Dashboard!$Q$5="All",Dashboard!$Q$5=""),D624=Dashboard!$Q$5),OR(OR(Dashboard!$U$5="All",Dashboard!$U$5=""),E624=Dashboard!$U$5)),1,0))</f>
        <v>1</v>
      </c>
      <c r="N624" s="178">
        <f>IF(E624="",0,IF(AND(OR(OR(Dashboard!$E$5="All",Dashboard!$E$5=""),AG624=Dashboard!$E$5),OR(OR(Dashboard!$B$5="All",Dashboard!$B$5=""),C624=Dashboard!$B$5),OR(OR(Dashboard!$K$5="All",Dashboard!$K$5=""),A624=Dashboard!$K$5),OR(OR(Dashboard!$N$5="All",Dashboard!$N$5=""),B624=Dashboard!$N$5),OR(OR(Dashboard!$Q$5="All",Dashboard!$Q$5=""),D624=Dashboard!$Q$5),OR(OR(Dashboard!$U$5="All",Dashboard!$U$5=""),E624=Dashboard!$U$5)),1,0))</f>
        <v>1</v>
      </c>
      <c r="O624" s="165">
        <f t="shared" si="79"/>
        <v>0</v>
      </c>
      <c r="AG624" s="178" t="str">
        <f>IF(E624="","",IFERROR(IF(INDEX('Item Purchases'!$AM$4:$AM$30,MATCH(E624,'Item Purchases'!$B$4:$B$30,0))="","Uncategorised",INDEX('Item Purchases'!$AM$4:$AM$30,MATCH(E624,'Item Purchases'!$B$4:$B$30,0))),"Uncategorised"))</f>
        <v>Snacks</v>
      </c>
      <c r="AH624" s="165">
        <f>IF(AND(E624&lt;&gt;"",L624=1),COUNTIFS($E$2:E624,E624,$L$2:L624,1),0)</f>
        <v>21</v>
      </c>
      <c r="AI624" s="165">
        <f t="shared" si="80"/>
        <v>0</v>
      </c>
      <c r="AJ624" s="165">
        <f t="shared" si="81"/>
        <v>0</v>
      </c>
    </row>
    <row r="625" spans="1:36" x14ac:dyDescent="0.25">
      <c r="A625" s="177">
        <f t="shared" si="83"/>
        <v>46294</v>
      </c>
      <c r="B625" s="178" t="str">
        <f t="shared" si="76"/>
        <v>Tue</v>
      </c>
      <c r="C625" s="178" t="str">
        <f>'Pantry Inventory'!$A$132</f>
        <v>Sep Week 5</v>
      </c>
      <c r="D625" s="178" t="str">
        <f>IF('Pantry Inventory'!A137="","",'Pantry Inventory'!A137)</f>
        <v>Julie's</v>
      </c>
      <c r="E625" s="178" t="str">
        <f>IF('Pantry Inventory'!B137="","",'Pantry Inventory'!B137)</f>
        <v>Julies Choco More Sandwich (44G)</v>
      </c>
      <c r="F625" s="178" t="str">
        <f>IF(E625="","",IFERROR(IF(INDEX('Item Purchases'!$S$4:$S$30,MATCH(E625,'Item Purchases'!$B$4:$B$30,0))="","Uncategorised",INDEX('Item Purchases'!$S$4:$S$30,MATCH(E625,'Item Purchases'!$B$4:$B$30,0))),"Uncategorised"))</f>
        <v>Sweet</v>
      </c>
      <c r="G625" s="178">
        <f>IF(E625="",0,'Pantry Inventory'!M137)</f>
        <v>0</v>
      </c>
      <c r="H625" s="178">
        <f>IF(E625="","",IF('Pantry Inventory'!N137="","",'Pantry Inventory'!N137))</f>
        <v>27</v>
      </c>
      <c r="I625" s="178">
        <f>IF(H625="","",'Pantry Inventory'!O137)</f>
        <v>13</v>
      </c>
      <c r="J625" s="179">
        <f>IF(E625="",0,IFERROR(INDEX('Item Purchases'!$Q$4:$Q$30,MATCH(E625,'Item Purchases'!$B$4:$B$30,0)),0))</f>
        <v>1.2</v>
      </c>
      <c r="K625" s="180">
        <f t="shared" si="77"/>
        <v>15.6</v>
      </c>
      <c r="L625" s="178">
        <f t="shared" si="78"/>
        <v>1</v>
      </c>
      <c r="M625" s="178">
        <f>IF(E625="",0,IF(AND(OR(OR(Dashboard!$E$5="All",Dashboard!$E$5=""),AG625=Dashboard!$E$5),OR(OR(Dashboard!$H$5="All",Dashboard!$H$5=""),F625=Dashboard!$H$5),OR(OR(Dashboard!$B$5="All",Dashboard!$B$5=""),C625=Dashboard!$B$5),OR(OR(Dashboard!$K$5="All",Dashboard!$K$5=""),A625=Dashboard!$K$5),OR(OR(Dashboard!$N$5="All",Dashboard!$N$5=""),B625=Dashboard!$N$5),OR(OR(Dashboard!$Q$5="All",Dashboard!$Q$5=""),D625=Dashboard!$Q$5),OR(OR(Dashboard!$U$5="All",Dashboard!$U$5=""),E625=Dashboard!$U$5)),1,0))</f>
        <v>1</v>
      </c>
      <c r="N625" s="178">
        <f>IF(E625="",0,IF(AND(OR(OR(Dashboard!$E$5="All",Dashboard!$E$5=""),AG625=Dashboard!$E$5),OR(OR(Dashboard!$B$5="All",Dashboard!$B$5=""),C625=Dashboard!$B$5),OR(OR(Dashboard!$K$5="All",Dashboard!$K$5=""),A625=Dashboard!$K$5),OR(OR(Dashboard!$N$5="All",Dashboard!$N$5=""),B625=Dashboard!$N$5),OR(OR(Dashboard!$Q$5="All",Dashboard!$Q$5=""),D625=Dashboard!$Q$5),OR(OR(Dashboard!$U$5="All",Dashboard!$U$5=""),E625=Dashboard!$U$5)),1,0))</f>
        <v>1</v>
      </c>
      <c r="O625" s="165">
        <f t="shared" si="79"/>
        <v>169</v>
      </c>
      <c r="AG625" s="178" t="str">
        <f>IF(E625="","",IFERROR(IF(INDEX('Item Purchases'!$AM$4:$AM$30,MATCH(E625,'Item Purchases'!$B$4:$B$30,0))="","Uncategorised",INDEX('Item Purchases'!$AM$4:$AM$30,MATCH(E625,'Item Purchases'!$B$4:$B$30,0))),"Uncategorised"))</f>
        <v>Snacks</v>
      </c>
      <c r="AH625" s="165">
        <f>IF(AND(E625&lt;&gt;"",L625=1),COUNTIFS($E$2:E625,E625,$L$2:L625,1),0)</f>
        <v>21</v>
      </c>
      <c r="AI625" s="165">
        <f t="shared" si="80"/>
        <v>13</v>
      </c>
      <c r="AJ625" s="165">
        <f t="shared" si="81"/>
        <v>1</v>
      </c>
    </row>
    <row r="626" spans="1:36" x14ac:dyDescent="0.25">
      <c r="A626" s="177">
        <f t="shared" si="83"/>
        <v>46294</v>
      </c>
      <c r="B626" s="178" t="str">
        <f t="shared" si="76"/>
        <v>Tue</v>
      </c>
      <c r="C626" s="178" t="str">
        <f>'Pantry Inventory'!$A$132</f>
        <v>Sep Week 5</v>
      </c>
      <c r="D626" s="178" t="str">
        <f>IF('Pantry Inventory'!A138="","",'Pantry Inventory'!A138)</f>
        <v>Julie's</v>
      </c>
      <c r="E626" s="178" t="str">
        <f>IF('Pantry Inventory'!B138="","",'Pantry Inventory'!B138)</f>
        <v>Julies Cheese Sandwich (28G)</v>
      </c>
      <c r="F626" s="178" t="str">
        <f>IF(E626="","",IFERROR(IF(INDEX('Item Purchases'!$S$4:$S$30,MATCH(E626,'Item Purchases'!$B$4:$B$30,0))="","Uncategorised",INDEX('Item Purchases'!$S$4:$S$30,MATCH(E626,'Item Purchases'!$B$4:$B$30,0))),"Uncategorised"))</f>
        <v>Savoury</v>
      </c>
      <c r="G626" s="178">
        <f>IF(E626="",0,'Pantry Inventory'!M138)</f>
        <v>0</v>
      </c>
      <c r="H626" s="178">
        <f>IF(E626="","",IF('Pantry Inventory'!N138="","",'Pantry Inventory'!N138))</f>
        <v>23</v>
      </c>
      <c r="I626" s="178">
        <f>IF(H626="","",'Pantry Inventory'!O138)</f>
        <v>13</v>
      </c>
      <c r="J626" s="179">
        <f>IF(E626="",0,IFERROR(INDEX('Item Purchases'!$Q$4:$Q$30,MATCH(E626,'Item Purchases'!$B$4:$B$30,0)),0))</f>
        <v>1.1000000000000001</v>
      </c>
      <c r="K626" s="180">
        <f t="shared" si="77"/>
        <v>14.3</v>
      </c>
      <c r="L626" s="178">
        <f t="shared" si="78"/>
        <v>1</v>
      </c>
      <c r="M626" s="178">
        <f>IF(E626="",0,IF(AND(OR(OR(Dashboard!$E$5="All",Dashboard!$E$5=""),AG626=Dashboard!$E$5),OR(OR(Dashboard!$H$5="All",Dashboard!$H$5=""),F626=Dashboard!$H$5),OR(OR(Dashboard!$B$5="All",Dashboard!$B$5=""),C626=Dashboard!$B$5),OR(OR(Dashboard!$K$5="All",Dashboard!$K$5=""),A626=Dashboard!$K$5),OR(OR(Dashboard!$N$5="All",Dashboard!$N$5=""),B626=Dashboard!$N$5),OR(OR(Dashboard!$Q$5="All",Dashboard!$Q$5=""),D626=Dashboard!$Q$5),OR(OR(Dashboard!$U$5="All",Dashboard!$U$5=""),E626=Dashboard!$U$5)),1,0))</f>
        <v>1</v>
      </c>
      <c r="N626" s="178">
        <f>IF(E626="",0,IF(AND(OR(OR(Dashboard!$E$5="All",Dashboard!$E$5=""),AG626=Dashboard!$E$5),OR(OR(Dashboard!$B$5="All",Dashboard!$B$5=""),C626=Dashboard!$B$5),OR(OR(Dashboard!$K$5="All",Dashboard!$K$5=""),A626=Dashboard!$K$5),OR(OR(Dashboard!$N$5="All",Dashboard!$N$5=""),B626=Dashboard!$N$5),OR(OR(Dashboard!$Q$5="All",Dashboard!$Q$5=""),D626=Dashboard!$Q$5),OR(OR(Dashboard!$U$5="All",Dashboard!$U$5=""),E626=Dashboard!$U$5)),1,0))</f>
        <v>1</v>
      </c>
      <c r="O626" s="165">
        <f t="shared" si="79"/>
        <v>169</v>
      </c>
      <c r="AG626" s="178" t="str">
        <f>IF(E626="","",IFERROR(IF(INDEX('Item Purchases'!$AM$4:$AM$30,MATCH(E626,'Item Purchases'!$B$4:$B$30,0))="","Uncategorised",INDEX('Item Purchases'!$AM$4:$AM$30,MATCH(E626,'Item Purchases'!$B$4:$B$30,0))),"Uncategorised"))</f>
        <v>Snacks</v>
      </c>
      <c r="AH626" s="165">
        <f>IF(AND(E626&lt;&gt;"",L626=1),COUNTIFS($E$2:E626,E626,$L$2:L626,1),0)</f>
        <v>21</v>
      </c>
      <c r="AI626" s="165">
        <f t="shared" si="80"/>
        <v>13</v>
      </c>
      <c r="AJ626" s="165">
        <f t="shared" si="81"/>
        <v>1</v>
      </c>
    </row>
    <row r="627" spans="1:36" x14ac:dyDescent="0.25">
      <c r="A627" s="177">
        <f t="shared" si="83"/>
        <v>46294</v>
      </c>
      <c r="B627" s="178" t="str">
        <f t="shared" si="76"/>
        <v>Tue</v>
      </c>
      <c r="C627" s="178" t="str">
        <f>'Pantry Inventory'!$A$132</f>
        <v>Sep Week 5</v>
      </c>
      <c r="D627" s="178" t="str">
        <f>IF('Pantry Inventory'!A139="","",'Pantry Inventory'!A139)</f>
        <v>Nature Valley</v>
      </c>
      <c r="E627" s="178" t="str">
        <f>IF('Pantry Inventory'!B139="","",'Pantry Inventory'!B139)</f>
        <v>NV OATS &amp; DARK CHOC 42GX5</v>
      </c>
      <c r="F627" s="178" t="str">
        <f>IF(E627="","",IFERROR(IF(INDEX('Item Purchases'!$S$4:$S$30,MATCH(E627,'Item Purchases'!$B$4:$B$30,0))="","Uncategorised",INDEX('Item Purchases'!$S$4:$S$30,MATCH(E627,'Item Purchases'!$B$4:$B$30,0))),"Uncategorised"))</f>
        <v>Sweet</v>
      </c>
      <c r="G627" s="178">
        <f>IF(E627="",0,'Pantry Inventory'!M139)</f>
        <v>0</v>
      </c>
      <c r="H627" s="178">
        <f>IF(E627="","",IF('Pantry Inventory'!N139="","",'Pantry Inventory'!N139))</f>
        <v>0</v>
      </c>
      <c r="I627" s="178">
        <f>IF(H627="","",'Pantry Inventory'!O139)</f>
        <v>0</v>
      </c>
      <c r="J627" s="179">
        <f>IF(E627="",0,IFERROR(INDEX('Item Purchases'!$Q$4:$Q$30,MATCH(E627,'Item Purchases'!$B$4:$B$30,0)),0))</f>
        <v>2.78</v>
      </c>
      <c r="K627" s="180">
        <f t="shared" si="77"/>
        <v>0</v>
      </c>
      <c r="L627" s="178">
        <f t="shared" si="78"/>
        <v>1</v>
      </c>
      <c r="M627" s="178">
        <f>IF(E627="",0,IF(AND(OR(OR(Dashboard!$E$5="All",Dashboard!$E$5=""),AG627=Dashboard!$E$5),OR(OR(Dashboard!$H$5="All",Dashboard!$H$5=""),F627=Dashboard!$H$5),OR(OR(Dashboard!$B$5="All",Dashboard!$B$5=""),C627=Dashboard!$B$5),OR(OR(Dashboard!$K$5="All",Dashboard!$K$5=""),A627=Dashboard!$K$5),OR(OR(Dashboard!$N$5="All",Dashboard!$N$5=""),B627=Dashboard!$N$5),OR(OR(Dashboard!$Q$5="All",Dashboard!$Q$5=""),D627=Dashboard!$Q$5),OR(OR(Dashboard!$U$5="All",Dashboard!$U$5=""),E627=Dashboard!$U$5)),1,0))</f>
        <v>1</v>
      </c>
      <c r="N627" s="178">
        <f>IF(E627="",0,IF(AND(OR(OR(Dashboard!$E$5="All",Dashboard!$E$5=""),AG627=Dashboard!$E$5),OR(OR(Dashboard!$B$5="All",Dashboard!$B$5=""),C627=Dashboard!$B$5),OR(OR(Dashboard!$K$5="All",Dashboard!$K$5=""),A627=Dashboard!$K$5),OR(OR(Dashboard!$N$5="All",Dashboard!$N$5=""),B627=Dashboard!$N$5),OR(OR(Dashboard!$Q$5="All",Dashboard!$Q$5=""),D627=Dashboard!$Q$5),OR(OR(Dashboard!$U$5="All",Dashboard!$U$5=""),E627=Dashboard!$U$5)),1,0))</f>
        <v>1</v>
      </c>
      <c r="O627" s="165">
        <f t="shared" si="79"/>
        <v>0</v>
      </c>
      <c r="AG627" s="178" t="str">
        <f>IF(E627="","",IFERROR(IF(INDEX('Item Purchases'!$AM$4:$AM$30,MATCH(E627,'Item Purchases'!$B$4:$B$30,0))="","Uncategorised",INDEX('Item Purchases'!$AM$4:$AM$30,MATCH(E627,'Item Purchases'!$B$4:$B$30,0))),"Uncategorised"))</f>
        <v>Snacks</v>
      </c>
      <c r="AH627" s="165">
        <f>IF(AND(E627&lt;&gt;"",L627=1),COUNTIFS($E$2:E627,E627,$L$2:L627,1),0)</f>
        <v>21</v>
      </c>
      <c r="AI627" s="165">
        <f t="shared" si="80"/>
        <v>0</v>
      </c>
      <c r="AJ627" s="165">
        <f t="shared" si="81"/>
        <v>0</v>
      </c>
    </row>
    <row r="628" spans="1:36" x14ac:dyDescent="0.25">
      <c r="A628" s="177">
        <f t="shared" si="83"/>
        <v>46294</v>
      </c>
      <c r="B628" s="178" t="str">
        <f t="shared" si="76"/>
        <v>Tue</v>
      </c>
      <c r="C628" s="178" t="str">
        <f>'Pantry Inventory'!$A$132</f>
        <v>Sep Week 5</v>
      </c>
      <c r="D628" s="178" t="str">
        <f>IF('Pantry Inventory'!A140="","",'Pantry Inventory'!A140)</f>
        <v>Nature Valley</v>
      </c>
      <c r="E628" s="178" t="str">
        <f>IF('Pantry Inventory'!B140="","",'Pantry Inventory'!B140)</f>
        <v xml:space="preserve">NV PROTEIN - SALTED CARAMEL 40G </v>
      </c>
      <c r="F628" s="178" t="str">
        <f>IF(E628="","",IFERROR(IF(INDEX('Item Purchases'!$S$4:$S$30,MATCH(E628,'Item Purchases'!$B$4:$B$30,0))="","Uncategorised",INDEX('Item Purchases'!$S$4:$S$30,MATCH(E628,'Item Purchases'!$B$4:$B$30,0))),"Uncategorised"))</f>
        <v>Sweet</v>
      </c>
      <c r="G628" s="178">
        <f>IF(E628="",0,'Pantry Inventory'!M140)</f>
        <v>0</v>
      </c>
      <c r="H628" s="178">
        <f>IF(E628="","",IF('Pantry Inventory'!N140="","",'Pantry Inventory'!N140))</f>
        <v>0</v>
      </c>
      <c r="I628" s="178">
        <f>IF(H628="","",'Pantry Inventory'!O140)</f>
        <v>0</v>
      </c>
      <c r="J628" s="179">
        <f>IF(E628="",0,IFERROR(INDEX('Item Purchases'!$Q$4:$Q$30,MATCH(E628,'Item Purchases'!$B$4:$B$30,0)),0))</f>
        <v>4.9000000000000004</v>
      </c>
      <c r="K628" s="180">
        <f t="shared" si="77"/>
        <v>0</v>
      </c>
      <c r="L628" s="178">
        <f t="shared" si="78"/>
        <v>1</v>
      </c>
      <c r="M628" s="178">
        <f>IF(E628="",0,IF(AND(OR(OR(Dashboard!$E$5="All",Dashboard!$E$5=""),AG628=Dashboard!$E$5),OR(OR(Dashboard!$H$5="All",Dashboard!$H$5=""),F628=Dashboard!$H$5),OR(OR(Dashboard!$B$5="All",Dashboard!$B$5=""),C628=Dashboard!$B$5),OR(OR(Dashboard!$K$5="All",Dashboard!$K$5=""),A628=Dashboard!$K$5),OR(OR(Dashboard!$N$5="All",Dashboard!$N$5=""),B628=Dashboard!$N$5),OR(OR(Dashboard!$Q$5="All",Dashboard!$Q$5=""),D628=Dashboard!$Q$5),OR(OR(Dashboard!$U$5="All",Dashboard!$U$5=""),E628=Dashboard!$U$5)),1,0))</f>
        <v>1</v>
      </c>
      <c r="N628" s="178">
        <f>IF(E628="",0,IF(AND(OR(OR(Dashboard!$E$5="All",Dashboard!$E$5=""),AG628=Dashboard!$E$5),OR(OR(Dashboard!$B$5="All",Dashboard!$B$5=""),C628=Dashboard!$B$5),OR(OR(Dashboard!$K$5="All",Dashboard!$K$5=""),A628=Dashboard!$K$5),OR(OR(Dashboard!$N$5="All",Dashboard!$N$5=""),B628=Dashboard!$N$5),OR(OR(Dashboard!$Q$5="All",Dashboard!$Q$5=""),D628=Dashboard!$Q$5),OR(OR(Dashboard!$U$5="All",Dashboard!$U$5=""),E628=Dashboard!$U$5)),1,0))</f>
        <v>1</v>
      </c>
      <c r="O628" s="165">
        <f t="shared" si="79"/>
        <v>0</v>
      </c>
      <c r="AG628" s="178" t="str">
        <f>IF(E628="","",IFERROR(IF(INDEX('Item Purchases'!$AM$4:$AM$30,MATCH(E628,'Item Purchases'!$B$4:$B$30,0))="","Uncategorised",INDEX('Item Purchases'!$AM$4:$AM$30,MATCH(E628,'Item Purchases'!$B$4:$B$30,0))),"Uncategorised"))</f>
        <v>Snacks</v>
      </c>
      <c r="AH628" s="165">
        <f>IF(AND(E628&lt;&gt;"",L628=1),COUNTIFS($E$2:E628,E628,$L$2:L628,1),0)</f>
        <v>21</v>
      </c>
      <c r="AI628" s="165">
        <f t="shared" si="80"/>
        <v>0</v>
      </c>
      <c r="AJ628" s="165">
        <f t="shared" si="81"/>
        <v>0</v>
      </c>
    </row>
    <row r="629" spans="1:36" x14ac:dyDescent="0.25">
      <c r="A629" s="177">
        <f t="shared" si="83"/>
        <v>46294</v>
      </c>
      <c r="B629" s="178" t="str">
        <f t="shared" si="76"/>
        <v>Tue</v>
      </c>
      <c r="C629" s="178" t="str">
        <f>'Pantry Inventory'!$A$132</f>
        <v>Sep Week 5</v>
      </c>
      <c r="D629" s="178" t="str">
        <f>IF('Pantry Inventory'!A141="","",'Pantry Inventory'!A141)</f>
        <v>BBMG</v>
      </c>
      <c r="E629" s="178" t="str">
        <f>IF('Pantry Inventory'!B141="","",'Pantry Inventory'!B141)</f>
        <v>BBMG 90G</v>
      </c>
      <c r="F629" s="178" t="str">
        <f>IF(E629="","",IFERROR(IF(INDEX('Item Purchases'!$S$4:$S$30,MATCH(E629,'Item Purchases'!$B$4:$B$30,0))="","Uncategorised",INDEX('Item Purchases'!$S$4:$S$30,MATCH(E629,'Item Purchases'!$B$4:$B$30,0))),"Uncategorised"))</f>
        <v>Savoury</v>
      </c>
      <c r="G629" s="178">
        <f>IF(E629="",0,'Pantry Inventory'!M141)</f>
        <v>0</v>
      </c>
      <c r="H629" s="178">
        <f>IF(E629="","",IF('Pantry Inventory'!N141="","",'Pantry Inventory'!N141))</f>
        <v>131</v>
      </c>
      <c r="I629" s="178">
        <f>IF(H629="","",'Pantry Inventory'!O141)</f>
        <v>30</v>
      </c>
      <c r="J629" s="179">
        <f>IF(E629="",0,IFERROR(INDEX('Item Purchases'!$Q$4:$Q$30,MATCH(E629,'Item Purchases'!$B$4:$B$30,0)),0))</f>
        <v>0.34300000000000003</v>
      </c>
      <c r="K629" s="180">
        <f t="shared" si="77"/>
        <v>10.290000000000001</v>
      </c>
      <c r="L629" s="178">
        <f t="shared" si="78"/>
        <v>1</v>
      </c>
      <c r="M629" s="178">
        <f>IF(E629="",0,IF(AND(OR(OR(Dashboard!$E$5="All",Dashboard!$E$5=""),AG629=Dashboard!$E$5),OR(OR(Dashboard!$H$5="All",Dashboard!$H$5=""),F629=Dashboard!$H$5),OR(OR(Dashboard!$B$5="All",Dashboard!$B$5=""),C629=Dashboard!$B$5),OR(OR(Dashboard!$K$5="All",Dashboard!$K$5=""),A629=Dashboard!$K$5),OR(OR(Dashboard!$N$5="All",Dashboard!$N$5=""),B629=Dashboard!$N$5),OR(OR(Dashboard!$Q$5="All",Dashboard!$Q$5=""),D629=Dashboard!$Q$5),OR(OR(Dashboard!$U$5="All",Dashboard!$U$5=""),E629=Dashboard!$U$5)),1,0))</f>
        <v>1</v>
      </c>
      <c r="N629" s="178">
        <f>IF(E629="",0,IF(AND(OR(OR(Dashboard!$E$5="All",Dashboard!$E$5=""),AG629=Dashboard!$E$5),OR(OR(Dashboard!$B$5="All",Dashboard!$B$5=""),C629=Dashboard!$B$5),OR(OR(Dashboard!$K$5="All",Dashboard!$K$5=""),A629=Dashboard!$K$5),OR(OR(Dashboard!$N$5="All",Dashboard!$N$5=""),B629=Dashboard!$N$5),OR(OR(Dashboard!$Q$5="All",Dashboard!$Q$5=""),D629=Dashboard!$Q$5),OR(OR(Dashboard!$U$5="All",Dashboard!$U$5=""),E629=Dashboard!$U$5)),1,0))</f>
        <v>1</v>
      </c>
      <c r="O629" s="165">
        <f t="shared" si="79"/>
        <v>900</v>
      </c>
      <c r="AG629" s="178" t="str">
        <f>IF(E629="","",IFERROR(IF(INDEX('Item Purchases'!$AM$4:$AM$30,MATCH(E629,'Item Purchases'!$B$4:$B$30,0))="","Uncategorised",INDEX('Item Purchases'!$AM$4:$AM$30,MATCH(E629,'Item Purchases'!$B$4:$B$30,0))),"Uncategorised"))</f>
        <v>Snacks</v>
      </c>
      <c r="AH629" s="165">
        <f>IF(AND(E629&lt;&gt;"",L629=1),COUNTIFS($E$2:E629,E629,$L$2:L629,1),0)</f>
        <v>21</v>
      </c>
      <c r="AI629" s="165">
        <f t="shared" si="80"/>
        <v>30</v>
      </c>
      <c r="AJ629" s="165">
        <f t="shared" si="81"/>
        <v>1</v>
      </c>
    </row>
    <row r="630" spans="1:36" x14ac:dyDescent="0.25">
      <c r="A630" s="177">
        <f t="shared" si="83"/>
        <v>46294</v>
      </c>
      <c r="B630" s="178" t="str">
        <f t="shared" si="76"/>
        <v>Tue</v>
      </c>
      <c r="C630" s="178" t="str">
        <f>'Pantry Inventory'!$A$132</f>
        <v>Sep Week 5</v>
      </c>
      <c r="D630" s="178" t="str">
        <f>IF('Pantry Inventory'!A142="","",'Pantry Inventory'!A142)</f>
        <v>Lays</v>
      </c>
      <c r="E630" s="178" t="str">
        <f>IF('Pantry Inventory'!B142="","",'Pantry Inventory'!B142)</f>
        <v>Lays Potato Chips (Original) 50g</v>
      </c>
      <c r="F630" s="178" t="str">
        <f>IF(E630="","",IFERROR(IF(INDEX('Item Purchases'!$S$4:$S$30,MATCH(E630,'Item Purchases'!$B$4:$B$30,0))="","Uncategorised",INDEX('Item Purchases'!$S$4:$S$30,MATCH(E630,'Item Purchases'!$B$4:$B$30,0))),"Uncategorised"))</f>
        <v>Savoury</v>
      </c>
      <c r="G630" s="178">
        <f>IF(E630="",0,'Pantry Inventory'!M142)</f>
        <v>0</v>
      </c>
      <c r="H630" s="178">
        <f>IF(E630="","",IF('Pantry Inventory'!N142="","",'Pantry Inventory'!N142))</f>
        <v>23</v>
      </c>
      <c r="I630" s="178">
        <f>IF(H630="","",'Pantry Inventory'!O142)</f>
        <v>5</v>
      </c>
      <c r="J630" s="179">
        <f>IF(E630="",0,IFERROR(INDEX('Item Purchases'!$Q$4:$Q$30,MATCH(E630,'Item Purchases'!$B$4:$B$30,0)),0))</f>
        <v>3.4580000000000002</v>
      </c>
      <c r="K630" s="180">
        <f t="shared" si="77"/>
        <v>17.29</v>
      </c>
      <c r="L630" s="178">
        <f t="shared" si="78"/>
        <v>1</v>
      </c>
      <c r="M630" s="178">
        <f>IF(E630="",0,IF(AND(OR(OR(Dashboard!$E$5="All",Dashboard!$E$5=""),AG630=Dashboard!$E$5),OR(OR(Dashboard!$H$5="All",Dashboard!$H$5=""),F630=Dashboard!$H$5),OR(OR(Dashboard!$B$5="All",Dashboard!$B$5=""),C630=Dashboard!$B$5),OR(OR(Dashboard!$K$5="All",Dashboard!$K$5=""),A630=Dashboard!$K$5),OR(OR(Dashboard!$N$5="All",Dashboard!$N$5=""),B630=Dashboard!$N$5),OR(OR(Dashboard!$Q$5="All",Dashboard!$Q$5=""),D630=Dashboard!$Q$5),OR(OR(Dashboard!$U$5="All",Dashboard!$U$5=""),E630=Dashboard!$U$5)),1,0))</f>
        <v>1</v>
      </c>
      <c r="N630" s="178">
        <f>IF(E630="",0,IF(AND(OR(OR(Dashboard!$E$5="All",Dashboard!$E$5=""),AG630=Dashboard!$E$5),OR(OR(Dashboard!$B$5="All",Dashboard!$B$5=""),C630=Dashboard!$B$5),OR(OR(Dashboard!$K$5="All",Dashboard!$K$5=""),A630=Dashboard!$K$5),OR(OR(Dashboard!$N$5="All",Dashboard!$N$5=""),B630=Dashboard!$N$5),OR(OR(Dashboard!$Q$5="All",Dashboard!$Q$5=""),D630=Dashboard!$Q$5),OR(OR(Dashboard!$U$5="All",Dashboard!$U$5=""),E630=Dashboard!$U$5)),1,0))</f>
        <v>1</v>
      </c>
      <c r="O630" s="165">
        <f t="shared" si="79"/>
        <v>25</v>
      </c>
      <c r="AG630" s="178" t="str">
        <f>IF(E630="","",IFERROR(IF(INDEX('Item Purchases'!$AM$4:$AM$30,MATCH(E630,'Item Purchases'!$B$4:$B$30,0))="","Uncategorised",INDEX('Item Purchases'!$AM$4:$AM$30,MATCH(E630,'Item Purchases'!$B$4:$B$30,0))),"Uncategorised"))</f>
        <v>Snacks</v>
      </c>
      <c r="AH630" s="165">
        <f>IF(AND(E630&lt;&gt;"",L630=1),COUNTIFS($E$2:E630,E630,$L$2:L630,1),0)</f>
        <v>21</v>
      </c>
      <c r="AI630" s="165">
        <f t="shared" si="80"/>
        <v>5</v>
      </c>
      <c r="AJ630" s="165">
        <f t="shared" si="81"/>
        <v>1</v>
      </c>
    </row>
    <row r="631" spans="1:36" x14ac:dyDescent="0.25">
      <c r="A631" s="177">
        <f t="shared" si="83"/>
        <v>46294</v>
      </c>
      <c r="B631" s="178" t="str">
        <f t="shared" si="76"/>
        <v>Tue</v>
      </c>
      <c r="C631" s="178" t="str">
        <f>'Pantry Inventory'!$A$132</f>
        <v>Sep Week 5</v>
      </c>
      <c r="D631" s="178" t="str">
        <f>IF('Pantry Inventory'!A143="","",'Pantry Inventory'!A143)</f>
        <v>Lays</v>
      </c>
      <c r="E631" s="178" t="str">
        <f>IF('Pantry Inventory'!B143="","",'Pantry Inventory'!B143)</f>
        <v xml:space="preserve">Lays Double Crunch - Seaweed Flav (50g) </v>
      </c>
      <c r="F631" s="178" t="str">
        <f>IF(E631="","",IFERROR(IF(INDEX('Item Purchases'!$S$4:$S$30,MATCH(E631,'Item Purchases'!$B$4:$B$30,0))="","Uncategorised",INDEX('Item Purchases'!$S$4:$S$30,MATCH(E631,'Item Purchases'!$B$4:$B$30,0))),"Uncategorised"))</f>
        <v>Savoury</v>
      </c>
      <c r="G631" s="178">
        <f>IF(E631="",0,'Pantry Inventory'!M143)</f>
        <v>0</v>
      </c>
      <c r="H631" s="178">
        <f>IF(E631="","",IF('Pantry Inventory'!N143="","",'Pantry Inventory'!N143))</f>
        <v>21</v>
      </c>
      <c r="I631" s="178">
        <f>IF(H631="","",'Pantry Inventory'!O143)</f>
        <v>16</v>
      </c>
      <c r="J631" s="179">
        <f>IF(E631="",0,IFERROR(INDEX('Item Purchases'!$Q$4:$Q$30,MATCH(E631,'Item Purchases'!$B$4:$B$30,0)),0))</f>
        <v>4</v>
      </c>
      <c r="K631" s="180">
        <f t="shared" si="77"/>
        <v>64</v>
      </c>
      <c r="L631" s="178">
        <f t="shared" si="78"/>
        <v>1</v>
      </c>
      <c r="M631" s="178">
        <f>IF(E631="",0,IF(AND(OR(OR(Dashboard!$E$5="All",Dashboard!$E$5=""),AG631=Dashboard!$E$5),OR(OR(Dashboard!$H$5="All",Dashboard!$H$5=""),F631=Dashboard!$H$5),OR(OR(Dashboard!$B$5="All",Dashboard!$B$5=""),C631=Dashboard!$B$5),OR(OR(Dashboard!$K$5="All",Dashboard!$K$5=""),A631=Dashboard!$K$5),OR(OR(Dashboard!$N$5="All",Dashboard!$N$5=""),B631=Dashboard!$N$5),OR(OR(Dashboard!$Q$5="All",Dashboard!$Q$5=""),D631=Dashboard!$Q$5),OR(OR(Dashboard!$U$5="All",Dashboard!$U$5=""),E631=Dashboard!$U$5)),1,0))</f>
        <v>1</v>
      </c>
      <c r="N631" s="178">
        <f>IF(E631="",0,IF(AND(OR(OR(Dashboard!$E$5="All",Dashboard!$E$5=""),AG631=Dashboard!$E$5),OR(OR(Dashboard!$B$5="All",Dashboard!$B$5=""),C631=Dashboard!$B$5),OR(OR(Dashboard!$K$5="All",Dashboard!$K$5=""),A631=Dashboard!$K$5),OR(OR(Dashboard!$N$5="All",Dashboard!$N$5=""),B631=Dashboard!$N$5),OR(OR(Dashboard!$Q$5="All",Dashboard!$Q$5=""),D631=Dashboard!$Q$5),OR(OR(Dashboard!$U$5="All",Dashboard!$U$5=""),E631=Dashboard!$U$5)),1,0))</f>
        <v>1</v>
      </c>
      <c r="O631" s="165">
        <f t="shared" si="79"/>
        <v>256</v>
      </c>
      <c r="AG631" s="178" t="str">
        <f>IF(E631="","",IFERROR(IF(INDEX('Item Purchases'!$AM$4:$AM$30,MATCH(E631,'Item Purchases'!$B$4:$B$30,0))="","Uncategorised",INDEX('Item Purchases'!$AM$4:$AM$30,MATCH(E631,'Item Purchases'!$B$4:$B$30,0))),"Uncategorised"))</f>
        <v>Snacks</v>
      </c>
      <c r="AH631" s="165">
        <f>IF(AND(E631&lt;&gt;"",L631=1),COUNTIFS($E$2:E631,E631,$L$2:L631,1),0)</f>
        <v>21</v>
      </c>
      <c r="AI631" s="165">
        <f t="shared" si="80"/>
        <v>16</v>
      </c>
      <c r="AJ631" s="165">
        <f t="shared" si="81"/>
        <v>1</v>
      </c>
    </row>
    <row r="632" spans="1:36" x14ac:dyDescent="0.25">
      <c r="A632" s="177">
        <f t="shared" si="83"/>
        <v>46294</v>
      </c>
      <c r="B632" s="178" t="str">
        <f t="shared" si="76"/>
        <v>Tue</v>
      </c>
      <c r="C632" s="178" t="str">
        <f>'Pantry Inventory'!$A$132</f>
        <v>Sep Week 5</v>
      </c>
      <c r="D632" s="178" t="str">
        <f>IF('Pantry Inventory'!A144="","",'Pantry Inventory'!A144)</f>
        <v>Munchy</v>
      </c>
      <c r="E632" s="178" t="str">
        <f>IF('Pantry Inventory'!B144="","",'Pantry Inventory'!B144)</f>
        <v>Munchy Oat Krunch - Dark Choco</v>
      </c>
      <c r="F632" s="178" t="str">
        <f>IF(E632="","",IFERROR(IF(INDEX('Item Purchases'!$S$4:$S$30,MATCH(E632,'Item Purchases'!$B$4:$B$30,0))="","Uncategorised",INDEX('Item Purchases'!$S$4:$S$30,MATCH(E632,'Item Purchases'!$B$4:$B$30,0))),"Uncategorised"))</f>
        <v>Sweet</v>
      </c>
      <c r="G632" s="178">
        <f>IF(E632="",0,'Pantry Inventory'!M144)</f>
        <v>0</v>
      </c>
      <c r="H632" s="178">
        <f>IF(E632="","",IF('Pantry Inventory'!N144="","",'Pantry Inventory'!N144))</f>
        <v>8</v>
      </c>
      <c r="I632" s="178">
        <f>IF(H632="","",'Pantry Inventory'!O144)</f>
        <v>10</v>
      </c>
      <c r="J632" s="179">
        <f>IF(E632="",0,IFERROR(INDEX('Item Purchases'!$Q$4:$Q$30,MATCH(E632,'Item Purchases'!$B$4:$B$30,0)),0))</f>
        <v>0.73</v>
      </c>
      <c r="K632" s="180">
        <f t="shared" si="77"/>
        <v>7.3</v>
      </c>
      <c r="L632" s="178">
        <f t="shared" si="78"/>
        <v>1</v>
      </c>
      <c r="M632" s="178">
        <f>IF(E632="",0,IF(AND(OR(OR(Dashboard!$E$5="All",Dashboard!$E$5=""),AG632=Dashboard!$E$5),OR(OR(Dashboard!$H$5="All",Dashboard!$H$5=""),F632=Dashboard!$H$5),OR(OR(Dashboard!$B$5="All",Dashboard!$B$5=""),C632=Dashboard!$B$5),OR(OR(Dashboard!$K$5="All",Dashboard!$K$5=""),A632=Dashboard!$K$5),OR(OR(Dashboard!$N$5="All",Dashboard!$N$5=""),B632=Dashboard!$N$5),OR(OR(Dashboard!$Q$5="All",Dashboard!$Q$5=""),D632=Dashboard!$Q$5),OR(OR(Dashboard!$U$5="All",Dashboard!$U$5=""),E632=Dashboard!$U$5)),1,0))</f>
        <v>1</v>
      </c>
      <c r="N632" s="178">
        <f>IF(E632="",0,IF(AND(OR(OR(Dashboard!$E$5="All",Dashboard!$E$5=""),AG632=Dashboard!$E$5),OR(OR(Dashboard!$B$5="All",Dashboard!$B$5=""),C632=Dashboard!$B$5),OR(OR(Dashboard!$K$5="All",Dashboard!$K$5=""),A632=Dashboard!$K$5),OR(OR(Dashboard!$N$5="All",Dashboard!$N$5=""),B632=Dashboard!$N$5),OR(OR(Dashboard!$Q$5="All",Dashboard!$Q$5=""),D632=Dashboard!$Q$5),OR(OR(Dashboard!$U$5="All",Dashboard!$U$5=""),E632=Dashboard!$U$5)),1,0))</f>
        <v>1</v>
      </c>
      <c r="O632" s="165">
        <f t="shared" si="79"/>
        <v>100</v>
      </c>
      <c r="AG632" s="178" t="str">
        <f>IF(E632="","",IFERROR(IF(INDEX('Item Purchases'!$AM$4:$AM$30,MATCH(E632,'Item Purchases'!$B$4:$B$30,0))="","Uncategorised",INDEX('Item Purchases'!$AM$4:$AM$30,MATCH(E632,'Item Purchases'!$B$4:$B$30,0))),"Uncategorised"))</f>
        <v>Snacks</v>
      </c>
      <c r="AH632" s="165">
        <f>IF(AND(E632&lt;&gt;"",L632=1),COUNTIFS($E$2:E632,E632,$L$2:L632,1),0)</f>
        <v>21</v>
      </c>
      <c r="AI632" s="165">
        <f t="shared" si="80"/>
        <v>10</v>
      </c>
      <c r="AJ632" s="165">
        <f t="shared" si="81"/>
        <v>1</v>
      </c>
    </row>
    <row r="633" spans="1:36" x14ac:dyDescent="0.25">
      <c r="A633" s="177">
        <f t="shared" si="83"/>
        <v>46294</v>
      </c>
      <c r="B633" s="178" t="str">
        <f t="shared" si="76"/>
        <v>Tue</v>
      </c>
      <c r="C633" s="178" t="str">
        <f>'Pantry Inventory'!$A$132</f>
        <v>Sep Week 5</v>
      </c>
      <c r="D633" s="178" t="str">
        <f>IF('Pantry Inventory'!A145="","",'Pantry Inventory'!A145)</f>
        <v>Munchy</v>
      </c>
      <c r="E633" s="178" t="str">
        <f>IF('Pantry Inventory'!B145="","",'Pantry Inventory'!B145)</f>
        <v>Munchy Oat Krunch - Strawberry &amp; Blackcurrant</v>
      </c>
      <c r="F633" s="178" t="str">
        <f>IF(E633="","",IFERROR(IF(INDEX('Item Purchases'!$S$4:$S$30,MATCH(E633,'Item Purchases'!$B$4:$B$30,0))="","Uncategorised",INDEX('Item Purchases'!$S$4:$S$30,MATCH(E633,'Item Purchases'!$B$4:$B$30,0))),"Uncategorised"))</f>
        <v>Sweet</v>
      </c>
      <c r="G633" s="178">
        <f>IF(E633="",0,'Pantry Inventory'!M145)</f>
        <v>0</v>
      </c>
      <c r="H633" s="178">
        <f>IF(E633="","",IF('Pantry Inventory'!N145="","",'Pantry Inventory'!N145))</f>
        <v>27</v>
      </c>
      <c r="I633" s="178">
        <f>IF(H633="","",'Pantry Inventory'!O145)</f>
        <v>4</v>
      </c>
      <c r="J633" s="179">
        <f>IF(E633="",0,IFERROR(INDEX('Item Purchases'!$Q$4:$Q$30,MATCH(E633,'Item Purchases'!$B$4:$B$30,0)),0))</f>
        <v>0.73</v>
      </c>
      <c r="K633" s="180">
        <f t="shared" si="77"/>
        <v>2.92</v>
      </c>
      <c r="L633" s="178">
        <f t="shared" si="78"/>
        <v>1</v>
      </c>
      <c r="M633" s="178">
        <f>IF(E633="",0,IF(AND(OR(OR(Dashboard!$E$5="All",Dashboard!$E$5=""),AG633=Dashboard!$E$5),OR(OR(Dashboard!$H$5="All",Dashboard!$H$5=""),F633=Dashboard!$H$5),OR(OR(Dashboard!$B$5="All",Dashboard!$B$5=""),C633=Dashboard!$B$5),OR(OR(Dashboard!$K$5="All",Dashboard!$K$5=""),A633=Dashboard!$K$5),OR(OR(Dashboard!$N$5="All",Dashboard!$N$5=""),B633=Dashboard!$N$5),OR(OR(Dashboard!$Q$5="All",Dashboard!$Q$5=""),D633=Dashboard!$Q$5),OR(OR(Dashboard!$U$5="All",Dashboard!$U$5=""),E633=Dashboard!$U$5)),1,0))</f>
        <v>1</v>
      </c>
      <c r="N633" s="178">
        <f>IF(E633="",0,IF(AND(OR(OR(Dashboard!$E$5="All",Dashboard!$E$5=""),AG633=Dashboard!$E$5),OR(OR(Dashboard!$B$5="All",Dashboard!$B$5=""),C633=Dashboard!$B$5),OR(OR(Dashboard!$K$5="All",Dashboard!$K$5=""),A633=Dashboard!$K$5),OR(OR(Dashboard!$N$5="All",Dashboard!$N$5=""),B633=Dashboard!$N$5),OR(OR(Dashboard!$Q$5="All",Dashboard!$Q$5=""),D633=Dashboard!$Q$5),OR(OR(Dashboard!$U$5="All",Dashboard!$U$5=""),E633=Dashboard!$U$5)),1,0))</f>
        <v>1</v>
      </c>
      <c r="O633" s="165">
        <f t="shared" si="79"/>
        <v>16</v>
      </c>
      <c r="AG633" s="178" t="str">
        <f>IF(E633="","",IFERROR(IF(INDEX('Item Purchases'!$AM$4:$AM$30,MATCH(E633,'Item Purchases'!$B$4:$B$30,0))="","Uncategorised",INDEX('Item Purchases'!$AM$4:$AM$30,MATCH(E633,'Item Purchases'!$B$4:$B$30,0))),"Uncategorised"))</f>
        <v>Snacks</v>
      </c>
      <c r="AH633" s="165">
        <f>IF(AND(E633&lt;&gt;"",L633=1),COUNTIFS($E$2:E633,E633,$L$2:L633,1),0)</f>
        <v>21</v>
      </c>
      <c r="AI633" s="165">
        <f t="shared" si="80"/>
        <v>4</v>
      </c>
      <c r="AJ633" s="165">
        <f t="shared" si="81"/>
        <v>1</v>
      </c>
    </row>
    <row r="634" spans="1:36" x14ac:dyDescent="0.25">
      <c r="A634" s="177">
        <f t="shared" si="83"/>
        <v>46294</v>
      </c>
      <c r="B634" s="178" t="str">
        <f t="shared" si="76"/>
        <v>Tue</v>
      </c>
      <c r="C634" s="178" t="str">
        <f>'Pantry Inventory'!$A$132</f>
        <v>Sep Week 5</v>
      </c>
      <c r="D634" s="178" t="str">
        <f>IF('Pantry Inventory'!A146="","",'Pantry Inventory'!A146)</f>
        <v/>
      </c>
      <c r="E634" s="178" t="str">
        <f>IF('Pantry Inventory'!B146="","",'Pantry Inventory'!B146)</f>
        <v/>
      </c>
      <c r="F634" s="178" t="str">
        <f>IF(E634="","",IFERROR(IF(INDEX('Item Purchases'!$S$4:$S$30,MATCH(E634,'Item Purchases'!$B$4:$B$30,0))="","Uncategorised",INDEX('Item Purchases'!$S$4:$S$30,MATCH(E634,'Item Purchases'!$B$4:$B$30,0))),"Uncategorised"))</f>
        <v/>
      </c>
      <c r="G634" s="178">
        <f>IF(E634="",0,'Pantry Inventory'!M146)</f>
        <v>0</v>
      </c>
      <c r="H634" s="178" t="str">
        <f>IF(E634="","",IF('Pantry Inventory'!N146="","",'Pantry Inventory'!N146))</f>
        <v/>
      </c>
      <c r="I634" s="178" t="str">
        <f>IF(H634="","",'Pantry Inventory'!O146)</f>
        <v/>
      </c>
      <c r="J634" s="179">
        <f>IF(E634="",0,IFERROR(INDEX('Item Purchases'!$Q$4:$Q$30,MATCH(E634,'Item Purchases'!$B$4:$B$30,0)),0))</f>
        <v>0</v>
      </c>
      <c r="K634" s="180" t="str">
        <f t="shared" si="77"/>
        <v/>
      </c>
      <c r="L634" s="178">
        <f t="shared" si="78"/>
        <v>0</v>
      </c>
      <c r="M634" s="178">
        <f>IF(E634="",0,IF(AND(OR(OR(Dashboard!$E$5="All",Dashboard!$E$5=""),AG634=Dashboard!$E$5),OR(OR(Dashboard!$H$5="All",Dashboard!$H$5=""),F634=Dashboard!$H$5),OR(OR(Dashboard!$B$5="All",Dashboard!$B$5=""),C634=Dashboard!$B$5),OR(OR(Dashboard!$K$5="All",Dashboard!$K$5=""),A634=Dashboard!$K$5),OR(OR(Dashboard!$N$5="All",Dashboard!$N$5=""),B634=Dashboard!$N$5),OR(OR(Dashboard!$Q$5="All",Dashboard!$Q$5=""),D634=Dashboard!$Q$5),OR(OR(Dashboard!$U$5="All",Dashboard!$U$5=""),E634=Dashboard!$U$5)),1,0))</f>
        <v>0</v>
      </c>
      <c r="N634" s="178">
        <f>IF(E634="",0,IF(AND(OR(OR(Dashboard!$E$5="All",Dashboard!$E$5=""),AG634=Dashboard!$E$5),OR(OR(Dashboard!$B$5="All",Dashboard!$B$5=""),C634=Dashboard!$B$5),OR(OR(Dashboard!$K$5="All",Dashboard!$K$5=""),A634=Dashboard!$K$5),OR(OR(Dashboard!$N$5="All",Dashboard!$N$5=""),B634=Dashboard!$N$5),OR(OR(Dashboard!$Q$5="All",Dashboard!$Q$5=""),D634=Dashboard!$Q$5),OR(OR(Dashboard!$U$5="All",Dashboard!$U$5=""),E634=Dashboard!$U$5)),1,0))</f>
        <v>0</v>
      </c>
      <c r="O634" s="165">
        <f t="shared" si="79"/>
        <v>0</v>
      </c>
      <c r="AG634" s="178" t="str">
        <f>IF(E634="","",IFERROR(IF(INDEX('Item Purchases'!$AM$4:$AM$30,MATCH(E634,'Item Purchases'!$B$4:$B$30,0))="","Uncategorised",INDEX('Item Purchases'!$AM$4:$AM$30,MATCH(E634,'Item Purchases'!$B$4:$B$30,0))),"Uncategorised"))</f>
        <v/>
      </c>
      <c r="AH634" s="165">
        <f>IF(AND(E634&lt;&gt;"",L634=1),COUNTIFS($E$2:E634,E634,$L$2:L634,1),0)</f>
        <v>0</v>
      </c>
      <c r="AI634" s="165">
        <f t="shared" si="80"/>
        <v>0</v>
      </c>
      <c r="AJ634" s="165">
        <f t="shared" si="81"/>
        <v>0</v>
      </c>
    </row>
    <row r="635" spans="1:36" x14ac:dyDescent="0.25">
      <c r="A635" s="177">
        <f t="shared" si="83"/>
        <v>46294</v>
      </c>
      <c r="B635" s="178" t="str">
        <f t="shared" si="76"/>
        <v>Tue</v>
      </c>
      <c r="C635" s="178" t="str">
        <f>'Pantry Inventory'!$A$132</f>
        <v>Sep Week 5</v>
      </c>
      <c r="D635" s="178" t="str">
        <f>IF('Pantry Inventory'!A147="","",'Pantry Inventory'!A147)</f>
        <v>Nestle</v>
      </c>
      <c r="E635" s="178" t="str">
        <f>IF('Pantry Inventory'!B147="","",'Pantry Inventory'!B147)</f>
        <v>Milo 200ml</v>
      </c>
      <c r="F635" s="178" t="str">
        <f>IF(E635="","",IFERROR(IF(INDEX('Item Purchases'!$S$4:$S$30,MATCH(E635,'Item Purchases'!$B$4:$B$30,0))="","Uncategorised",INDEX('Item Purchases'!$S$4:$S$30,MATCH(E635,'Item Purchases'!$B$4:$B$30,0))),"Uncategorised"))</f>
        <v>Other</v>
      </c>
      <c r="G635" s="178">
        <f>IF(E635="",0,'Pantry Inventory'!M147)</f>
        <v>0</v>
      </c>
      <c r="H635" s="178">
        <f>IF(E635="","",IF('Pantry Inventory'!N147="","",'Pantry Inventory'!N147))</f>
        <v>24</v>
      </c>
      <c r="I635" s="178">
        <f>IF(H635="","",'Pantry Inventory'!O147)</f>
        <v>24</v>
      </c>
      <c r="J635" s="179">
        <f>IF(E635="",0,IFERROR(INDEX('Item Purchases'!$Q$4:$Q$30,MATCH(E635,'Item Purchases'!$B$4:$B$30,0)),0))</f>
        <v>2.37</v>
      </c>
      <c r="K635" s="180">
        <f t="shared" si="77"/>
        <v>56.88</v>
      </c>
      <c r="L635" s="178">
        <f t="shared" si="78"/>
        <v>1</v>
      </c>
      <c r="M635" s="178">
        <f>IF(E635="",0,IF(AND(OR(OR(Dashboard!$E$5="All",Dashboard!$E$5=""),AG635=Dashboard!$E$5),OR(OR(Dashboard!$H$5="All",Dashboard!$H$5=""),F635=Dashboard!$H$5),OR(OR(Dashboard!$B$5="All",Dashboard!$B$5=""),C635=Dashboard!$B$5),OR(OR(Dashboard!$K$5="All",Dashboard!$K$5=""),A635=Dashboard!$K$5),OR(OR(Dashboard!$N$5="All",Dashboard!$N$5=""),B635=Dashboard!$N$5),OR(OR(Dashboard!$Q$5="All",Dashboard!$Q$5=""),D635=Dashboard!$Q$5),OR(OR(Dashboard!$U$5="All",Dashboard!$U$5=""),E635=Dashboard!$U$5)),1,0))</f>
        <v>1</v>
      </c>
      <c r="N635" s="178">
        <f>IF(E635="",0,IF(AND(OR(OR(Dashboard!$E$5="All",Dashboard!$E$5=""),AG635=Dashboard!$E$5),OR(OR(Dashboard!$B$5="All",Dashboard!$B$5=""),C635=Dashboard!$B$5),OR(OR(Dashboard!$K$5="All",Dashboard!$K$5=""),A635=Dashboard!$K$5),OR(OR(Dashboard!$N$5="All",Dashboard!$N$5=""),B635=Dashboard!$N$5),OR(OR(Dashboard!$Q$5="All",Dashboard!$Q$5=""),D635=Dashboard!$Q$5),OR(OR(Dashboard!$U$5="All",Dashboard!$U$5=""),E635=Dashboard!$U$5)),1,0))</f>
        <v>1</v>
      </c>
      <c r="O635" s="165">
        <f t="shared" si="79"/>
        <v>576</v>
      </c>
      <c r="AG635" s="178" t="str">
        <f>IF(E635="","",IFERROR(IF(INDEX('Item Purchases'!$AM$4:$AM$30,MATCH(E635,'Item Purchases'!$B$4:$B$30,0))="","Uncategorised",INDEX('Item Purchases'!$AM$4:$AM$30,MATCH(E635,'Item Purchases'!$B$4:$B$30,0))),"Uncategorised"))</f>
        <v>Beverages</v>
      </c>
      <c r="AH635" s="165">
        <f>IF(AND(E635&lt;&gt;"",L635=1),COUNTIFS($E$2:E635,E635,$L$2:L635,1),0)</f>
        <v>21</v>
      </c>
      <c r="AI635" s="165">
        <f t="shared" si="80"/>
        <v>24</v>
      </c>
      <c r="AJ635" s="165">
        <f t="shared" si="81"/>
        <v>1</v>
      </c>
    </row>
    <row r="636" spans="1:36" x14ac:dyDescent="0.25">
      <c r="A636" s="177">
        <f t="shared" si="83"/>
        <v>46294</v>
      </c>
      <c r="B636" s="178" t="str">
        <f t="shared" si="76"/>
        <v>Tue</v>
      </c>
      <c r="C636" s="178" t="str">
        <f>'Pantry Inventory'!$A$132</f>
        <v>Sep Week 5</v>
      </c>
      <c r="D636" s="178" t="str">
        <f>IF('Pantry Inventory'!A148="","",'Pantry Inventory'!A148)</f>
        <v>Nestle</v>
      </c>
      <c r="E636" s="178" t="str">
        <f>IF('Pantry Inventory'!B148="","",'Pantry Inventory'!B148)</f>
        <v>Nescafe Latte 240ml</v>
      </c>
      <c r="F636" s="178" t="str">
        <f>IF(E636="","",IFERROR(IF(INDEX('Item Purchases'!$S$4:$S$30,MATCH(E636,'Item Purchases'!$B$4:$B$30,0))="","Uncategorised",INDEX('Item Purchases'!$S$4:$S$30,MATCH(E636,'Item Purchases'!$B$4:$B$30,0))),"Uncategorised"))</f>
        <v>Coffee</v>
      </c>
      <c r="G636" s="178">
        <f>IF(E636="",0,'Pantry Inventory'!M148)</f>
        <v>0</v>
      </c>
      <c r="H636" s="178">
        <f>IF(E636="","",IF('Pantry Inventory'!N148="","",'Pantry Inventory'!N148))</f>
        <v>38</v>
      </c>
      <c r="I636" s="178">
        <f>IF(H636="","",'Pantry Inventory'!O148)</f>
        <v>0</v>
      </c>
      <c r="J636" s="179">
        <f>IF(E636="",0,IFERROR(INDEX('Item Purchases'!$Q$4:$Q$30,MATCH(E636,'Item Purchases'!$B$4:$B$30,0)),0))</f>
        <v>2.1875</v>
      </c>
      <c r="K636" s="180">
        <f t="shared" si="77"/>
        <v>0</v>
      </c>
      <c r="L636" s="178">
        <f t="shared" si="78"/>
        <v>1</v>
      </c>
      <c r="M636" s="178">
        <f>IF(E636="",0,IF(AND(OR(OR(Dashboard!$E$5="All",Dashboard!$E$5=""),AG636=Dashboard!$E$5),OR(OR(Dashboard!$H$5="All",Dashboard!$H$5=""),F636=Dashboard!$H$5),OR(OR(Dashboard!$B$5="All",Dashboard!$B$5=""),C636=Dashboard!$B$5),OR(OR(Dashboard!$K$5="All",Dashboard!$K$5=""),A636=Dashboard!$K$5),OR(OR(Dashboard!$N$5="All",Dashboard!$N$5=""),B636=Dashboard!$N$5),OR(OR(Dashboard!$Q$5="All",Dashboard!$Q$5=""),D636=Dashboard!$Q$5),OR(OR(Dashboard!$U$5="All",Dashboard!$U$5=""),E636=Dashboard!$U$5)),1,0))</f>
        <v>1</v>
      </c>
      <c r="N636" s="178">
        <f>IF(E636="",0,IF(AND(OR(OR(Dashboard!$E$5="All",Dashboard!$E$5=""),AG636=Dashboard!$E$5),OR(OR(Dashboard!$B$5="All",Dashboard!$B$5=""),C636=Dashboard!$B$5),OR(OR(Dashboard!$K$5="All",Dashboard!$K$5=""),A636=Dashboard!$K$5),OR(OR(Dashboard!$N$5="All",Dashboard!$N$5=""),B636=Dashboard!$N$5),OR(OR(Dashboard!$Q$5="All",Dashboard!$Q$5=""),D636=Dashboard!$Q$5),OR(OR(Dashboard!$U$5="All",Dashboard!$U$5=""),E636=Dashboard!$U$5)),1,0))</f>
        <v>1</v>
      </c>
      <c r="O636" s="165">
        <f t="shared" si="79"/>
        <v>0</v>
      </c>
      <c r="AG636" s="178" t="str">
        <f>IF(E636="","",IFERROR(IF(INDEX('Item Purchases'!$AM$4:$AM$30,MATCH(E636,'Item Purchases'!$B$4:$B$30,0))="","Uncategorised",INDEX('Item Purchases'!$AM$4:$AM$30,MATCH(E636,'Item Purchases'!$B$4:$B$30,0))),"Uncategorised"))</f>
        <v>Beverages</v>
      </c>
      <c r="AH636" s="165">
        <f>IF(AND(E636&lt;&gt;"",L636=1),COUNTIFS($E$2:E636,E636,$L$2:L636,1),0)</f>
        <v>21</v>
      </c>
      <c r="AI636" s="165">
        <f t="shared" si="80"/>
        <v>0</v>
      </c>
      <c r="AJ636" s="165">
        <f t="shared" si="81"/>
        <v>1</v>
      </c>
    </row>
    <row r="637" spans="1:36" x14ac:dyDescent="0.25">
      <c r="A637" s="177">
        <f t="shared" si="83"/>
        <v>46294</v>
      </c>
      <c r="B637" s="178" t="str">
        <f t="shared" si="76"/>
        <v>Tue</v>
      </c>
      <c r="C637" s="178" t="str">
        <f>'Pantry Inventory'!$A$132</f>
        <v>Sep Week 5</v>
      </c>
      <c r="D637" s="178" t="str">
        <f>IF('Pantry Inventory'!A149="","",'Pantry Inventory'!A149)</f>
        <v>Nestle</v>
      </c>
      <c r="E637" s="178" t="str">
        <f>IF('Pantry Inventory'!B149="","",'Pantry Inventory'!B149)</f>
        <v>Nescafe original 240ml</v>
      </c>
      <c r="F637" s="178" t="str">
        <f>IF(E637="","",IFERROR(IF(INDEX('Item Purchases'!$S$4:$S$30,MATCH(E637,'Item Purchases'!$B$4:$B$30,0))="","Uncategorised",INDEX('Item Purchases'!$S$4:$S$30,MATCH(E637,'Item Purchases'!$B$4:$B$30,0))),"Uncategorised"))</f>
        <v>Coffee</v>
      </c>
      <c r="G637" s="178">
        <f>IF(E637="",0,'Pantry Inventory'!M149)</f>
        <v>0</v>
      </c>
      <c r="H637" s="178">
        <f>IF(E637="","",IF('Pantry Inventory'!N149="","",'Pantry Inventory'!N149))</f>
        <v>20</v>
      </c>
      <c r="I637" s="178">
        <f>IF(H637="","",'Pantry Inventory'!O149)</f>
        <v>2</v>
      </c>
      <c r="J637" s="179">
        <f>IF(E637="",0,IFERROR(INDEX('Item Purchases'!$Q$4:$Q$30,MATCH(E637,'Item Purchases'!$B$4:$B$30,0)),0))</f>
        <v>2.1875</v>
      </c>
      <c r="K637" s="180">
        <f t="shared" si="77"/>
        <v>4.375</v>
      </c>
      <c r="L637" s="178">
        <f t="shared" si="78"/>
        <v>1</v>
      </c>
      <c r="M637" s="178">
        <f>IF(E637="",0,IF(AND(OR(OR(Dashboard!$E$5="All",Dashboard!$E$5=""),AG637=Dashboard!$E$5),OR(OR(Dashboard!$H$5="All",Dashboard!$H$5=""),F637=Dashboard!$H$5),OR(OR(Dashboard!$B$5="All",Dashboard!$B$5=""),C637=Dashboard!$B$5),OR(OR(Dashboard!$K$5="All",Dashboard!$K$5=""),A637=Dashboard!$K$5),OR(OR(Dashboard!$N$5="All",Dashboard!$N$5=""),B637=Dashboard!$N$5),OR(OR(Dashboard!$Q$5="All",Dashboard!$Q$5=""),D637=Dashboard!$Q$5),OR(OR(Dashboard!$U$5="All",Dashboard!$U$5=""),E637=Dashboard!$U$5)),1,0))</f>
        <v>1</v>
      </c>
      <c r="N637" s="178">
        <f>IF(E637="",0,IF(AND(OR(OR(Dashboard!$E$5="All",Dashboard!$E$5=""),AG637=Dashboard!$E$5),OR(OR(Dashboard!$B$5="All",Dashboard!$B$5=""),C637=Dashboard!$B$5),OR(OR(Dashboard!$K$5="All",Dashboard!$K$5=""),A637=Dashboard!$K$5),OR(OR(Dashboard!$N$5="All",Dashboard!$N$5=""),B637=Dashboard!$N$5),OR(OR(Dashboard!$Q$5="All",Dashboard!$Q$5=""),D637=Dashboard!$Q$5),OR(OR(Dashboard!$U$5="All",Dashboard!$U$5=""),E637=Dashboard!$U$5)),1,0))</f>
        <v>1</v>
      </c>
      <c r="O637" s="165">
        <f t="shared" si="79"/>
        <v>4</v>
      </c>
      <c r="AG637" s="178" t="str">
        <f>IF(E637="","",IFERROR(IF(INDEX('Item Purchases'!$AM$4:$AM$30,MATCH(E637,'Item Purchases'!$B$4:$B$30,0))="","Uncategorised",INDEX('Item Purchases'!$AM$4:$AM$30,MATCH(E637,'Item Purchases'!$B$4:$B$30,0))),"Uncategorised"))</f>
        <v>Beverages</v>
      </c>
      <c r="AH637" s="165">
        <f>IF(AND(E637&lt;&gt;"",L637=1),COUNTIFS($E$2:E637,E637,$L$2:L637,1),0)</f>
        <v>21</v>
      </c>
      <c r="AI637" s="165">
        <f t="shared" si="80"/>
        <v>2</v>
      </c>
      <c r="AJ637" s="165">
        <f t="shared" si="81"/>
        <v>1</v>
      </c>
    </row>
    <row r="638" spans="1:36" x14ac:dyDescent="0.25">
      <c r="A638" s="177">
        <f t="shared" si="83"/>
        <v>46294</v>
      </c>
      <c r="B638" s="178" t="str">
        <f t="shared" si="76"/>
        <v>Tue</v>
      </c>
      <c r="C638" s="178" t="str">
        <f>'Pantry Inventory'!$A$132</f>
        <v>Sep Week 5</v>
      </c>
      <c r="D638" s="178" t="str">
        <f>IF('Pantry Inventory'!A150="","",'Pantry Inventory'!A150)</f>
        <v>COWA</v>
      </c>
      <c r="E638" s="178" t="str">
        <f>IF('Pantry Inventory'!B150="","",'Pantry Inventory'!B150)</f>
        <v>COWA Coconut Water 330 ml</v>
      </c>
      <c r="F638" s="178" t="str">
        <f>IF(E638="","",IFERROR(IF(INDEX('Item Purchases'!$S$4:$S$30,MATCH(E638,'Item Purchases'!$B$4:$B$30,0))="","Uncategorised",INDEX('Item Purchases'!$S$4:$S$30,MATCH(E638,'Item Purchases'!$B$4:$B$30,0))),"Uncategorised"))</f>
        <v>Other</v>
      </c>
      <c r="G638" s="178">
        <f>IF(E638="",0,'Pantry Inventory'!M150)</f>
        <v>72</v>
      </c>
      <c r="H638" s="178">
        <f>IF(E638="","",IF('Pantry Inventory'!N150="","",'Pantry Inventory'!N150))</f>
        <v>215</v>
      </c>
      <c r="I638" s="178">
        <f>IF(H638="","",'Pantry Inventory'!O150)</f>
        <v>16</v>
      </c>
      <c r="J638" s="179">
        <f>IF(E638="",0,IFERROR(INDEX('Item Purchases'!$Q$4:$Q$30,MATCH(E638,'Item Purchases'!$B$4:$B$30,0)),0))</f>
        <v>3</v>
      </c>
      <c r="K638" s="180">
        <f t="shared" si="77"/>
        <v>48</v>
      </c>
      <c r="L638" s="178">
        <f t="shared" si="78"/>
        <v>1</v>
      </c>
      <c r="M638" s="178">
        <f>IF(E638="",0,IF(AND(OR(OR(Dashboard!$E$5="All",Dashboard!$E$5=""),AG638=Dashboard!$E$5),OR(OR(Dashboard!$H$5="All",Dashboard!$H$5=""),F638=Dashboard!$H$5),OR(OR(Dashboard!$B$5="All",Dashboard!$B$5=""),C638=Dashboard!$B$5),OR(OR(Dashboard!$K$5="All",Dashboard!$K$5=""),A638=Dashboard!$K$5),OR(OR(Dashboard!$N$5="All",Dashboard!$N$5=""),B638=Dashboard!$N$5),OR(OR(Dashboard!$Q$5="All",Dashboard!$Q$5=""),D638=Dashboard!$Q$5),OR(OR(Dashboard!$U$5="All",Dashboard!$U$5=""),E638=Dashboard!$U$5)),1,0))</f>
        <v>1</v>
      </c>
      <c r="N638" s="178">
        <f>IF(E638="",0,IF(AND(OR(OR(Dashboard!$E$5="All",Dashboard!$E$5=""),AG638=Dashboard!$E$5),OR(OR(Dashboard!$B$5="All",Dashboard!$B$5=""),C638=Dashboard!$B$5),OR(OR(Dashboard!$K$5="All",Dashboard!$K$5=""),A638=Dashboard!$K$5),OR(OR(Dashboard!$N$5="All",Dashboard!$N$5=""),B638=Dashboard!$N$5),OR(OR(Dashboard!$Q$5="All",Dashboard!$Q$5=""),D638=Dashboard!$Q$5),OR(OR(Dashboard!$U$5="All",Dashboard!$U$5=""),E638=Dashboard!$U$5)),1,0))</f>
        <v>1</v>
      </c>
      <c r="O638" s="165">
        <f t="shared" si="79"/>
        <v>256</v>
      </c>
      <c r="AG638" s="178" t="str">
        <f>IF(E638="","",IFERROR(IF(INDEX('Item Purchases'!$AM$4:$AM$30,MATCH(E638,'Item Purchases'!$B$4:$B$30,0))="","Uncategorised",INDEX('Item Purchases'!$AM$4:$AM$30,MATCH(E638,'Item Purchases'!$B$4:$B$30,0))),"Uncategorised"))</f>
        <v>Beverages</v>
      </c>
      <c r="AH638" s="165">
        <f>IF(AND(E638&lt;&gt;"",L638=1),COUNTIFS($E$2:E638,E638,$L$2:L638,1),0)</f>
        <v>21</v>
      </c>
      <c r="AI638" s="165">
        <f t="shared" si="80"/>
        <v>16</v>
      </c>
      <c r="AJ638" s="165">
        <f t="shared" si="81"/>
        <v>1</v>
      </c>
    </row>
    <row r="639" spans="1:36" x14ac:dyDescent="0.25">
      <c r="A639" s="177">
        <f t="shared" si="83"/>
        <v>46294</v>
      </c>
      <c r="B639" s="178" t="str">
        <f t="shared" si="76"/>
        <v>Tue</v>
      </c>
      <c r="C639" s="178" t="str">
        <f>'Pantry Inventory'!$A$132</f>
        <v>Sep Week 5</v>
      </c>
      <c r="D639" s="178" t="str">
        <f>IF('Pantry Inventory'!A151="","",'Pantry Inventory'!A151)</f>
        <v>KARTA</v>
      </c>
      <c r="E639" s="178" t="str">
        <f>IF('Pantry Inventory'!B151="","",'Pantry Inventory'!B151)</f>
        <v>KARTA Coconut Water 330 ml</v>
      </c>
      <c r="F639" s="178" t="str">
        <f>IF(E639="","",IFERROR(IF(INDEX('Item Purchases'!$S$4:$S$30,MATCH(E639,'Item Purchases'!$B$4:$B$30,0))="","Uncategorised",INDEX('Item Purchases'!$S$4:$S$30,MATCH(E639,'Item Purchases'!$B$4:$B$30,0))),"Uncategorised"))</f>
        <v>Other</v>
      </c>
      <c r="G639" s="178">
        <f>IF(E639="",0,'Pantry Inventory'!M151)</f>
        <v>0</v>
      </c>
      <c r="H639" s="178">
        <f>IF(E639="","",IF('Pantry Inventory'!N151="","",'Pantry Inventory'!N151))</f>
        <v>0</v>
      </c>
      <c r="I639" s="178">
        <f>IF(H639="","",'Pantry Inventory'!O151)</f>
        <v>0</v>
      </c>
      <c r="J639" s="179">
        <f>IF(E639="",0,IFERROR(INDEX('Item Purchases'!$Q$4:$Q$30,MATCH(E639,'Item Purchases'!$B$4:$B$30,0)),0))</f>
        <v>2.2999999999999998</v>
      </c>
      <c r="K639" s="180">
        <f t="shared" si="77"/>
        <v>0</v>
      </c>
      <c r="L639" s="178">
        <f t="shared" si="78"/>
        <v>1</v>
      </c>
      <c r="M639" s="178">
        <f>IF(E639="",0,IF(AND(OR(OR(Dashboard!$E$5="All",Dashboard!$E$5=""),AG639=Dashboard!$E$5),OR(OR(Dashboard!$H$5="All",Dashboard!$H$5=""),F639=Dashboard!$H$5),OR(OR(Dashboard!$B$5="All",Dashboard!$B$5=""),C639=Dashboard!$B$5),OR(OR(Dashboard!$K$5="All",Dashboard!$K$5=""),A639=Dashboard!$K$5),OR(OR(Dashboard!$N$5="All",Dashboard!$N$5=""),B639=Dashboard!$N$5),OR(OR(Dashboard!$Q$5="All",Dashboard!$Q$5=""),D639=Dashboard!$Q$5),OR(OR(Dashboard!$U$5="All",Dashboard!$U$5=""),E639=Dashboard!$U$5)),1,0))</f>
        <v>1</v>
      </c>
      <c r="N639" s="178">
        <f>IF(E639="",0,IF(AND(OR(OR(Dashboard!$E$5="All",Dashboard!$E$5=""),AG639=Dashboard!$E$5),OR(OR(Dashboard!$B$5="All",Dashboard!$B$5=""),C639=Dashboard!$B$5),OR(OR(Dashboard!$K$5="All",Dashboard!$K$5=""),A639=Dashboard!$K$5),OR(OR(Dashboard!$N$5="All",Dashboard!$N$5=""),B639=Dashboard!$N$5),OR(OR(Dashboard!$Q$5="All",Dashboard!$Q$5=""),D639=Dashboard!$Q$5),OR(OR(Dashboard!$U$5="All",Dashboard!$U$5=""),E639=Dashboard!$U$5)),1,0))</f>
        <v>1</v>
      </c>
      <c r="O639" s="165">
        <f t="shared" si="79"/>
        <v>0</v>
      </c>
      <c r="AG639" s="178" t="str">
        <f>IF(E639="","",IFERROR(IF(INDEX('Item Purchases'!$AM$4:$AM$30,MATCH(E639,'Item Purchases'!$B$4:$B$30,0))="","Uncategorised",INDEX('Item Purchases'!$AM$4:$AM$30,MATCH(E639,'Item Purchases'!$B$4:$B$30,0))),"Uncategorised"))</f>
        <v>Beverages</v>
      </c>
      <c r="AH639" s="165">
        <f>IF(AND(E639&lt;&gt;"",L639=1),COUNTIFS($E$2:E639,E639,$L$2:L639,1),0)</f>
        <v>5</v>
      </c>
      <c r="AI639" s="165">
        <f t="shared" si="80"/>
        <v>0</v>
      </c>
      <c r="AJ639" s="165">
        <f t="shared" si="81"/>
        <v>0</v>
      </c>
    </row>
    <row r="640" spans="1:36" x14ac:dyDescent="0.25">
      <c r="A640" s="177">
        <f t="shared" si="83"/>
        <v>46294</v>
      </c>
      <c r="B640" s="178" t="str">
        <f t="shared" si="76"/>
        <v>Tue</v>
      </c>
      <c r="C640" s="178" t="str">
        <f>'Pantry Inventory'!$A$132</f>
        <v>Sep Week 5</v>
      </c>
      <c r="D640" s="178" t="str">
        <f>IF('Pantry Inventory'!A152="","",'Pantry Inventory'!A152)</f>
        <v>Coca Cola</v>
      </c>
      <c r="E640" s="178" t="str">
        <f>IF('Pantry Inventory'!B152="","",'Pantry Inventory'!B152)</f>
        <v>COKE ZERO  325ML</v>
      </c>
      <c r="F640" s="178" t="str">
        <f>IF(E640="","",IFERROR(IF(INDEX('Item Purchases'!$S$4:$S$30,MATCH(E640,'Item Purchases'!$B$4:$B$30,0))="","Uncategorised",INDEX('Item Purchases'!$S$4:$S$30,MATCH(E640,'Item Purchases'!$B$4:$B$30,0))),"Uncategorised"))</f>
        <v>Other</v>
      </c>
      <c r="G640" s="178">
        <f>IF(E640="",0,'Pantry Inventory'!M152)</f>
        <v>24</v>
      </c>
      <c r="H640" s="178">
        <f>IF(E640="","",IF('Pantry Inventory'!N152="","",'Pantry Inventory'!N152))</f>
        <v>50</v>
      </c>
      <c r="I640" s="178">
        <f>IF(H640="","",'Pantry Inventory'!O152)</f>
        <v>8</v>
      </c>
      <c r="J640" s="179">
        <f>IF(E640="",0,IFERROR(INDEX('Item Purchases'!$Q$4:$Q$30,MATCH(E640,'Item Purchases'!$B$4:$B$30,0)),0))</f>
        <v>1.83</v>
      </c>
      <c r="K640" s="180">
        <f t="shared" si="77"/>
        <v>14.64</v>
      </c>
      <c r="L640" s="178">
        <f t="shared" si="78"/>
        <v>1</v>
      </c>
      <c r="M640" s="178">
        <f>IF(E640="",0,IF(AND(OR(OR(Dashboard!$E$5="All",Dashboard!$E$5=""),AG640=Dashboard!$E$5),OR(OR(Dashboard!$H$5="All",Dashboard!$H$5=""),F640=Dashboard!$H$5),OR(OR(Dashboard!$B$5="All",Dashboard!$B$5=""),C640=Dashboard!$B$5),OR(OR(Dashboard!$K$5="All",Dashboard!$K$5=""),A640=Dashboard!$K$5),OR(OR(Dashboard!$N$5="All",Dashboard!$N$5=""),B640=Dashboard!$N$5),OR(OR(Dashboard!$Q$5="All",Dashboard!$Q$5=""),D640=Dashboard!$Q$5),OR(OR(Dashboard!$U$5="All",Dashboard!$U$5=""),E640=Dashboard!$U$5)),1,0))</f>
        <v>1</v>
      </c>
      <c r="N640" s="178">
        <f>IF(E640="",0,IF(AND(OR(OR(Dashboard!$E$5="All",Dashboard!$E$5=""),AG640=Dashboard!$E$5),OR(OR(Dashboard!$B$5="All",Dashboard!$B$5=""),C640=Dashboard!$B$5),OR(OR(Dashboard!$K$5="All",Dashboard!$K$5=""),A640=Dashboard!$K$5),OR(OR(Dashboard!$N$5="All",Dashboard!$N$5=""),B640=Dashboard!$N$5),OR(OR(Dashboard!$Q$5="All",Dashboard!$Q$5=""),D640=Dashboard!$Q$5),OR(OR(Dashboard!$U$5="All",Dashboard!$U$5=""),E640=Dashboard!$U$5)),1,0))</f>
        <v>1</v>
      </c>
      <c r="O640" s="165">
        <f t="shared" si="79"/>
        <v>64</v>
      </c>
      <c r="AG640" s="178" t="str">
        <f>IF(E640="","",IFERROR(IF(INDEX('Item Purchases'!$AM$4:$AM$30,MATCH(E640,'Item Purchases'!$B$4:$B$30,0))="","Uncategorised",INDEX('Item Purchases'!$AM$4:$AM$30,MATCH(E640,'Item Purchases'!$B$4:$B$30,0))),"Uncategorised"))</f>
        <v>Beverages</v>
      </c>
      <c r="AH640" s="165">
        <f>IF(AND(E640&lt;&gt;"",L640=1),COUNTIFS($E$2:E640,E640,$L$2:L640,1),0)</f>
        <v>21</v>
      </c>
      <c r="AI640" s="165">
        <f t="shared" si="80"/>
        <v>8</v>
      </c>
      <c r="AJ640" s="165">
        <f t="shared" si="81"/>
        <v>1</v>
      </c>
    </row>
    <row r="641" spans="1:36" x14ac:dyDescent="0.25">
      <c r="A641" s="177">
        <f t="shared" si="83"/>
        <v>46294</v>
      </c>
      <c r="B641" s="178" t="str">
        <f t="shared" si="76"/>
        <v>Tue</v>
      </c>
      <c r="C641" s="178" t="str">
        <f>'Pantry Inventory'!$A$132</f>
        <v>Sep Week 5</v>
      </c>
      <c r="D641" s="178" t="str">
        <f>IF('Pantry Inventory'!A153="","",'Pantry Inventory'!A153)</f>
        <v>Coca Cola</v>
      </c>
      <c r="E641" s="178" t="str">
        <f>IF('Pantry Inventory'!B153="","",'Pantry Inventory'!B153)</f>
        <v>Ayataka Tea 300ml</v>
      </c>
      <c r="F641" s="178" t="str">
        <f>IF(E641="","",IFERROR(IF(INDEX('Item Purchases'!$S$4:$S$30,MATCH(E641,'Item Purchases'!$B$4:$B$30,0))="","Uncategorised",INDEX('Item Purchases'!$S$4:$S$30,MATCH(E641,'Item Purchases'!$B$4:$B$30,0))),"Uncategorised"))</f>
        <v>Tea</v>
      </c>
      <c r="G641" s="178">
        <f>IF(E641="",0,'Pantry Inventory'!M153)</f>
        <v>36</v>
      </c>
      <c r="H641" s="178">
        <f>IF(E641="","",IF('Pantry Inventory'!N153="","",'Pantry Inventory'!N153))</f>
        <v>36</v>
      </c>
      <c r="I641" s="178">
        <f>IF(H641="","",'Pantry Inventory'!O153)</f>
        <v>36</v>
      </c>
      <c r="J641" s="179">
        <f>IF(E641="",0,IFERROR(INDEX('Item Purchases'!$Q$4:$Q$30,MATCH(E641,'Item Purchases'!$B$4:$B$30,0)),0))</f>
        <v>1.75</v>
      </c>
      <c r="K641" s="180">
        <f t="shared" si="77"/>
        <v>63</v>
      </c>
      <c r="L641" s="178">
        <f t="shared" si="78"/>
        <v>1</v>
      </c>
      <c r="M641" s="178">
        <f>IF(E641="",0,IF(AND(OR(OR(Dashboard!$E$5="All",Dashboard!$E$5=""),AG641=Dashboard!$E$5),OR(OR(Dashboard!$H$5="All",Dashboard!$H$5=""),F641=Dashboard!$H$5),OR(OR(Dashboard!$B$5="All",Dashboard!$B$5=""),C641=Dashboard!$B$5),OR(OR(Dashboard!$K$5="All",Dashboard!$K$5=""),A641=Dashboard!$K$5),OR(OR(Dashboard!$N$5="All",Dashboard!$N$5=""),B641=Dashboard!$N$5),OR(OR(Dashboard!$Q$5="All",Dashboard!$Q$5=""),D641=Dashboard!$Q$5),OR(OR(Dashboard!$U$5="All",Dashboard!$U$5=""),E641=Dashboard!$U$5)),1,0))</f>
        <v>1</v>
      </c>
      <c r="N641" s="178">
        <f>IF(E641="",0,IF(AND(OR(OR(Dashboard!$E$5="All",Dashboard!$E$5=""),AG641=Dashboard!$E$5),OR(OR(Dashboard!$B$5="All",Dashboard!$B$5=""),C641=Dashboard!$B$5),OR(OR(Dashboard!$K$5="All",Dashboard!$K$5=""),A641=Dashboard!$K$5),OR(OR(Dashboard!$N$5="All",Dashboard!$N$5=""),B641=Dashboard!$N$5),OR(OR(Dashboard!$Q$5="All",Dashboard!$Q$5=""),D641=Dashboard!$Q$5),OR(OR(Dashboard!$U$5="All",Dashboard!$U$5=""),E641=Dashboard!$U$5)),1,0))</f>
        <v>1</v>
      </c>
      <c r="O641" s="165">
        <f t="shared" si="79"/>
        <v>1296</v>
      </c>
      <c r="AG641" s="178" t="str">
        <f>IF(E641="","",IFERROR(IF(INDEX('Item Purchases'!$AM$4:$AM$30,MATCH(E641,'Item Purchases'!$B$4:$B$30,0))="","Uncategorised",INDEX('Item Purchases'!$AM$4:$AM$30,MATCH(E641,'Item Purchases'!$B$4:$B$30,0))),"Uncategorised"))</f>
        <v>Beverages</v>
      </c>
      <c r="AH641" s="165">
        <f>IF(AND(E641&lt;&gt;"",L641=1),COUNTIFS($E$2:E641,E641,$L$2:L641,1),0)</f>
        <v>21</v>
      </c>
      <c r="AI641" s="165">
        <f t="shared" si="80"/>
        <v>36</v>
      </c>
      <c r="AJ641" s="165">
        <f t="shared" si="81"/>
        <v>1</v>
      </c>
    </row>
    <row r="642" spans="1:36" x14ac:dyDescent="0.25">
      <c r="A642" s="177">
        <f t="shared" si="83"/>
        <v>46294</v>
      </c>
      <c r="B642" s="178" t="str">
        <f t="shared" ref="B642:B676" si="84">IF(A642=0,"",CHOOSE(WEEKDAY(A642,2),"Mon","Tue","Wed","Thu","Fri","Sat","Sun"))</f>
        <v>Tue</v>
      </c>
      <c r="C642" s="178" t="str">
        <f>'Pantry Inventory'!$A$132</f>
        <v>Sep Week 5</v>
      </c>
      <c r="D642" s="178" t="str">
        <f>IF('Pantry Inventory'!A154="","",'Pantry Inventory'!A154)</f>
        <v>Coca Cola</v>
      </c>
      <c r="E642" s="178" t="str">
        <f>IF('Pantry Inventory'!B154="","",'Pantry Inventory'!B154)</f>
        <v>Oolong Tea 300ml</v>
      </c>
      <c r="F642" s="178" t="str">
        <f>IF(E642="","",IFERROR(IF(INDEX('Item Purchases'!$S$4:$S$30,MATCH(E642,'Item Purchases'!$B$4:$B$30,0))="","Uncategorised",INDEX('Item Purchases'!$S$4:$S$30,MATCH(E642,'Item Purchases'!$B$4:$B$30,0))),"Uncategorised"))</f>
        <v>Tea</v>
      </c>
      <c r="G642" s="178">
        <f>IF(E642="",0,'Pantry Inventory'!M154)</f>
        <v>24</v>
      </c>
      <c r="H642" s="178">
        <f>IF(E642="","",IF('Pantry Inventory'!N154="","",'Pantry Inventory'!N154))</f>
        <v>51</v>
      </c>
      <c r="I642" s="178">
        <f>IF(H642="","",'Pantry Inventory'!O154)</f>
        <v>31</v>
      </c>
      <c r="J642" s="179">
        <f>IF(E642="",0,IFERROR(INDEX('Item Purchases'!$Q$4:$Q$30,MATCH(E642,'Item Purchases'!$B$4:$B$30,0)),0))</f>
        <v>1.75</v>
      </c>
      <c r="K642" s="180">
        <f t="shared" ref="K642:K676" si="85">IF(I642="","",I642*J642)</f>
        <v>54.25</v>
      </c>
      <c r="L642" s="178">
        <f t="shared" ref="L642:L676" si="86">IF(H642="",0,1)</f>
        <v>1</v>
      </c>
      <c r="M642" s="178">
        <f>IF(E642="",0,IF(AND(OR(OR(Dashboard!$E$5="All",Dashboard!$E$5=""),AG642=Dashboard!$E$5),OR(OR(Dashboard!$H$5="All",Dashboard!$H$5=""),F642=Dashboard!$H$5),OR(OR(Dashboard!$B$5="All",Dashboard!$B$5=""),C642=Dashboard!$B$5),OR(OR(Dashboard!$K$5="All",Dashboard!$K$5=""),A642=Dashboard!$K$5),OR(OR(Dashboard!$N$5="All",Dashboard!$N$5=""),B642=Dashboard!$N$5),OR(OR(Dashboard!$Q$5="All",Dashboard!$Q$5=""),D642=Dashboard!$Q$5),OR(OR(Dashboard!$U$5="All",Dashboard!$U$5=""),E642=Dashboard!$U$5)),1,0))</f>
        <v>1</v>
      </c>
      <c r="N642" s="178">
        <f>IF(E642="",0,IF(AND(OR(OR(Dashboard!$E$5="All",Dashboard!$E$5=""),AG642=Dashboard!$E$5),OR(OR(Dashboard!$B$5="All",Dashboard!$B$5=""),C642=Dashboard!$B$5),OR(OR(Dashboard!$K$5="All",Dashboard!$K$5=""),A642=Dashboard!$K$5),OR(OR(Dashboard!$N$5="All",Dashboard!$N$5=""),B642=Dashboard!$N$5),OR(OR(Dashboard!$Q$5="All",Dashboard!$Q$5=""),D642=Dashboard!$Q$5),OR(OR(Dashboard!$U$5="All",Dashboard!$U$5=""),E642=Dashboard!$U$5)),1,0))</f>
        <v>1</v>
      </c>
      <c r="O642" s="165">
        <f t="shared" ref="O642:O676" si="87">IF(AND(N(H642)&gt;0,ISNUMBER(I642)),I642^2,0)</f>
        <v>961</v>
      </c>
      <c r="AG642" s="178" t="str">
        <f>IF(E642="","",IFERROR(IF(INDEX('Item Purchases'!$AM$4:$AM$30,MATCH(E642,'Item Purchases'!$B$4:$B$30,0))="","Uncategorised",INDEX('Item Purchases'!$AM$4:$AM$30,MATCH(E642,'Item Purchases'!$B$4:$B$30,0))),"Uncategorised"))</f>
        <v>Beverages</v>
      </c>
      <c r="AH642" s="165">
        <f>IF(AND(E642&lt;&gt;"",L642=1),COUNTIFS($E$2:E642,E642,$L$2:L642,1),0)</f>
        <v>21</v>
      </c>
      <c r="AI642" s="165">
        <f t="shared" ref="AI642:AI676" si="88">IF(ISNUMBER(I642),I642,0)</f>
        <v>31</v>
      </c>
      <c r="AJ642" s="165">
        <f t="shared" ref="AJ642:AJ676" si="89">IF(AND(L642=1,N(H642)&gt;0),1,0)</f>
        <v>1</v>
      </c>
    </row>
    <row r="643" spans="1:36" x14ac:dyDescent="0.25">
      <c r="A643" s="177">
        <f t="shared" si="83"/>
        <v>46294</v>
      </c>
      <c r="B643" s="178" t="str">
        <f t="shared" si="84"/>
        <v>Tue</v>
      </c>
      <c r="C643" s="178" t="str">
        <f>'Pantry Inventory'!$A$132</f>
        <v>Sep Week 5</v>
      </c>
      <c r="D643" s="178" t="str">
        <f>IF('Pantry Inventory'!A155="","",'Pantry Inventory'!A155)</f>
        <v>Vsoy</v>
      </c>
      <c r="E643" s="178" t="str">
        <f>IF('Pantry Inventory'!B155="","",'Pantry Inventory'!B155)</f>
        <v>Vsoy Soya Bean  250ml</v>
      </c>
      <c r="F643" s="178" t="str">
        <f>IF(E643="","",IFERROR(IF(INDEX('Item Purchases'!$S$4:$S$30,MATCH(E643,'Item Purchases'!$B$4:$B$30,0))="","Uncategorised",INDEX('Item Purchases'!$S$4:$S$30,MATCH(E643,'Item Purchases'!$B$4:$B$30,0))),"Uncategorised"))</f>
        <v>Other</v>
      </c>
      <c r="G643" s="178">
        <f>IF(E643="",0,'Pantry Inventory'!M155)</f>
        <v>0</v>
      </c>
      <c r="H643" s="178">
        <f>IF(E643="","",IF('Pantry Inventory'!N155="","",'Pantry Inventory'!N155))</f>
        <v>48</v>
      </c>
      <c r="I643" s="178">
        <f>IF(H643="","",'Pantry Inventory'!O155)</f>
        <v>11</v>
      </c>
      <c r="J643" s="179">
        <f>IF(E643="",0,IFERROR(INDEX('Item Purchases'!$Q$4:$Q$30,MATCH(E643,'Item Purchases'!$B$4:$B$30,0)),0))</f>
        <v>1.25</v>
      </c>
      <c r="K643" s="180">
        <f t="shared" si="85"/>
        <v>13.75</v>
      </c>
      <c r="L643" s="178">
        <f t="shared" si="86"/>
        <v>1</v>
      </c>
      <c r="M643" s="178">
        <f>IF(E643="",0,IF(AND(OR(OR(Dashboard!$E$5="All",Dashboard!$E$5=""),AG643=Dashboard!$E$5),OR(OR(Dashboard!$H$5="All",Dashboard!$H$5=""),F643=Dashboard!$H$5),OR(OR(Dashboard!$B$5="All",Dashboard!$B$5=""),C643=Dashboard!$B$5),OR(OR(Dashboard!$K$5="All",Dashboard!$K$5=""),A643=Dashboard!$K$5),OR(OR(Dashboard!$N$5="All",Dashboard!$N$5=""),B643=Dashboard!$N$5),OR(OR(Dashboard!$Q$5="All",Dashboard!$Q$5=""),D643=Dashboard!$Q$5),OR(OR(Dashboard!$U$5="All",Dashboard!$U$5=""),E643=Dashboard!$U$5)),1,0))</f>
        <v>1</v>
      </c>
      <c r="N643" s="178">
        <f>IF(E643="",0,IF(AND(OR(OR(Dashboard!$E$5="All",Dashboard!$E$5=""),AG643=Dashboard!$E$5),OR(OR(Dashboard!$B$5="All",Dashboard!$B$5=""),C643=Dashboard!$B$5),OR(OR(Dashboard!$K$5="All",Dashboard!$K$5=""),A643=Dashboard!$K$5),OR(OR(Dashboard!$N$5="All",Dashboard!$N$5=""),B643=Dashboard!$N$5),OR(OR(Dashboard!$Q$5="All",Dashboard!$Q$5=""),D643=Dashboard!$Q$5),OR(OR(Dashboard!$U$5="All",Dashboard!$U$5=""),E643=Dashboard!$U$5)),1,0))</f>
        <v>1</v>
      </c>
      <c r="O643" s="165">
        <f t="shared" si="87"/>
        <v>121</v>
      </c>
      <c r="AG643" s="178" t="str">
        <f>IF(E643="","",IFERROR(IF(INDEX('Item Purchases'!$AM$4:$AM$30,MATCH(E643,'Item Purchases'!$B$4:$B$30,0))="","Uncategorised",INDEX('Item Purchases'!$AM$4:$AM$30,MATCH(E643,'Item Purchases'!$B$4:$B$30,0))),"Uncategorised"))</f>
        <v>Beverages</v>
      </c>
      <c r="AH643" s="165">
        <f>IF(AND(E643&lt;&gt;"",L643=1),COUNTIFS($E$2:E643,E643,$L$2:L643,1),0)</f>
        <v>21</v>
      </c>
      <c r="AI643" s="165">
        <f t="shared" si="88"/>
        <v>11</v>
      </c>
      <c r="AJ643" s="165">
        <f t="shared" si="89"/>
        <v>1</v>
      </c>
    </row>
    <row r="644" spans="1:36" x14ac:dyDescent="0.25">
      <c r="A644" s="177">
        <f t="shared" si="83"/>
        <v>46294</v>
      </c>
      <c r="B644" s="178" t="str">
        <f t="shared" si="84"/>
        <v>Tue</v>
      </c>
      <c r="C644" s="178" t="str">
        <f>'Pantry Inventory'!$A$132</f>
        <v>Sep Week 5</v>
      </c>
      <c r="D644" s="178" t="str">
        <f>IF('Pantry Inventory'!A156="","",'Pantry Inventory'!A156)</f>
        <v>BingRae</v>
      </c>
      <c r="E644" s="178" t="str">
        <f>IF('Pantry Inventory'!B156="","",'Pantry Inventory'!B156)</f>
        <v>BingRae Banana Milk 200ml</v>
      </c>
      <c r="F644" s="178" t="str">
        <f>IF(E644="","",IFERROR(IF(INDEX('Item Purchases'!$S$4:$S$30,MATCH(E644,'Item Purchases'!$B$4:$B$30,0))="","Uncategorised",INDEX('Item Purchases'!$S$4:$S$30,MATCH(E644,'Item Purchases'!$B$4:$B$30,0))),"Uncategorised"))</f>
        <v>Other</v>
      </c>
      <c r="G644" s="178">
        <f>IF(E644="",0,'Pantry Inventory'!M156)</f>
        <v>0</v>
      </c>
      <c r="H644" s="178">
        <f>IF(E644="","",IF('Pantry Inventory'!N156="","",'Pantry Inventory'!N156))</f>
        <v>64</v>
      </c>
      <c r="I644" s="178">
        <f>IF(H644="","",'Pantry Inventory'!O156)</f>
        <v>8</v>
      </c>
      <c r="J644" s="179">
        <f>IF(E644="",0,IFERROR(INDEX('Item Purchases'!$Q$4:$Q$30,MATCH(E644,'Item Purchases'!$B$4:$B$30,0)),0))</f>
        <v>3.3159999999999998</v>
      </c>
      <c r="K644" s="180">
        <f t="shared" si="85"/>
        <v>26.527999999999999</v>
      </c>
      <c r="L644" s="178">
        <f t="shared" si="86"/>
        <v>1</v>
      </c>
      <c r="M644" s="178">
        <f>IF(E644="",0,IF(AND(OR(OR(Dashboard!$E$5="All",Dashboard!$E$5=""),AG644=Dashboard!$E$5),OR(OR(Dashboard!$H$5="All",Dashboard!$H$5=""),F644=Dashboard!$H$5),OR(OR(Dashboard!$B$5="All",Dashboard!$B$5=""),C644=Dashboard!$B$5),OR(OR(Dashboard!$K$5="All",Dashboard!$K$5=""),A644=Dashboard!$K$5),OR(OR(Dashboard!$N$5="All",Dashboard!$N$5=""),B644=Dashboard!$N$5),OR(OR(Dashboard!$Q$5="All",Dashboard!$Q$5=""),D644=Dashboard!$Q$5),OR(OR(Dashboard!$U$5="All",Dashboard!$U$5=""),E644=Dashboard!$U$5)),1,0))</f>
        <v>1</v>
      </c>
      <c r="N644" s="178">
        <f>IF(E644="",0,IF(AND(OR(OR(Dashboard!$E$5="All",Dashboard!$E$5=""),AG644=Dashboard!$E$5),OR(OR(Dashboard!$B$5="All",Dashboard!$B$5=""),C644=Dashboard!$B$5),OR(OR(Dashboard!$K$5="All",Dashboard!$K$5=""),A644=Dashboard!$K$5),OR(OR(Dashboard!$N$5="All",Dashboard!$N$5=""),B644=Dashboard!$N$5),OR(OR(Dashboard!$Q$5="All",Dashboard!$Q$5=""),D644=Dashboard!$Q$5),OR(OR(Dashboard!$U$5="All",Dashboard!$U$5=""),E644=Dashboard!$U$5)),1,0))</f>
        <v>1</v>
      </c>
      <c r="O644" s="165">
        <f t="shared" si="87"/>
        <v>64</v>
      </c>
      <c r="AG644" s="178" t="str">
        <f>IF(E644="","",IFERROR(IF(INDEX('Item Purchases'!$AM$4:$AM$30,MATCH(E644,'Item Purchases'!$B$4:$B$30,0))="","Uncategorised",INDEX('Item Purchases'!$AM$4:$AM$30,MATCH(E644,'Item Purchases'!$B$4:$B$30,0))),"Uncategorised"))</f>
        <v>Beverages</v>
      </c>
      <c r="AH644" s="165">
        <f>IF(AND(E644&lt;&gt;"",L644=1),COUNTIFS($E$2:E644,E644,$L$2:L644,1),0)</f>
        <v>21</v>
      </c>
      <c r="AI644" s="165">
        <f t="shared" si="88"/>
        <v>8</v>
      </c>
      <c r="AJ644" s="165">
        <f t="shared" si="89"/>
        <v>1</v>
      </c>
    </row>
    <row r="645" spans="1:36" x14ac:dyDescent="0.25">
      <c r="A645" s="177">
        <f t="shared" si="83"/>
        <v>46294</v>
      </c>
      <c r="B645" s="178" t="str">
        <f t="shared" si="84"/>
        <v>Tue</v>
      </c>
      <c r="C645" s="178" t="str">
        <f>'Pantry Inventory'!$A$132</f>
        <v>Sep Week 5</v>
      </c>
      <c r="D645" s="178" t="str">
        <f>IF('Pantry Inventory'!A157="","",'Pantry Inventory'!A157)</f>
        <v>Fuze Tea</v>
      </c>
      <c r="E645" s="178" t="str">
        <f>IF('Pantry Inventory'!B157="","",'Pantry Inventory'!B157)</f>
        <v>Fuze Tea by Heaven and Earth Jasmine Tea</v>
      </c>
      <c r="F645" s="178" t="str">
        <f>IF(E645="","",IFERROR(IF(INDEX('Item Purchases'!$S$4:$S$30,MATCH(E645,'Item Purchases'!$B$4:$B$30,0))="","Uncategorised",INDEX('Item Purchases'!$S$4:$S$30,MATCH(E645,'Item Purchases'!$B$4:$B$30,0))),"Uncategorised"))</f>
        <v>Tea</v>
      </c>
      <c r="G645" s="178">
        <f>IF(E645="",0,'Pantry Inventory'!M157)</f>
        <v>0</v>
      </c>
      <c r="H645" s="178">
        <f>IF(E645="","",IF('Pantry Inventory'!N157="","",'Pantry Inventory'!N157))</f>
        <v>0</v>
      </c>
      <c r="I645" s="178">
        <f>IF(H645="","",'Pantry Inventory'!O157)</f>
        <v>0</v>
      </c>
      <c r="J645" s="179">
        <f>IF(E645="",0,IFERROR(INDEX('Item Purchases'!$Q$4:$Q$30,MATCH(E645,'Item Purchases'!$B$4:$B$30,0)),0))</f>
        <v>1.167</v>
      </c>
      <c r="K645" s="180">
        <f t="shared" si="85"/>
        <v>0</v>
      </c>
      <c r="L645" s="178">
        <f t="shared" si="86"/>
        <v>1</v>
      </c>
      <c r="M645" s="178">
        <f>IF(E645="",0,IF(AND(OR(OR(Dashboard!$E$5="All",Dashboard!$E$5=""),AG645=Dashboard!$E$5),OR(OR(Dashboard!$H$5="All",Dashboard!$H$5=""),F645=Dashboard!$H$5),OR(OR(Dashboard!$B$5="All",Dashboard!$B$5=""),C645=Dashboard!$B$5),OR(OR(Dashboard!$K$5="All",Dashboard!$K$5=""),A645=Dashboard!$K$5),OR(OR(Dashboard!$N$5="All",Dashboard!$N$5=""),B645=Dashboard!$N$5),OR(OR(Dashboard!$Q$5="All",Dashboard!$Q$5=""),D645=Dashboard!$Q$5),OR(OR(Dashboard!$U$5="All",Dashboard!$U$5=""),E645=Dashboard!$U$5)),1,0))</f>
        <v>1</v>
      </c>
      <c r="N645" s="178">
        <f>IF(E645="",0,IF(AND(OR(OR(Dashboard!$E$5="All",Dashboard!$E$5=""),AG645=Dashboard!$E$5),OR(OR(Dashboard!$B$5="All",Dashboard!$B$5=""),C645=Dashboard!$B$5),OR(OR(Dashboard!$K$5="All",Dashboard!$K$5=""),A645=Dashboard!$K$5),OR(OR(Dashboard!$N$5="All",Dashboard!$N$5=""),B645=Dashboard!$N$5),OR(OR(Dashboard!$Q$5="All",Dashboard!$Q$5=""),D645=Dashboard!$Q$5),OR(OR(Dashboard!$U$5="All",Dashboard!$U$5=""),E645=Dashboard!$U$5)),1,0))</f>
        <v>1</v>
      </c>
      <c r="O645" s="165">
        <f t="shared" si="87"/>
        <v>0</v>
      </c>
      <c r="AG645" s="178" t="str">
        <f>IF(E645="","",IFERROR(IF(INDEX('Item Purchases'!$AM$4:$AM$30,MATCH(E645,'Item Purchases'!$B$4:$B$30,0))="","Uncategorised",INDEX('Item Purchases'!$AM$4:$AM$30,MATCH(E645,'Item Purchases'!$B$4:$B$30,0))),"Uncategorised"))</f>
        <v>Beverages</v>
      </c>
      <c r="AH645" s="165">
        <f>IF(AND(E645&lt;&gt;"",L645=1),COUNTIFS($E$2:E645,E645,$L$2:L645,1),0)</f>
        <v>21</v>
      </c>
      <c r="AI645" s="165">
        <f t="shared" si="88"/>
        <v>0</v>
      </c>
      <c r="AJ645" s="165">
        <f t="shared" si="89"/>
        <v>0</v>
      </c>
    </row>
    <row r="646" spans="1:36" x14ac:dyDescent="0.25">
      <c r="A646" s="177">
        <f t="shared" si="83"/>
        <v>46294</v>
      </c>
      <c r="B646" s="178" t="str">
        <f t="shared" si="84"/>
        <v>Tue</v>
      </c>
      <c r="C646" s="178" t="str">
        <f>'Pantry Inventory'!$A$132</f>
        <v>Sep Week 5</v>
      </c>
      <c r="D646" s="178" t="str">
        <f>IF('Pantry Inventory'!A158="","",'Pantry Inventory'!A158)</f>
        <v>F&amp;N</v>
      </c>
      <c r="E646" s="178" t="str">
        <f>IF('Pantry Inventory'!B158="","",'Pantry Inventory'!B158)</f>
        <v>FN 100 plus (original) 325ml</v>
      </c>
      <c r="F646" s="178" t="str">
        <f>IF(E646="","",IFERROR(IF(INDEX('Item Purchases'!$S$4:$S$30,MATCH(E646,'Item Purchases'!$B$4:$B$30,0))="","Uncategorised",INDEX('Item Purchases'!$S$4:$S$30,MATCH(E646,'Item Purchases'!$B$4:$B$30,0))),"Uncategorised"))</f>
        <v>Other</v>
      </c>
      <c r="G646" s="178">
        <f>IF(E646="",0,'Pantry Inventory'!M158)</f>
        <v>48</v>
      </c>
      <c r="H646" s="178">
        <f>IF(E646="","",IF('Pantry Inventory'!N158="","",'Pantry Inventory'!N158))</f>
        <v>64</v>
      </c>
      <c r="I646" s="178">
        <f>IF(H646="","",'Pantry Inventory'!O158)</f>
        <v>2</v>
      </c>
      <c r="J646" s="179">
        <f>IF(E646="",0,IFERROR(INDEX('Item Purchases'!$Q$4:$Q$30,MATCH(E646,'Item Purchases'!$B$4:$B$30,0)),0))</f>
        <v>1.58</v>
      </c>
      <c r="K646" s="180">
        <f t="shared" si="85"/>
        <v>3.16</v>
      </c>
      <c r="L646" s="178">
        <f t="shared" si="86"/>
        <v>1</v>
      </c>
      <c r="M646" s="178">
        <f>IF(E646="",0,IF(AND(OR(OR(Dashboard!$E$5="All",Dashboard!$E$5=""),AG646=Dashboard!$E$5),OR(OR(Dashboard!$H$5="All",Dashboard!$H$5=""),F646=Dashboard!$H$5),OR(OR(Dashboard!$B$5="All",Dashboard!$B$5=""),C646=Dashboard!$B$5),OR(OR(Dashboard!$K$5="All",Dashboard!$K$5=""),A646=Dashboard!$K$5),OR(OR(Dashboard!$N$5="All",Dashboard!$N$5=""),B646=Dashboard!$N$5),OR(OR(Dashboard!$Q$5="All",Dashboard!$Q$5=""),D646=Dashboard!$Q$5),OR(OR(Dashboard!$U$5="All",Dashboard!$U$5=""),E646=Dashboard!$U$5)),1,0))</f>
        <v>1</v>
      </c>
      <c r="N646" s="178">
        <f>IF(E646="",0,IF(AND(OR(OR(Dashboard!$E$5="All",Dashboard!$E$5=""),AG646=Dashboard!$E$5),OR(OR(Dashboard!$B$5="All",Dashboard!$B$5=""),C646=Dashboard!$B$5),OR(OR(Dashboard!$K$5="All",Dashboard!$K$5=""),A646=Dashboard!$K$5),OR(OR(Dashboard!$N$5="All",Dashboard!$N$5=""),B646=Dashboard!$N$5),OR(OR(Dashboard!$Q$5="All",Dashboard!$Q$5=""),D646=Dashboard!$Q$5),OR(OR(Dashboard!$U$5="All",Dashboard!$U$5=""),E646=Dashboard!$U$5)),1,0))</f>
        <v>1</v>
      </c>
      <c r="O646" s="165">
        <f t="shared" si="87"/>
        <v>4</v>
      </c>
      <c r="AG646" s="178" t="str">
        <f>IF(E646="","",IFERROR(IF(INDEX('Item Purchases'!$AM$4:$AM$30,MATCH(E646,'Item Purchases'!$B$4:$B$30,0))="","Uncategorised",INDEX('Item Purchases'!$AM$4:$AM$30,MATCH(E646,'Item Purchases'!$B$4:$B$30,0))),"Uncategorised"))</f>
        <v>Beverages</v>
      </c>
      <c r="AH646" s="165">
        <f>IF(AND(E646&lt;&gt;"",L646=1),COUNTIFS($E$2:E646,E646,$L$2:L646,1),0)</f>
        <v>21</v>
      </c>
      <c r="AI646" s="165">
        <f t="shared" si="88"/>
        <v>2</v>
      </c>
      <c r="AJ646" s="165">
        <f t="shared" si="89"/>
        <v>1</v>
      </c>
    </row>
    <row r="647" spans="1:36" x14ac:dyDescent="0.25">
      <c r="A647" s="177">
        <f t="shared" si="83"/>
        <v>46294</v>
      </c>
      <c r="B647" s="178" t="str">
        <f t="shared" si="84"/>
        <v>Tue</v>
      </c>
      <c r="C647" s="178" t="str">
        <f>'Pantry Inventory'!$A$132</f>
        <v>Sep Week 5</v>
      </c>
      <c r="D647" s="178" t="str">
        <f>IF('Pantry Inventory'!A159="","",'Pantry Inventory'!A159)</f>
        <v>Spritzer</v>
      </c>
      <c r="E647" s="178" t="str">
        <f>IF('Pantry Inventory'!B159="","",'Pantry Inventory'!B159)</f>
        <v>Spritzer sparkling water (original) 400ml</v>
      </c>
      <c r="F647" s="178" t="str">
        <f>IF(E647="","",IFERROR(IF(INDEX('Item Purchases'!$S$4:$S$30,MATCH(E647,'Item Purchases'!$B$4:$B$30,0))="","Uncategorised",INDEX('Item Purchases'!$S$4:$S$30,MATCH(E647,'Item Purchases'!$B$4:$B$30,0))),"Uncategorised"))</f>
        <v>Other</v>
      </c>
      <c r="G647" s="178">
        <f>IF(E647="",0,'Pantry Inventory'!M159)</f>
        <v>24</v>
      </c>
      <c r="H647" s="178">
        <f>IF(E647="","",IF('Pantry Inventory'!N159="","",'Pantry Inventory'!N159))</f>
        <v>24</v>
      </c>
      <c r="I647" s="178">
        <f>IF(H647="","",'Pantry Inventory'!O159)</f>
        <v>48</v>
      </c>
      <c r="J647" s="179">
        <f>IF(E647="",0,IFERROR(INDEX('Item Purchases'!$Q$4:$Q$30,MATCH(E647,'Item Purchases'!$B$4:$B$30,0)),0))</f>
        <v>1.616666666666666</v>
      </c>
      <c r="K647" s="180">
        <f t="shared" si="85"/>
        <v>77.599999999999966</v>
      </c>
      <c r="L647" s="178">
        <f t="shared" si="86"/>
        <v>1</v>
      </c>
      <c r="M647" s="178">
        <f>IF(E647="",0,IF(AND(OR(OR(Dashboard!$E$5="All",Dashboard!$E$5=""),AG647=Dashboard!$E$5),OR(OR(Dashboard!$H$5="All",Dashboard!$H$5=""),F647=Dashboard!$H$5),OR(OR(Dashboard!$B$5="All",Dashboard!$B$5=""),C647=Dashboard!$B$5),OR(OR(Dashboard!$K$5="All",Dashboard!$K$5=""),A647=Dashboard!$K$5),OR(OR(Dashboard!$N$5="All",Dashboard!$N$5=""),B647=Dashboard!$N$5),OR(OR(Dashboard!$Q$5="All",Dashboard!$Q$5=""),D647=Dashboard!$Q$5),OR(OR(Dashboard!$U$5="All",Dashboard!$U$5=""),E647=Dashboard!$U$5)),1,0))</f>
        <v>1</v>
      </c>
      <c r="N647" s="178">
        <f>IF(E647="",0,IF(AND(OR(OR(Dashboard!$E$5="All",Dashboard!$E$5=""),AG647=Dashboard!$E$5),OR(OR(Dashboard!$B$5="All",Dashboard!$B$5=""),C647=Dashboard!$B$5),OR(OR(Dashboard!$K$5="All",Dashboard!$K$5=""),A647=Dashboard!$K$5),OR(OR(Dashboard!$N$5="All",Dashboard!$N$5=""),B647=Dashboard!$N$5),OR(OR(Dashboard!$Q$5="All",Dashboard!$Q$5=""),D647=Dashboard!$Q$5),OR(OR(Dashboard!$U$5="All",Dashboard!$U$5=""),E647=Dashboard!$U$5)),1,0))</f>
        <v>1</v>
      </c>
      <c r="O647" s="165">
        <f t="shared" si="87"/>
        <v>2304</v>
      </c>
      <c r="AG647" s="178" t="str">
        <f>IF(E647="","",IFERROR(IF(INDEX('Item Purchases'!$AM$4:$AM$30,MATCH(E647,'Item Purchases'!$B$4:$B$30,0))="","Uncategorised",INDEX('Item Purchases'!$AM$4:$AM$30,MATCH(E647,'Item Purchases'!$B$4:$B$30,0))),"Uncategorised"))</f>
        <v>Beverages</v>
      </c>
      <c r="AH647" s="165">
        <f>IF(AND(E647&lt;&gt;"",L647=1),COUNTIFS($E$2:E647,E647,$L$2:L647,1),0)</f>
        <v>21</v>
      </c>
      <c r="AI647" s="165">
        <f t="shared" si="88"/>
        <v>48</v>
      </c>
      <c r="AJ647" s="165">
        <f t="shared" si="89"/>
        <v>1</v>
      </c>
    </row>
    <row r="648" spans="1:36" x14ac:dyDescent="0.25">
      <c r="A648" s="177">
        <f t="shared" si="83"/>
        <v>46294</v>
      </c>
      <c r="B648" s="178" t="str">
        <f t="shared" si="84"/>
        <v>Tue</v>
      </c>
      <c r="C648" s="178" t="str">
        <f>'Pantry Inventory'!$A$132</f>
        <v>Sep Week 5</v>
      </c>
      <c r="D648" s="178" t="str">
        <f>IF('Pantry Inventory'!A160="","",'Pantry Inventory'!A160)</f>
        <v>Oat Side</v>
      </c>
      <c r="E648" s="178" t="str">
        <f>IF('Pantry Inventory'!B160="","",'Pantry Inventory'!B160)</f>
        <v>Oat Side Original 200ml</v>
      </c>
      <c r="F648" s="178" t="str">
        <f>IF(E648="","",IFERROR(IF(INDEX('Item Purchases'!$S$4:$S$30,MATCH(E648,'Item Purchases'!$B$4:$B$30,0))="","Uncategorised",INDEX('Item Purchases'!$S$4:$S$30,MATCH(E648,'Item Purchases'!$B$4:$B$30,0))),"Uncategorised"))</f>
        <v>Other</v>
      </c>
      <c r="G648" s="178">
        <f>IF(E648="",0,'Pantry Inventory'!M160)</f>
        <v>48</v>
      </c>
      <c r="H648" s="178">
        <f>IF(E648="","",IF('Pantry Inventory'!N160="","",'Pantry Inventory'!N160))</f>
        <v>75</v>
      </c>
      <c r="I648" s="178">
        <f>IF(H648="","",'Pantry Inventory'!O160)</f>
        <v>15</v>
      </c>
      <c r="J648" s="179">
        <f>IF(E648="",0,IFERROR(INDEX('Item Purchases'!$Q$4:$Q$30,MATCH(E648,'Item Purchases'!$B$4:$B$30,0)),0))</f>
        <v>3</v>
      </c>
      <c r="K648" s="180">
        <f t="shared" si="85"/>
        <v>45</v>
      </c>
      <c r="L648" s="178">
        <f t="shared" si="86"/>
        <v>1</v>
      </c>
      <c r="M648" s="178">
        <f>IF(E648="",0,IF(AND(OR(OR(Dashboard!$E$5="All",Dashboard!$E$5=""),AG648=Dashboard!$E$5),OR(OR(Dashboard!$H$5="All",Dashboard!$H$5=""),F648=Dashboard!$H$5),OR(OR(Dashboard!$B$5="All",Dashboard!$B$5=""),C648=Dashboard!$B$5),OR(OR(Dashboard!$K$5="All",Dashboard!$K$5=""),A648=Dashboard!$K$5),OR(OR(Dashboard!$N$5="All",Dashboard!$N$5=""),B648=Dashboard!$N$5),OR(OR(Dashboard!$Q$5="All",Dashboard!$Q$5=""),D648=Dashboard!$Q$5),OR(OR(Dashboard!$U$5="All",Dashboard!$U$5=""),E648=Dashboard!$U$5)),1,0))</f>
        <v>1</v>
      </c>
      <c r="N648" s="178">
        <f>IF(E648="",0,IF(AND(OR(OR(Dashboard!$E$5="All",Dashboard!$E$5=""),AG648=Dashboard!$E$5),OR(OR(Dashboard!$B$5="All",Dashboard!$B$5=""),C648=Dashboard!$B$5),OR(OR(Dashboard!$K$5="All",Dashboard!$K$5=""),A648=Dashboard!$K$5),OR(OR(Dashboard!$N$5="All",Dashboard!$N$5=""),B648=Dashboard!$N$5),OR(OR(Dashboard!$Q$5="All",Dashboard!$Q$5=""),D648=Dashboard!$Q$5),OR(OR(Dashboard!$U$5="All",Dashboard!$U$5=""),E648=Dashboard!$U$5)),1,0))</f>
        <v>1</v>
      </c>
      <c r="O648" s="165">
        <f t="shared" si="87"/>
        <v>225</v>
      </c>
      <c r="AG648" s="178" t="str">
        <f>IF(E648="","",IFERROR(IF(INDEX('Item Purchases'!$AM$4:$AM$30,MATCH(E648,'Item Purchases'!$B$4:$B$30,0))="","Uncategorised",INDEX('Item Purchases'!$AM$4:$AM$30,MATCH(E648,'Item Purchases'!$B$4:$B$30,0))),"Uncategorised"))</f>
        <v>Beverages</v>
      </c>
      <c r="AH648" s="165">
        <f>IF(AND(E648&lt;&gt;"",L648=1),COUNTIFS($E$2:E648,E648,$L$2:L648,1),0)</f>
        <v>21</v>
      </c>
      <c r="AI648" s="165">
        <f t="shared" si="88"/>
        <v>15</v>
      </c>
      <c r="AJ648" s="165">
        <f t="shared" si="89"/>
        <v>1</v>
      </c>
    </row>
    <row r="649" spans="1:36" x14ac:dyDescent="0.25">
      <c r="A649" s="177">
        <f t="shared" si="83"/>
        <v>46294</v>
      </c>
      <c r="B649" s="178" t="str">
        <f t="shared" si="84"/>
        <v>Tue</v>
      </c>
      <c r="C649" s="178" t="str">
        <f>'Pantry Inventory'!$A$132</f>
        <v>Sep Week 5</v>
      </c>
      <c r="D649" s="178" t="str">
        <f>IF('Pantry Inventory'!A161="","",'Pantry Inventory'!A161)</f>
        <v>Oat Side</v>
      </c>
      <c r="E649" s="178" t="str">
        <f>IF('Pantry Inventory'!B161="","",'Pantry Inventory'!B161)</f>
        <v>Oat Side Chocolate 200ml</v>
      </c>
      <c r="F649" s="178" t="str">
        <f>IF(E649="","",IFERROR(IF(INDEX('Item Purchases'!$S$4:$S$30,MATCH(E649,'Item Purchases'!$B$4:$B$30,0))="","Uncategorised",INDEX('Item Purchases'!$S$4:$S$30,MATCH(E649,'Item Purchases'!$B$4:$B$30,0))),"Uncategorised"))</f>
        <v>Other</v>
      </c>
      <c r="G649" s="178">
        <f>IF(E649="",0,'Pantry Inventory'!M161)</f>
        <v>24</v>
      </c>
      <c r="H649" s="178">
        <f>IF(E649="","",IF('Pantry Inventory'!N161="","",'Pantry Inventory'!N161))</f>
        <v>27</v>
      </c>
      <c r="I649" s="178">
        <f>IF(H649="","",'Pantry Inventory'!O161)</f>
        <v>21</v>
      </c>
      <c r="J649" s="179">
        <f>IF(E649="",0,IFERROR(INDEX('Item Purchases'!$Q$4:$Q$30,MATCH(E649,'Item Purchases'!$B$4:$B$30,0)),0))</f>
        <v>3</v>
      </c>
      <c r="K649" s="180">
        <f t="shared" si="85"/>
        <v>63</v>
      </c>
      <c r="L649" s="178">
        <f t="shared" si="86"/>
        <v>1</v>
      </c>
      <c r="M649" s="178">
        <f>IF(E649="",0,IF(AND(OR(OR(Dashboard!$E$5="All",Dashboard!$E$5=""),AG649=Dashboard!$E$5),OR(OR(Dashboard!$H$5="All",Dashboard!$H$5=""),F649=Dashboard!$H$5),OR(OR(Dashboard!$B$5="All",Dashboard!$B$5=""),C649=Dashboard!$B$5),OR(OR(Dashboard!$K$5="All",Dashboard!$K$5=""),A649=Dashboard!$K$5),OR(OR(Dashboard!$N$5="All",Dashboard!$N$5=""),B649=Dashboard!$N$5),OR(OR(Dashboard!$Q$5="All",Dashboard!$Q$5=""),D649=Dashboard!$Q$5),OR(OR(Dashboard!$U$5="All",Dashboard!$U$5=""),E649=Dashboard!$U$5)),1,0))</f>
        <v>1</v>
      </c>
      <c r="N649" s="178">
        <f>IF(E649="",0,IF(AND(OR(OR(Dashboard!$E$5="All",Dashboard!$E$5=""),AG649=Dashboard!$E$5),OR(OR(Dashboard!$B$5="All",Dashboard!$B$5=""),C649=Dashboard!$B$5),OR(OR(Dashboard!$K$5="All",Dashboard!$K$5=""),A649=Dashboard!$K$5),OR(OR(Dashboard!$N$5="All",Dashboard!$N$5=""),B649=Dashboard!$N$5),OR(OR(Dashboard!$Q$5="All",Dashboard!$Q$5=""),D649=Dashboard!$Q$5),OR(OR(Dashboard!$U$5="All",Dashboard!$U$5=""),E649=Dashboard!$U$5)),1,0))</f>
        <v>1</v>
      </c>
      <c r="O649" s="165">
        <f t="shared" si="87"/>
        <v>441</v>
      </c>
      <c r="AG649" s="178" t="str">
        <f>IF(E649="","",IFERROR(IF(INDEX('Item Purchases'!$AM$4:$AM$30,MATCH(E649,'Item Purchases'!$B$4:$B$30,0))="","Uncategorised",INDEX('Item Purchases'!$AM$4:$AM$30,MATCH(E649,'Item Purchases'!$B$4:$B$30,0))),"Uncategorised"))</f>
        <v>Beverages</v>
      </c>
      <c r="AH649" s="165">
        <f>IF(AND(E649&lt;&gt;"",L649=1),COUNTIFS($E$2:E649,E649,$L$2:L649,1),0)</f>
        <v>21</v>
      </c>
      <c r="AI649" s="165">
        <f t="shared" si="88"/>
        <v>21</v>
      </c>
      <c r="AJ649" s="165">
        <f t="shared" si="89"/>
        <v>1</v>
      </c>
    </row>
    <row r="650" spans="1:36" x14ac:dyDescent="0.25">
      <c r="A650" s="177">
        <f t="shared" ref="A650:A676" si="90">IF($Z$26="",0,$Z$26)</f>
        <v>46295</v>
      </c>
      <c r="B650" s="178" t="str">
        <f t="shared" si="84"/>
        <v>Wed</v>
      </c>
      <c r="C650" s="178" t="str">
        <f>'Pantry Inventory'!$A$132</f>
        <v>Sep Week 5</v>
      </c>
      <c r="D650" s="178" t="str">
        <f>IF('Pantry Inventory'!A135="","",'Pantry Inventory'!A135)</f>
        <v>Julie's</v>
      </c>
      <c r="E650" s="178" t="str">
        <f>IF('Pantry Inventory'!B135="","",'Pantry Inventory'!B135)</f>
        <v>Julie's Peanut Butter Sandwich 360g (12pkts x 30g)</v>
      </c>
      <c r="F650" s="178" t="str">
        <f>IF(E650="","",IFERROR(IF(INDEX('Item Purchases'!$S$4:$S$30,MATCH(E650,'Item Purchases'!$B$4:$B$30,0))="","Uncategorised",INDEX('Item Purchases'!$S$4:$S$30,MATCH(E650,'Item Purchases'!$B$4:$B$30,0))),"Uncategorised"))</f>
        <v>Sweet</v>
      </c>
      <c r="G650" s="178">
        <f>IF(E650="",0,'Pantry Inventory'!P135)</f>
        <v>0</v>
      </c>
      <c r="H650" s="178">
        <f>IF(E650="","",IF('Pantry Inventory'!Q135="","",'Pantry Inventory'!Q135))</f>
        <v>36</v>
      </c>
      <c r="I650" s="178">
        <f>IF(H650="","",'Pantry Inventory'!R135)</f>
        <v>5</v>
      </c>
      <c r="J650" s="179">
        <f>IF(E650="",0,IFERROR(INDEX('Item Purchases'!$Q$4:$Q$30,MATCH(E650,'Item Purchases'!$B$4:$B$30,0)),0))</f>
        <v>1.083</v>
      </c>
      <c r="K650" s="180">
        <f t="shared" si="85"/>
        <v>5.415</v>
      </c>
      <c r="L650" s="178">
        <f t="shared" si="86"/>
        <v>1</v>
      </c>
      <c r="M650" s="178">
        <f>IF(E650="",0,IF(AND(OR(OR(Dashboard!$E$5="All",Dashboard!$E$5=""),AG650=Dashboard!$E$5),OR(OR(Dashboard!$H$5="All",Dashboard!$H$5=""),F650=Dashboard!$H$5),OR(OR(Dashboard!$B$5="All",Dashboard!$B$5=""),C650=Dashboard!$B$5),OR(OR(Dashboard!$K$5="All",Dashboard!$K$5=""),A650=Dashboard!$K$5),OR(OR(Dashboard!$N$5="All",Dashboard!$N$5=""),B650=Dashboard!$N$5),OR(OR(Dashboard!$Q$5="All",Dashboard!$Q$5=""),D650=Dashboard!$Q$5),OR(OR(Dashboard!$U$5="All",Dashboard!$U$5=""),E650=Dashboard!$U$5)),1,0))</f>
        <v>1</v>
      </c>
      <c r="N650" s="178">
        <f>IF(E650="",0,IF(AND(OR(OR(Dashboard!$E$5="All",Dashboard!$E$5=""),AG650=Dashboard!$E$5),OR(OR(Dashboard!$B$5="All",Dashboard!$B$5=""),C650=Dashboard!$B$5),OR(OR(Dashboard!$K$5="All",Dashboard!$K$5=""),A650=Dashboard!$K$5),OR(OR(Dashboard!$N$5="All",Dashboard!$N$5=""),B650=Dashboard!$N$5),OR(OR(Dashboard!$Q$5="All",Dashboard!$Q$5=""),D650=Dashboard!$Q$5),OR(OR(Dashboard!$U$5="All",Dashboard!$U$5=""),E650=Dashboard!$U$5)),1,0))</f>
        <v>1</v>
      </c>
      <c r="O650" s="165">
        <f t="shared" si="87"/>
        <v>25</v>
      </c>
      <c r="AG650" s="178" t="str">
        <f>IF(E650="","",IFERROR(IF(INDEX('Item Purchases'!$AM$4:$AM$30,MATCH(E650,'Item Purchases'!$B$4:$B$30,0))="","Uncategorised",INDEX('Item Purchases'!$AM$4:$AM$30,MATCH(E650,'Item Purchases'!$B$4:$B$30,0))),"Uncategorised"))</f>
        <v>Snacks</v>
      </c>
      <c r="AH650" s="165">
        <f>IF(AND(E650&lt;&gt;"",L650=1),COUNTIFS($E$2:E650,E650,$L$2:L650,1),0)</f>
        <v>22</v>
      </c>
      <c r="AI650" s="165">
        <f t="shared" si="88"/>
        <v>5</v>
      </c>
      <c r="AJ650" s="165">
        <f t="shared" si="89"/>
        <v>1</v>
      </c>
    </row>
    <row r="651" spans="1:36" x14ac:dyDescent="0.25">
      <c r="A651" s="177">
        <f t="shared" si="90"/>
        <v>46295</v>
      </c>
      <c r="B651" s="178" t="str">
        <f t="shared" si="84"/>
        <v>Wed</v>
      </c>
      <c r="C651" s="178" t="str">
        <f>'Pantry Inventory'!$A$132</f>
        <v>Sep Week 5</v>
      </c>
      <c r="D651" s="178" t="str">
        <f>IF('Pantry Inventory'!A136="","",'Pantry Inventory'!A136)</f>
        <v>Julie's</v>
      </c>
      <c r="E651" s="178" t="str">
        <f>IF('Pantry Inventory'!B136="","",'Pantry Inventory'!B136)</f>
        <v>Julies Butter Waffles</v>
      </c>
      <c r="F651" s="178" t="str">
        <f>IF(E651="","",IFERROR(IF(INDEX('Item Purchases'!$S$4:$S$30,MATCH(E651,'Item Purchases'!$B$4:$B$30,0))="","Uncategorised",INDEX('Item Purchases'!$S$4:$S$30,MATCH(E651,'Item Purchases'!$B$4:$B$30,0))),"Uncategorised"))</f>
        <v>Sweet</v>
      </c>
      <c r="G651" s="178">
        <f>IF(E651="",0,'Pantry Inventory'!P136)</f>
        <v>0</v>
      </c>
      <c r="H651" s="178">
        <f>IF(E651="","",IF('Pantry Inventory'!Q136="","",'Pantry Inventory'!Q136))</f>
        <v>0</v>
      </c>
      <c r="I651" s="178">
        <f>IF(H651="","",'Pantry Inventory'!R136)</f>
        <v>0</v>
      </c>
      <c r="J651" s="179">
        <f>IF(E651="",0,IFERROR(INDEX('Item Purchases'!$Q$4:$Q$30,MATCH(E651,'Item Purchases'!$B$4:$B$30,0)),0))</f>
        <v>5.15</v>
      </c>
      <c r="K651" s="180">
        <f t="shared" si="85"/>
        <v>0</v>
      </c>
      <c r="L651" s="178">
        <f t="shared" si="86"/>
        <v>1</v>
      </c>
      <c r="M651" s="178">
        <f>IF(E651="",0,IF(AND(OR(OR(Dashboard!$E$5="All",Dashboard!$E$5=""),AG651=Dashboard!$E$5),OR(OR(Dashboard!$H$5="All",Dashboard!$H$5=""),F651=Dashboard!$H$5),OR(OR(Dashboard!$B$5="All",Dashboard!$B$5=""),C651=Dashboard!$B$5),OR(OR(Dashboard!$K$5="All",Dashboard!$K$5=""),A651=Dashboard!$K$5),OR(OR(Dashboard!$N$5="All",Dashboard!$N$5=""),B651=Dashboard!$N$5),OR(OR(Dashboard!$Q$5="All",Dashboard!$Q$5=""),D651=Dashboard!$Q$5),OR(OR(Dashboard!$U$5="All",Dashboard!$U$5=""),E651=Dashboard!$U$5)),1,0))</f>
        <v>1</v>
      </c>
      <c r="N651" s="178">
        <f>IF(E651="",0,IF(AND(OR(OR(Dashboard!$E$5="All",Dashboard!$E$5=""),AG651=Dashboard!$E$5),OR(OR(Dashboard!$B$5="All",Dashboard!$B$5=""),C651=Dashboard!$B$5),OR(OR(Dashboard!$K$5="All",Dashboard!$K$5=""),A651=Dashboard!$K$5),OR(OR(Dashboard!$N$5="All",Dashboard!$N$5=""),B651=Dashboard!$N$5),OR(OR(Dashboard!$Q$5="All",Dashboard!$Q$5=""),D651=Dashboard!$Q$5),OR(OR(Dashboard!$U$5="All",Dashboard!$U$5=""),E651=Dashboard!$U$5)),1,0))</f>
        <v>1</v>
      </c>
      <c r="O651" s="165">
        <f t="shared" si="87"/>
        <v>0</v>
      </c>
      <c r="AG651" s="178" t="str">
        <f>IF(E651="","",IFERROR(IF(INDEX('Item Purchases'!$AM$4:$AM$30,MATCH(E651,'Item Purchases'!$B$4:$B$30,0))="","Uncategorised",INDEX('Item Purchases'!$AM$4:$AM$30,MATCH(E651,'Item Purchases'!$B$4:$B$30,0))),"Uncategorised"))</f>
        <v>Snacks</v>
      </c>
      <c r="AH651" s="165">
        <f>IF(AND(E651&lt;&gt;"",L651=1),COUNTIFS($E$2:E651,E651,$L$2:L651,1),0)</f>
        <v>22</v>
      </c>
      <c r="AI651" s="165">
        <f t="shared" si="88"/>
        <v>0</v>
      </c>
      <c r="AJ651" s="165">
        <f t="shared" si="89"/>
        <v>0</v>
      </c>
    </row>
    <row r="652" spans="1:36" x14ac:dyDescent="0.25">
      <c r="A652" s="177">
        <f t="shared" si="90"/>
        <v>46295</v>
      </c>
      <c r="B652" s="178" t="str">
        <f t="shared" si="84"/>
        <v>Wed</v>
      </c>
      <c r="C652" s="178" t="str">
        <f>'Pantry Inventory'!$A$132</f>
        <v>Sep Week 5</v>
      </c>
      <c r="D652" s="178" t="str">
        <f>IF('Pantry Inventory'!A137="","",'Pantry Inventory'!A137)</f>
        <v>Julie's</v>
      </c>
      <c r="E652" s="178" t="str">
        <f>IF('Pantry Inventory'!B137="","",'Pantry Inventory'!B137)</f>
        <v>Julies Choco More Sandwich (44G)</v>
      </c>
      <c r="F652" s="178" t="str">
        <f>IF(E652="","",IFERROR(IF(INDEX('Item Purchases'!$S$4:$S$30,MATCH(E652,'Item Purchases'!$B$4:$B$30,0))="","Uncategorised",INDEX('Item Purchases'!$S$4:$S$30,MATCH(E652,'Item Purchases'!$B$4:$B$30,0))),"Uncategorised"))</f>
        <v>Sweet</v>
      </c>
      <c r="G652" s="178">
        <f>IF(E652="",0,'Pantry Inventory'!P137)</f>
        <v>0</v>
      </c>
      <c r="H652" s="178">
        <f>IF(E652="","",IF('Pantry Inventory'!Q137="","",'Pantry Inventory'!Q137))</f>
        <v>20</v>
      </c>
      <c r="I652" s="178">
        <f>IF(H652="","",'Pantry Inventory'!R137)</f>
        <v>7</v>
      </c>
      <c r="J652" s="179">
        <f>IF(E652="",0,IFERROR(INDEX('Item Purchases'!$Q$4:$Q$30,MATCH(E652,'Item Purchases'!$B$4:$B$30,0)),0))</f>
        <v>1.2</v>
      </c>
      <c r="K652" s="180">
        <f t="shared" si="85"/>
        <v>8.4</v>
      </c>
      <c r="L652" s="178">
        <f t="shared" si="86"/>
        <v>1</v>
      </c>
      <c r="M652" s="178">
        <f>IF(E652="",0,IF(AND(OR(OR(Dashboard!$E$5="All",Dashboard!$E$5=""),AG652=Dashboard!$E$5),OR(OR(Dashboard!$H$5="All",Dashboard!$H$5=""),F652=Dashboard!$H$5),OR(OR(Dashboard!$B$5="All",Dashboard!$B$5=""),C652=Dashboard!$B$5),OR(OR(Dashboard!$K$5="All",Dashboard!$K$5=""),A652=Dashboard!$K$5),OR(OR(Dashboard!$N$5="All",Dashboard!$N$5=""),B652=Dashboard!$N$5),OR(OR(Dashboard!$Q$5="All",Dashboard!$Q$5=""),D652=Dashboard!$Q$5),OR(OR(Dashboard!$U$5="All",Dashboard!$U$5=""),E652=Dashboard!$U$5)),1,0))</f>
        <v>1</v>
      </c>
      <c r="N652" s="178">
        <f>IF(E652="",0,IF(AND(OR(OR(Dashboard!$E$5="All",Dashboard!$E$5=""),AG652=Dashboard!$E$5),OR(OR(Dashboard!$B$5="All",Dashboard!$B$5=""),C652=Dashboard!$B$5),OR(OR(Dashboard!$K$5="All",Dashboard!$K$5=""),A652=Dashboard!$K$5),OR(OR(Dashboard!$N$5="All",Dashboard!$N$5=""),B652=Dashboard!$N$5),OR(OR(Dashboard!$Q$5="All",Dashboard!$Q$5=""),D652=Dashboard!$Q$5),OR(OR(Dashboard!$U$5="All",Dashboard!$U$5=""),E652=Dashboard!$U$5)),1,0))</f>
        <v>1</v>
      </c>
      <c r="O652" s="165">
        <f t="shared" si="87"/>
        <v>49</v>
      </c>
      <c r="AG652" s="178" t="str">
        <f>IF(E652="","",IFERROR(IF(INDEX('Item Purchases'!$AM$4:$AM$30,MATCH(E652,'Item Purchases'!$B$4:$B$30,0))="","Uncategorised",INDEX('Item Purchases'!$AM$4:$AM$30,MATCH(E652,'Item Purchases'!$B$4:$B$30,0))),"Uncategorised"))</f>
        <v>Snacks</v>
      </c>
      <c r="AH652" s="165">
        <f>IF(AND(E652&lt;&gt;"",L652=1),COUNTIFS($E$2:E652,E652,$L$2:L652,1),0)</f>
        <v>22</v>
      </c>
      <c r="AI652" s="165">
        <f t="shared" si="88"/>
        <v>7</v>
      </c>
      <c r="AJ652" s="165">
        <f t="shared" si="89"/>
        <v>1</v>
      </c>
    </row>
    <row r="653" spans="1:36" x14ac:dyDescent="0.25">
      <c r="A653" s="177">
        <f t="shared" si="90"/>
        <v>46295</v>
      </c>
      <c r="B653" s="178" t="str">
        <f t="shared" si="84"/>
        <v>Wed</v>
      </c>
      <c r="C653" s="178" t="str">
        <f>'Pantry Inventory'!$A$132</f>
        <v>Sep Week 5</v>
      </c>
      <c r="D653" s="178" t="str">
        <f>IF('Pantry Inventory'!A138="","",'Pantry Inventory'!A138)</f>
        <v>Julie's</v>
      </c>
      <c r="E653" s="178" t="str">
        <f>IF('Pantry Inventory'!B138="","",'Pantry Inventory'!B138)</f>
        <v>Julies Cheese Sandwich (28G)</v>
      </c>
      <c r="F653" s="178" t="str">
        <f>IF(E653="","",IFERROR(IF(INDEX('Item Purchases'!$S$4:$S$30,MATCH(E653,'Item Purchases'!$B$4:$B$30,0))="","Uncategorised",INDEX('Item Purchases'!$S$4:$S$30,MATCH(E653,'Item Purchases'!$B$4:$B$30,0))),"Uncategorised"))</f>
        <v>Savoury</v>
      </c>
      <c r="G653" s="178">
        <f>IF(E653="",0,'Pantry Inventory'!P138)</f>
        <v>0</v>
      </c>
      <c r="H653" s="178">
        <f>IF(E653="","",IF('Pantry Inventory'!Q138="","",'Pantry Inventory'!Q138))</f>
        <v>18</v>
      </c>
      <c r="I653" s="178">
        <f>IF(H653="","",'Pantry Inventory'!R138)</f>
        <v>5</v>
      </c>
      <c r="J653" s="179">
        <f>IF(E653="",0,IFERROR(INDEX('Item Purchases'!$Q$4:$Q$30,MATCH(E653,'Item Purchases'!$B$4:$B$30,0)),0))</f>
        <v>1.1000000000000001</v>
      </c>
      <c r="K653" s="180">
        <f t="shared" si="85"/>
        <v>5.5</v>
      </c>
      <c r="L653" s="178">
        <f t="shared" si="86"/>
        <v>1</v>
      </c>
      <c r="M653" s="178">
        <f>IF(E653="",0,IF(AND(OR(OR(Dashboard!$E$5="All",Dashboard!$E$5=""),AG653=Dashboard!$E$5),OR(OR(Dashboard!$H$5="All",Dashboard!$H$5=""),F653=Dashboard!$H$5),OR(OR(Dashboard!$B$5="All",Dashboard!$B$5=""),C653=Dashboard!$B$5),OR(OR(Dashboard!$K$5="All",Dashboard!$K$5=""),A653=Dashboard!$K$5),OR(OR(Dashboard!$N$5="All",Dashboard!$N$5=""),B653=Dashboard!$N$5),OR(OR(Dashboard!$Q$5="All",Dashboard!$Q$5=""),D653=Dashboard!$Q$5),OR(OR(Dashboard!$U$5="All",Dashboard!$U$5=""),E653=Dashboard!$U$5)),1,0))</f>
        <v>1</v>
      </c>
      <c r="N653" s="178">
        <f>IF(E653="",0,IF(AND(OR(OR(Dashboard!$E$5="All",Dashboard!$E$5=""),AG653=Dashboard!$E$5),OR(OR(Dashboard!$B$5="All",Dashboard!$B$5=""),C653=Dashboard!$B$5),OR(OR(Dashboard!$K$5="All",Dashboard!$K$5=""),A653=Dashboard!$K$5),OR(OR(Dashboard!$N$5="All",Dashboard!$N$5=""),B653=Dashboard!$N$5),OR(OR(Dashboard!$Q$5="All",Dashboard!$Q$5=""),D653=Dashboard!$Q$5),OR(OR(Dashboard!$U$5="All",Dashboard!$U$5=""),E653=Dashboard!$U$5)),1,0))</f>
        <v>1</v>
      </c>
      <c r="O653" s="165">
        <f t="shared" si="87"/>
        <v>25</v>
      </c>
      <c r="AG653" s="178" t="str">
        <f>IF(E653="","",IFERROR(IF(INDEX('Item Purchases'!$AM$4:$AM$30,MATCH(E653,'Item Purchases'!$B$4:$B$30,0))="","Uncategorised",INDEX('Item Purchases'!$AM$4:$AM$30,MATCH(E653,'Item Purchases'!$B$4:$B$30,0))),"Uncategorised"))</f>
        <v>Snacks</v>
      </c>
      <c r="AH653" s="165">
        <f>IF(AND(E653&lt;&gt;"",L653=1),COUNTIFS($E$2:E653,E653,$L$2:L653,1),0)</f>
        <v>22</v>
      </c>
      <c r="AI653" s="165">
        <f t="shared" si="88"/>
        <v>5</v>
      </c>
      <c r="AJ653" s="165">
        <f t="shared" si="89"/>
        <v>1</v>
      </c>
    </row>
    <row r="654" spans="1:36" x14ac:dyDescent="0.25">
      <c r="A654" s="177">
        <f t="shared" si="90"/>
        <v>46295</v>
      </c>
      <c r="B654" s="178" t="str">
        <f t="shared" si="84"/>
        <v>Wed</v>
      </c>
      <c r="C654" s="178" t="str">
        <f>'Pantry Inventory'!$A$132</f>
        <v>Sep Week 5</v>
      </c>
      <c r="D654" s="178" t="str">
        <f>IF('Pantry Inventory'!A139="","",'Pantry Inventory'!A139)</f>
        <v>Nature Valley</v>
      </c>
      <c r="E654" s="178" t="str">
        <f>IF('Pantry Inventory'!B139="","",'Pantry Inventory'!B139)</f>
        <v>NV OATS &amp; DARK CHOC 42GX5</v>
      </c>
      <c r="F654" s="178" t="str">
        <f>IF(E654="","",IFERROR(IF(INDEX('Item Purchases'!$S$4:$S$30,MATCH(E654,'Item Purchases'!$B$4:$B$30,0))="","Uncategorised",INDEX('Item Purchases'!$S$4:$S$30,MATCH(E654,'Item Purchases'!$B$4:$B$30,0))),"Uncategorised"))</f>
        <v>Sweet</v>
      </c>
      <c r="G654" s="178">
        <f>IF(E654="",0,'Pantry Inventory'!P139)</f>
        <v>0</v>
      </c>
      <c r="H654" s="178">
        <f>IF(E654="","",IF('Pantry Inventory'!Q139="","",'Pantry Inventory'!Q139))</f>
        <v>0</v>
      </c>
      <c r="I654" s="178">
        <f>IF(H654="","",'Pantry Inventory'!R139)</f>
        <v>0</v>
      </c>
      <c r="J654" s="179">
        <f>IF(E654="",0,IFERROR(INDEX('Item Purchases'!$Q$4:$Q$30,MATCH(E654,'Item Purchases'!$B$4:$B$30,0)),0))</f>
        <v>2.78</v>
      </c>
      <c r="K654" s="180">
        <f t="shared" si="85"/>
        <v>0</v>
      </c>
      <c r="L654" s="178">
        <f t="shared" si="86"/>
        <v>1</v>
      </c>
      <c r="M654" s="178">
        <f>IF(E654="",0,IF(AND(OR(OR(Dashboard!$E$5="All",Dashboard!$E$5=""),AG654=Dashboard!$E$5),OR(OR(Dashboard!$H$5="All",Dashboard!$H$5=""),F654=Dashboard!$H$5),OR(OR(Dashboard!$B$5="All",Dashboard!$B$5=""),C654=Dashboard!$B$5),OR(OR(Dashboard!$K$5="All",Dashboard!$K$5=""),A654=Dashboard!$K$5),OR(OR(Dashboard!$N$5="All",Dashboard!$N$5=""),B654=Dashboard!$N$5),OR(OR(Dashboard!$Q$5="All",Dashboard!$Q$5=""),D654=Dashboard!$Q$5),OR(OR(Dashboard!$U$5="All",Dashboard!$U$5=""),E654=Dashboard!$U$5)),1,0))</f>
        <v>1</v>
      </c>
      <c r="N654" s="178">
        <f>IF(E654="",0,IF(AND(OR(OR(Dashboard!$E$5="All",Dashboard!$E$5=""),AG654=Dashboard!$E$5),OR(OR(Dashboard!$B$5="All",Dashboard!$B$5=""),C654=Dashboard!$B$5),OR(OR(Dashboard!$K$5="All",Dashboard!$K$5=""),A654=Dashboard!$K$5),OR(OR(Dashboard!$N$5="All",Dashboard!$N$5=""),B654=Dashboard!$N$5),OR(OR(Dashboard!$Q$5="All",Dashboard!$Q$5=""),D654=Dashboard!$Q$5),OR(OR(Dashboard!$U$5="All",Dashboard!$U$5=""),E654=Dashboard!$U$5)),1,0))</f>
        <v>1</v>
      </c>
      <c r="O654" s="165">
        <f t="shared" si="87"/>
        <v>0</v>
      </c>
      <c r="AG654" s="178" t="str">
        <f>IF(E654="","",IFERROR(IF(INDEX('Item Purchases'!$AM$4:$AM$30,MATCH(E654,'Item Purchases'!$B$4:$B$30,0))="","Uncategorised",INDEX('Item Purchases'!$AM$4:$AM$30,MATCH(E654,'Item Purchases'!$B$4:$B$30,0))),"Uncategorised"))</f>
        <v>Snacks</v>
      </c>
      <c r="AH654" s="165">
        <f>IF(AND(E654&lt;&gt;"",L654=1),COUNTIFS($E$2:E654,E654,$L$2:L654,1),0)</f>
        <v>22</v>
      </c>
      <c r="AI654" s="165">
        <f t="shared" si="88"/>
        <v>0</v>
      </c>
      <c r="AJ654" s="165">
        <f t="shared" si="89"/>
        <v>0</v>
      </c>
    </row>
    <row r="655" spans="1:36" x14ac:dyDescent="0.25">
      <c r="A655" s="177">
        <f t="shared" si="90"/>
        <v>46295</v>
      </c>
      <c r="B655" s="178" t="str">
        <f t="shared" si="84"/>
        <v>Wed</v>
      </c>
      <c r="C655" s="178" t="str">
        <f>'Pantry Inventory'!$A$132</f>
        <v>Sep Week 5</v>
      </c>
      <c r="D655" s="178" t="str">
        <f>IF('Pantry Inventory'!A140="","",'Pantry Inventory'!A140)</f>
        <v>Nature Valley</v>
      </c>
      <c r="E655" s="178" t="str">
        <f>IF('Pantry Inventory'!B140="","",'Pantry Inventory'!B140)</f>
        <v xml:space="preserve">NV PROTEIN - SALTED CARAMEL 40G </v>
      </c>
      <c r="F655" s="178" t="str">
        <f>IF(E655="","",IFERROR(IF(INDEX('Item Purchases'!$S$4:$S$30,MATCH(E655,'Item Purchases'!$B$4:$B$30,0))="","Uncategorised",INDEX('Item Purchases'!$S$4:$S$30,MATCH(E655,'Item Purchases'!$B$4:$B$30,0))),"Uncategorised"))</f>
        <v>Sweet</v>
      </c>
      <c r="G655" s="178">
        <f>IF(E655="",0,'Pantry Inventory'!P140)</f>
        <v>0</v>
      </c>
      <c r="H655" s="178">
        <f>IF(E655="","",IF('Pantry Inventory'!Q140="","",'Pantry Inventory'!Q140))</f>
        <v>0</v>
      </c>
      <c r="I655" s="178">
        <f>IF(H655="","",'Pantry Inventory'!R140)</f>
        <v>0</v>
      </c>
      <c r="J655" s="179">
        <f>IF(E655="",0,IFERROR(INDEX('Item Purchases'!$Q$4:$Q$30,MATCH(E655,'Item Purchases'!$B$4:$B$30,0)),0))</f>
        <v>4.9000000000000004</v>
      </c>
      <c r="K655" s="180">
        <f t="shared" si="85"/>
        <v>0</v>
      </c>
      <c r="L655" s="178">
        <f t="shared" si="86"/>
        <v>1</v>
      </c>
      <c r="M655" s="178">
        <f>IF(E655="",0,IF(AND(OR(OR(Dashboard!$E$5="All",Dashboard!$E$5=""),AG655=Dashboard!$E$5),OR(OR(Dashboard!$H$5="All",Dashboard!$H$5=""),F655=Dashboard!$H$5),OR(OR(Dashboard!$B$5="All",Dashboard!$B$5=""),C655=Dashboard!$B$5),OR(OR(Dashboard!$K$5="All",Dashboard!$K$5=""),A655=Dashboard!$K$5),OR(OR(Dashboard!$N$5="All",Dashboard!$N$5=""),B655=Dashboard!$N$5),OR(OR(Dashboard!$Q$5="All",Dashboard!$Q$5=""),D655=Dashboard!$Q$5),OR(OR(Dashboard!$U$5="All",Dashboard!$U$5=""),E655=Dashboard!$U$5)),1,0))</f>
        <v>1</v>
      </c>
      <c r="N655" s="178">
        <f>IF(E655="",0,IF(AND(OR(OR(Dashboard!$E$5="All",Dashboard!$E$5=""),AG655=Dashboard!$E$5),OR(OR(Dashboard!$B$5="All",Dashboard!$B$5=""),C655=Dashboard!$B$5),OR(OR(Dashboard!$K$5="All",Dashboard!$K$5=""),A655=Dashboard!$K$5),OR(OR(Dashboard!$N$5="All",Dashboard!$N$5=""),B655=Dashboard!$N$5),OR(OR(Dashboard!$Q$5="All",Dashboard!$Q$5=""),D655=Dashboard!$Q$5),OR(OR(Dashboard!$U$5="All",Dashboard!$U$5=""),E655=Dashboard!$U$5)),1,0))</f>
        <v>1</v>
      </c>
      <c r="O655" s="165">
        <f t="shared" si="87"/>
        <v>0</v>
      </c>
      <c r="AG655" s="178" t="str">
        <f>IF(E655="","",IFERROR(IF(INDEX('Item Purchases'!$AM$4:$AM$30,MATCH(E655,'Item Purchases'!$B$4:$B$30,0))="","Uncategorised",INDEX('Item Purchases'!$AM$4:$AM$30,MATCH(E655,'Item Purchases'!$B$4:$B$30,0))),"Uncategorised"))</f>
        <v>Snacks</v>
      </c>
      <c r="AH655" s="165">
        <f>IF(AND(E655&lt;&gt;"",L655=1),COUNTIFS($E$2:E655,E655,$L$2:L655,1),0)</f>
        <v>22</v>
      </c>
      <c r="AI655" s="165">
        <f t="shared" si="88"/>
        <v>0</v>
      </c>
      <c r="AJ655" s="165">
        <f t="shared" si="89"/>
        <v>0</v>
      </c>
    </row>
    <row r="656" spans="1:36" x14ac:dyDescent="0.25">
      <c r="A656" s="177">
        <f t="shared" si="90"/>
        <v>46295</v>
      </c>
      <c r="B656" s="178" t="str">
        <f t="shared" si="84"/>
        <v>Wed</v>
      </c>
      <c r="C656" s="178" t="str">
        <f>'Pantry Inventory'!$A$132</f>
        <v>Sep Week 5</v>
      </c>
      <c r="D656" s="178" t="str">
        <f>IF('Pantry Inventory'!A141="","",'Pantry Inventory'!A141)</f>
        <v>BBMG</v>
      </c>
      <c r="E656" s="178" t="str">
        <f>IF('Pantry Inventory'!B141="","",'Pantry Inventory'!B141)</f>
        <v>BBMG 90G</v>
      </c>
      <c r="F656" s="178" t="str">
        <f>IF(E656="","",IFERROR(IF(INDEX('Item Purchases'!$S$4:$S$30,MATCH(E656,'Item Purchases'!$B$4:$B$30,0))="","Uncategorised",INDEX('Item Purchases'!$S$4:$S$30,MATCH(E656,'Item Purchases'!$B$4:$B$30,0))),"Uncategorised"))</f>
        <v>Savoury</v>
      </c>
      <c r="G656" s="178">
        <f>IF(E656="",0,'Pantry Inventory'!P141)</f>
        <v>0</v>
      </c>
      <c r="H656" s="178">
        <f>IF(E656="","",IF('Pantry Inventory'!Q141="","",'Pantry Inventory'!Q141))</f>
        <v>94</v>
      </c>
      <c r="I656" s="178">
        <f>IF(H656="","",'Pantry Inventory'!R141)</f>
        <v>37</v>
      </c>
      <c r="J656" s="179">
        <f>IF(E656="",0,IFERROR(INDEX('Item Purchases'!$Q$4:$Q$30,MATCH(E656,'Item Purchases'!$B$4:$B$30,0)),0))</f>
        <v>0.34300000000000003</v>
      </c>
      <c r="K656" s="180">
        <f t="shared" si="85"/>
        <v>12.691000000000001</v>
      </c>
      <c r="L656" s="178">
        <f t="shared" si="86"/>
        <v>1</v>
      </c>
      <c r="M656" s="178">
        <f>IF(E656="",0,IF(AND(OR(OR(Dashboard!$E$5="All",Dashboard!$E$5=""),AG656=Dashboard!$E$5),OR(OR(Dashboard!$H$5="All",Dashboard!$H$5=""),F656=Dashboard!$H$5),OR(OR(Dashboard!$B$5="All",Dashboard!$B$5=""),C656=Dashboard!$B$5),OR(OR(Dashboard!$K$5="All",Dashboard!$K$5=""),A656=Dashboard!$K$5),OR(OR(Dashboard!$N$5="All",Dashboard!$N$5=""),B656=Dashboard!$N$5),OR(OR(Dashboard!$Q$5="All",Dashboard!$Q$5=""),D656=Dashboard!$Q$5),OR(OR(Dashboard!$U$5="All",Dashboard!$U$5=""),E656=Dashboard!$U$5)),1,0))</f>
        <v>1</v>
      </c>
      <c r="N656" s="178">
        <f>IF(E656="",0,IF(AND(OR(OR(Dashboard!$E$5="All",Dashboard!$E$5=""),AG656=Dashboard!$E$5),OR(OR(Dashboard!$B$5="All",Dashboard!$B$5=""),C656=Dashboard!$B$5),OR(OR(Dashboard!$K$5="All",Dashboard!$K$5=""),A656=Dashboard!$K$5),OR(OR(Dashboard!$N$5="All",Dashboard!$N$5=""),B656=Dashboard!$N$5),OR(OR(Dashboard!$Q$5="All",Dashboard!$Q$5=""),D656=Dashboard!$Q$5),OR(OR(Dashboard!$U$5="All",Dashboard!$U$5=""),E656=Dashboard!$U$5)),1,0))</f>
        <v>1</v>
      </c>
      <c r="O656" s="165">
        <f t="shared" si="87"/>
        <v>1369</v>
      </c>
      <c r="AG656" s="178" t="str">
        <f>IF(E656="","",IFERROR(IF(INDEX('Item Purchases'!$AM$4:$AM$30,MATCH(E656,'Item Purchases'!$B$4:$B$30,0))="","Uncategorised",INDEX('Item Purchases'!$AM$4:$AM$30,MATCH(E656,'Item Purchases'!$B$4:$B$30,0))),"Uncategorised"))</f>
        <v>Snacks</v>
      </c>
      <c r="AH656" s="165">
        <f>IF(AND(E656&lt;&gt;"",L656=1),COUNTIFS($E$2:E656,E656,$L$2:L656,1),0)</f>
        <v>22</v>
      </c>
      <c r="AI656" s="165">
        <f t="shared" si="88"/>
        <v>37</v>
      </c>
      <c r="AJ656" s="165">
        <f t="shared" si="89"/>
        <v>1</v>
      </c>
    </row>
    <row r="657" spans="1:36" x14ac:dyDescent="0.25">
      <c r="A657" s="177">
        <f t="shared" si="90"/>
        <v>46295</v>
      </c>
      <c r="B657" s="178" t="str">
        <f t="shared" si="84"/>
        <v>Wed</v>
      </c>
      <c r="C657" s="178" t="str">
        <f>'Pantry Inventory'!$A$132</f>
        <v>Sep Week 5</v>
      </c>
      <c r="D657" s="178" t="str">
        <f>IF('Pantry Inventory'!A142="","",'Pantry Inventory'!A142)</f>
        <v>Lays</v>
      </c>
      <c r="E657" s="178" t="str">
        <f>IF('Pantry Inventory'!B142="","",'Pantry Inventory'!B142)</f>
        <v>Lays Potato Chips (Original) 50g</v>
      </c>
      <c r="F657" s="178" t="str">
        <f>IF(E657="","",IFERROR(IF(INDEX('Item Purchases'!$S$4:$S$30,MATCH(E657,'Item Purchases'!$B$4:$B$30,0))="","Uncategorised",INDEX('Item Purchases'!$S$4:$S$30,MATCH(E657,'Item Purchases'!$B$4:$B$30,0))),"Uncategorised"))</f>
        <v>Savoury</v>
      </c>
      <c r="G657" s="178">
        <f>IF(E657="",0,'Pantry Inventory'!P142)</f>
        <v>0</v>
      </c>
      <c r="H657" s="178">
        <f>IF(E657="","",IF('Pantry Inventory'!Q142="","",'Pantry Inventory'!Q142))</f>
        <v>20</v>
      </c>
      <c r="I657" s="178">
        <f>IF(H657="","",'Pantry Inventory'!R142)</f>
        <v>3</v>
      </c>
      <c r="J657" s="179">
        <f>IF(E657="",0,IFERROR(INDEX('Item Purchases'!$Q$4:$Q$30,MATCH(E657,'Item Purchases'!$B$4:$B$30,0)),0))</f>
        <v>3.4580000000000002</v>
      </c>
      <c r="K657" s="180">
        <f t="shared" si="85"/>
        <v>10.374000000000001</v>
      </c>
      <c r="L657" s="178">
        <f t="shared" si="86"/>
        <v>1</v>
      </c>
      <c r="M657" s="178">
        <f>IF(E657="",0,IF(AND(OR(OR(Dashboard!$E$5="All",Dashboard!$E$5=""),AG657=Dashboard!$E$5),OR(OR(Dashboard!$H$5="All",Dashboard!$H$5=""),F657=Dashboard!$H$5),OR(OR(Dashboard!$B$5="All",Dashboard!$B$5=""),C657=Dashboard!$B$5),OR(OR(Dashboard!$K$5="All",Dashboard!$K$5=""),A657=Dashboard!$K$5),OR(OR(Dashboard!$N$5="All",Dashboard!$N$5=""),B657=Dashboard!$N$5),OR(OR(Dashboard!$Q$5="All",Dashboard!$Q$5=""),D657=Dashboard!$Q$5),OR(OR(Dashboard!$U$5="All",Dashboard!$U$5=""),E657=Dashboard!$U$5)),1,0))</f>
        <v>1</v>
      </c>
      <c r="N657" s="178">
        <f>IF(E657="",0,IF(AND(OR(OR(Dashboard!$E$5="All",Dashboard!$E$5=""),AG657=Dashboard!$E$5),OR(OR(Dashboard!$B$5="All",Dashboard!$B$5=""),C657=Dashboard!$B$5),OR(OR(Dashboard!$K$5="All",Dashboard!$K$5=""),A657=Dashboard!$K$5),OR(OR(Dashboard!$N$5="All",Dashboard!$N$5=""),B657=Dashboard!$N$5),OR(OR(Dashboard!$Q$5="All",Dashboard!$Q$5=""),D657=Dashboard!$Q$5),OR(OR(Dashboard!$U$5="All",Dashboard!$U$5=""),E657=Dashboard!$U$5)),1,0))</f>
        <v>1</v>
      </c>
      <c r="O657" s="165">
        <f t="shared" si="87"/>
        <v>9</v>
      </c>
      <c r="AG657" s="178" t="str">
        <f>IF(E657="","",IFERROR(IF(INDEX('Item Purchases'!$AM$4:$AM$30,MATCH(E657,'Item Purchases'!$B$4:$B$30,0))="","Uncategorised",INDEX('Item Purchases'!$AM$4:$AM$30,MATCH(E657,'Item Purchases'!$B$4:$B$30,0))),"Uncategorised"))</f>
        <v>Snacks</v>
      </c>
      <c r="AH657" s="165">
        <f>IF(AND(E657&lt;&gt;"",L657=1),COUNTIFS($E$2:E657,E657,$L$2:L657,1),0)</f>
        <v>22</v>
      </c>
      <c r="AI657" s="165">
        <f t="shared" si="88"/>
        <v>3</v>
      </c>
      <c r="AJ657" s="165">
        <f t="shared" si="89"/>
        <v>1</v>
      </c>
    </row>
    <row r="658" spans="1:36" x14ac:dyDescent="0.25">
      <c r="A658" s="177">
        <f t="shared" si="90"/>
        <v>46295</v>
      </c>
      <c r="B658" s="178" t="str">
        <f t="shared" si="84"/>
        <v>Wed</v>
      </c>
      <c r="C658" s="178" t="str">
        <f>'Pantry Inventory'!$A$132</f>
        <v>Sep Week 5</v>
      </c>
      <c r="D658" s="178" t="str">
        <f>IF('Pantry Inventory'!A143="","",'Pantry Inventory'!A143)</f>
        <v>Lays</v>
      </c>
      <c r="E658" s="178" t="str">
        <f>IF('Pantry Inventory'!B143="","",'Pantry Inventory'!B143)</f>
        <v xml:space="preserve">Lays Double Crunch - Seaweed Flav (50g) </v>
      </c>
      <c r="F658" s="178" t="str">
        <f>IF(E658="","",IFERROR(IF(INDEX('Item Purchases'!$S$4:$S$30,MATCH(E658,'Item Purchases'!$B$4:$B$30,0))="","Uncategorised",INDEX('Item Purchases'!$S$4:$S$30,MATCH(E658,'Item Purchases'!$B$4:$B$30,0))),"Uncategorised"))</f>
        <v>Savoury</v>
      </c>
      <c r="G658" s="178">
        <f>IF(E658="",0,'Pantry Inventory'!P143)</f>
        <v>24</v>
      </c>
      <c r="H658" s="178">
        <f>IF(E658="","",IF('Pantry Inventory'!Q143="","",'Pantry Inventory'!Q143))</f>
        <v>39</v>
      </c>
      <c r="I658" s="178">
        <f>IF(H658="","",'Pantry Inventory'!R143)</f>
        <v>6</v>
      </c>
      <c r="J658" s="179">
        <f>IF(E658="",0,IFERROR(INDEX('Item Purchases'!$Q$4:$Q$30,MATCH(E658,'Item Purchases'!$B$4:$B$30,0)),0))</f>
        <v>4</v>
      </c>
      <c r="K658" s="180">
        <f t="shared" si="85"/>
        <v>24</v>
      </c>
      <c r="L658" s="178">
        <f t="shared" si="86"/>
        <v>1</v>
      </c>
      <c r="M658" s="178">
        <f>IF(E658="",0,IF(AND(OR(OR(Dashboard!$E$5="All",Dashboard!$E$5=""),AG658=Dashboard!$E$5),OR(OR(Dashboard!$H$5="All",Dashboard!$H$5=""),F658=Dashboard!$H$5),OR(OR(Dashboard!$B$5="All",Dashboard!$B$5=""),C658=Dashboard!$B$5),OR(OR(Dashboard!$K$5="All",Dashboard!$K$5=""),A658=Dashboard!$K$5),OR(OR(Dashboard!$N$5="All",Dashboard!$N$5=""),B658=Dashboard!$N$5),OR(OR(Dashboard!$Q$5="All",Dashboard!$Q$5=""),D658=Dashboard!$Q$5),OR(OR(Dashboard!$U$5="All",Dashboard!$U$5=""),E658=Dashboard!$U$5)),1,0))</f>
        <v>1</v>
      </c>
      <c r="N658" s="178">
        <f>IF(E658="",0,IF(AND(OR(OR(Dashboard!$E$5="All",Dashboard!$E$5=""),AG658=Dashboard!$E$5),OR(OR(Dashboard!$B$5="All",Dashboard!$B$5=""),C658=Dashboard!$B$5),OR(OR(Dashboard!$K$5="All",Dashboard!$K$5=""),A658=Dashboard!$K$5),OR(OR(Dashboard!$N$5="All",Dashboard!$N$5=""),B658=Dashboard!$N$5),OR(OR(Dashboard!$Q$5="All",Dashboard!$Q$5=""),D658=Dashboard!$Q$5),OR(OR(Dashboard!$U$5="All",Dashboard!$U$5=""),E658=Dashboard!$U$5)),1,0))</f>
        <v>1</v>
      </c>
      <c r="O658" s="165">
        <f t="shared" si="87"/>
        <v>36</v>
      </c>
      <c r="AG658" s="178" t="str">
        <f>IF(E658="","",IFERROR(IF(INDEX('Item Purchases'!$AM$4:$AM$30,MATCH(E658,'Item Purchases'!$B$4:$B$30,0))="","Uncategorised",INDEX('Item Purchases'!$AM$4:$AM$30,MATCH(E658,'Item Purchases'!$B$4:$B$30,0))),"Uncategorised"))</f>
        <v>Snacks</v>
      </c>
      <c r="AH658" s="165">
        <f>IF(AND(E658&lt;&gt;"",L658=1),COUNTIFS($E$2:E658,E658,$L$2:L658,1),0)</f>
        <v>22</v>
      </c>
      <c r="AI658" s="165">
        <f t="shared" si="88"/>
        <v>6</v>
      </c>
      <c r="AJ658" s="165">
        <f t="shared" si="89"/>
        <v>1</v>
      </c>
    </row>
    <row r="659" spans="1:36" x14ac:dyDescent="0.25">
      <c r="A659" s="177">
        <f t="shared" si="90"/>
        <v>46295</v>
      </c>
      <c r="B659" s="178" t="str">
        <f t="shared" si="84"/>
        <v>Wed</v>
      </c>
      <c r="C659" s="178" t="str">
        <f>'Pantry Inventory'!$A$132</f>
        <v>Sep Week 5</v>
      </c>
      <c r="D659" s="178" t="str">
        <f>IF('Pantry Inventory'!A144="","",'Pantry Inventory'!A144)</f>
        <v>Munchy</v>
      </c>
      <c r="E659" s="178" t="str">
        <f>IF('Pantry Inventory'!B144="","",'Pantry Inventory'!B144)</f>
        <v>Munchy Oat Krunch - Dark Choco</v>
      </c>
      <c r="F659" s="178" t="str">
        <f>IF(E659="","",IFERROR(IF(INDEX('Item Purchases'!$S$4:$S$30,MATCH(E659,'Item Purchases'!$B$4:$B$30,0))="","Uncategorised",INDEX('Item Purchases'!$S$4:$S$30,MATCH(E659,'Item Purchases'!$B$4:$B$30,0))),"Uncategorised"))</f>
        <v>Sweet</v>
      </c>
      <c r="G659" s="178">
        <f>IF(E659="",0,'Pantry Inventory'!P144)</f>
        <v>45</v>
      </c>
      <c r="H659" s="178">
        <f>IF(E659="","",IF('Pantry Inventory'!Q144="","",'Pantry Inventory'!Q144))</f>
        <v>45</v>
      </c>
      <c r="I659" s="178">
        <f>IF(H659="","",'Pantry Inventory'!R144)</f>
        <v>8</v>
      </c>
      <c r="J659" s="179">
        <f>IF(E659="",0,IFERROR(INDEX('Item Purchases'!$Q$4:$Q$30,MATCH(E659,'Item Purchases'!$B$4:$B$30,0)),0))</f>
        <v>0.73</v>
      </c>
      <c r="K659" s="180">
        <f t="shared" si="85"/>
        <v>5.84</v>
      </c>
      <c r="L659" s="178">
        <f t="shared" si="86"/>
        <v>1</v>
      </c>
      <c r="M659" s="178">
        <f>IF(E659="",0,IF(AND(OR(OR(Dashboard!$E$5="All",Dashboard!$E$5=""),AG659=Dashboard!$E$5),OR(OR(Dashboard!$H$5="All",Dashboard!$H$5=""),F659=Dashboard!$H$5),OR(OR(Dashboard!$B$5="All",Dashboard!$B$5=""),C659=Dashboard!$B$5),OR(OR(Dashboard!$K$5="All",Dashboard!$K$5=""),A659=Dashboard!$K$5),OR(OR(Dashboard!$N$5="All",Dashboard!$N$5=""),B659=Dashboard!$N$5),OR(OR(Dashboard!$Q$5="All",Dashboard!$Q$5=""),D659=Dashboard!$Q$5),OR(OR(Dashboard!$U$5="All",Dashboard!$U$5=""),E659=Dashboard!$U$5)),1,0))</f>
        <v>1</v>
      </c>
      <c r="N659" s="178">
        <f>IF(E659="",0,IF(AND(OR(OR(Dashboard!$E$5="All",Dashboard!$E$5=""),AG659=Dashboard!$E$5),OR(OR(Dashboard!$B$5="All",Dashboard!$B$5=""),C659=Dashboard!$B$5),OR(OR(Dashboard!$K$5="All",Dashboard!$K$5=""),A659=Dashboard!$K$5),OR(OR(Dashboard!$N$5="All",Dashboard!$N$5=""),B659=Dashboard!$N$5),OR(OR(Dashboard!$Q$5="All",Dashboard!$Q$5=""),D659=Dashboard!$Q$5),OR(OR(Dashboard!$U$5="All",Dashboard!$U$5=""),E659=Dashboard!$U$5)),1,0))</f>
        <v>1</v>
      </c>
      <c r="O659" s="165">
        <f t="shared" si="87"/>
        <v>64</v>
      </c>
      <c r="AG659" s="178" t="str">
        <f>IF(E659="","",IFERROR(IF(INDEX('Item Purchases'!$AM$4:$AM$30,MATCH(E659,'Item Purchases'!$B$4:$B$30,0))="","Uncategorised",INDEX('Item Purchases'!$AM$4:$AM$30,MATCH(E659,'Item Purchases'!$B$4:$B$30,0))),"Uncategorised"))</f>
        <v>Snacks</v>
      </c>
      <c r="AH659" s="165">
        <f>IF(AND(E659&lt;&gt;"",L659=1),COUNTIFS($E$2:E659,E659,$L$2:L659,1),0)</f>
        <v>22</v>
      </c>
      <c r="AI659" s="165">
        <f t="shared" si="88"/>
        <v>8</v>
      </c>
      <c r="AJ659" s="165">
        <f t="shared" si="89"/>
        <v>1</v>
      </c>
    </row>
    <row r="660" spans="1:36" x14ac:dyDescent="0.25">
      <c r="A660" s="177">
        <f t="shared" si="90"/>
        <v>46295</v>
      </c>
      <c r="B660" s="178" t="str">
        <f t="shared" si="84"/>
        <v>Wed</v>
      </c>
      <c r="C660" s="178" t="str">
        <f>'Pantry Inventory'!$A$132</f>
        <v>Sep Week 5</v>
      </c>
      <c r="D660" s="178" t="str">
        <f>IF('Pantry Inventory'!A145="","",'Pantry Inventory'!A145)</f>
        <v>Munchy</v>
      </c>
      <c r="E660" s="178" t="str">
        <f>IF('Pantry Inventory'!B145="","",'Pantry Inventory'!B145)</f>
        <v>Munchy Oat Krunch - Strawberry &amp; Blackcurrant</v>
      </c>
      <c r="F660" s="178" t="str">
        <f>IF(E660="","",IFERROR(IF(INDEX('Item Purchases'!$S$4:$S$30,MATCH(E660,'Item Purchases'!$B$4:$B$30,0))="","Uncategorised",INDEX('Item Purchases'!$S$4:$S$30,MATCH(E660,'Item Purchases'!$B$4:$B$30,0))),"Uncategorised"))</f>
        <v>Sweet</v>
      </c>
      <c r="G660" s="178">
        <f>IF(E660="",0,'Pantry Inventory'!P145)</f>
        <v>15</v>
      </c>
      <c r="H660" s="178">
        <f>IF(E660="","",IF('Pantry Inventory'!Q145="","",'Pantry Inventory'!Q145))</f>
        <v>37</v>
      </c>
      <c r="I660" s="178">
        <f>IF(H660="","",'Pantry Inventory'!R145)</f>
        <v>5</v>
      </c>
      <c r="J660" s="179">
        <f>IF(E660="",0,IFERROR(INDEX('Item Purchases'!$Q$4:$Q$30,MATCH(E660,'Item Purchases'!$B$4:$B$30,0)),0))</f>
        <v>0.73</v>
      </c>
      <c r="K660" s="180">
        <f t="shared" si="85"/>
        <v>3.65</v>
      </c>
      <c r="L660" s="178">
        <f t="shared" si="86"/>
        <v>1</v>
      </c>
      <c r="M660" s="178">
        <f>IF(E660="",0,IF(AND(OR(OR(Dashboard!$E$5="All",Dashboard!$E$5=""),AG660=Dashboard!$E$5),OR(OR(Dashboard!$H$5="All",Dashboard!$H$5=""),F660=Dashboard!$H$5),OR(OR(Dashboard!$B$5="All",Dashboard!$B$5=""),C660=Dashboard!$B$5),OR(OR(Dashboard!$K$5="All",Dashboard!$K$5=""),A660=Dashboard!$K$5),OR(OR(Dashboard!$N$5="All",Dashboard!$N$5=""),B660=Dashboard!$N$5),OR(OR(Dashboard!$Q$5="All",Dashboard!$Q$5=""),D660=Dashboard!$Q$5),OR(OR(Dashboard!$U$5="All",Dashboard!$U$5=""),E660=Dashboard!$U$5)),1,0))</f>
        <v>1</v>
      </c>
      <c r="N660" s="178">
        <f>IF(E660="",0,IF(AND(OR(OR(Dashboard!$E$5="All",Dashboard!$E$5=""),AG660=Dashboard!$E$5),OR(OR(Dashboard!$B$5="All",Dashboard!$B$5=""),C660=Dashboard!$B$5),OR(OR(Dashboard!$K$5="All",Dashboard!$K$5=""),A660=Dashboard!$K$5),OR(OR(Dashboard!$N$5="All",Dashboard!$N$5=""),B660=Dashboard!$N$5),OR(OR(Dashboard!$Q$5="All",Dashboard!$Q$5=""),D660=Dashboard!$Q$5),OR(OR(Dashboard!$U$5="All",Dashboard!$U$5=""),E660=Dashboard!$U$5)),1,0))</f>
        <v>1</v>
      </c>
      <c r="O660" s="165">
        <f t="shared" si="87"/>
        <v>25</v>
      </c>
      <c r="AG660" s="178" t="str">
        <f>IF(E660="","",IFERROR(IF(INDEX('Item Purchases'!$AM$4:$AM$30,MATCH(E660,'Item Purchases'!$B$4:$B$30,0))="","Uncategorised",INDEX('Item Purchases'!$AM$4:$AM$30,MATCH(E660,'Item Purchases'!$B$4:$B$30,0))),"Uncategorised"))</f>
        <v>Snacks</v>
      </c>
      <c r="AH660" s="165">
        <f>IF(AND(E660&lt;&gt;"",L660=1),COUNTIFS($E$2:E660,E660,$L$2:L660,1),0)</f>
        <v>22</v>
      </c>
      <c r="AI660" s="165">
        <f t="shared" si="88"/>
        <v>5</v>
      </c>
      <c r="AJ660" s="165">
        <f t="shared" si="89"/>
        <v>1</v>
      </c>
    </row>
    <row r="661" spans="1:36" x14ac:dyDescent="0.25">
      <c r="A661" s="177">
        <f t="shared" si="90"/>
        <v>46295</v>
      </c>
      <c r="B661" s="178" t="str">
        <f t="shared" si="84"/>
        <v>Wed</v>
      </c>
      <c r="C661" s="178" t="str">
        <f>'Pantry Inventory'!$A$132</f>
        <v>Sep Week 5</v>
      </c>
      <c r="D661" s="178" t="str">
        <f>IF('Pantry Inventory'!A146="","",'Pantry Inventory'!A146)</f>
        <v/>
      </c>
      <c r="E661" s="178" t="str">
        <f>IF('Pantry Inventory'!B146="","",'Pantry Inventory'!B146)</f>
        <v/>
      </c>
      <c r="F661" s="178" t="str">
        <f>IF(E661="","",IFERROR(IF(INDEX('Item Purchases'!$S$4:$S$30,MATCH(E661,'Item Purchases'!$B$4:$B$30,0))="","Uncategorised",INDEX('Item Purchases'!$S$4:$S$30,MATCH(E661,'Item Purchases'!$B$4:$B$30,0))),"Uncategorised"))</f>
        <v/>
      </c>
      <c r="G661" s="178">
        <f>IF(E661="",0,'Pantry Inventory'!P146)</f>
        <v>0</v>
      </c>
      <c r="H661" s="178" t="str">
        <f>IF(E661="","",IF('Pantry Inventory'!Q146="","",'Pantry Inventory'!Q146))</f>
        <v/>
      </c>
      <c r="I661" s="178" t="str">
        <f>IF(H661="","",'Pantry Inventory'!R146)</f>
        <v/>
      </c>
      <c r="J661" s="179">
        <f>IF(E661="",0,IFERROR(INDEX('Item Purchases'!$Q$4:$Q$30,MATCH(E661,'Item Purchases'!$B$4:$B$30,0)),0))</f>
        <v>0</v>
      </c>
      <c r="K661" s="180" t="str">
        <f t="shared" si="85"/>
        <v/>
      </c>
      <c r="L661" s="178">
        <f t="shared" si="86"/>
        <v>0</v>
      </c>
      <c r="M661" s="178">
        <f>IF(E661="",0,IF(AND(OR(OR(Dashboard!$E$5="All",Dashboard!$E$5=""),AG661=Dashboard!$E$5),OR(OR(Dashboard!$H$5="All",Dashboard!$H$5=""),F661=Dashboard!$H$5),OR(OR(Dashboard!$B$5="All",Dashboard!$B$5=""),C661=Dashboard!$B$5),OR(OR(Dashboard!$K$5="All",Dashboard!$K$5=""),A661=Dashboard!$K$5),OR(OR(Dashboard!$N$5="All",Dashboard!$N$5=""),B661=Dashboard!$N$5),OR(OR(Dashboard!$Q$5="All",Dashboard!$Q$5=""),D661=Dashboard!$Q$5),OR(OR(Dashboard!$U$5="All",Dashboard!$U$5=""),E661=Dashboard!$U$5)),1,0))</f>
        <v>0</v>
      </c>
      <c r="N661" s="178">
        <f>IF(E661="",0,IF(AND(OR(OR(Dashboard!$E$5="All",Dashboard!$E$5=""),AG661=Dashboard!$E$5),OR(OR(Dashboard!$B$5="All",Dashboard!$B$5=""),C661=Dashboard!$B$5),OR(OR(Dashboard!$K$5="All",Dashboard!$K$5=""),A661=Dashboard!$K$5),OR(OR(Dashboard!$N$5="All",Dashboard!$N$5=""),B661=Dashboard!$N$5),OR(OR(Dashboard!$Q$5="All",Dashboard!$Q$5=""),D661=Dashboard!$Q$5),OR(OR(Dashboard!$U$5="All",Dashboard!$U$5=""),E661=Dashboard!$U$5)),1,0))</f>
        <v>0</v>
      </c>
      <c r="O661" s="165">
        <f t="shared" si="87"/>
        <v>0</v>
      </c>
      <c r="AG661" s="178" t="str">
        <f>IF(E661="","",IFERROR(IF(INDEX('Item Purchases'!$AM$4:$AM$30,MATCH(E661,'Item Purchases'!$B$4:$B$30,0))="","Uncategorised",INDEX('Item Purchases'!$AM$4:$AM$30,MATCH(E661,'Item Purchases'!$B$4:$B$30,0))),"Uncategorised"))</f>
        <v/>
      </c>
      <c r="AH661" s="165">
        <f>IF(AND(E661&lt;&gt;"",L661=1),COUNTIFS($E$2:E661,E661,$L$2:L661,1),0)</f>
        <v>0</v>
      </c>
      <c r="AI661" s="165">
        <f t="shared" si="88"/>
        <v>0</v>
      </c>
      <c r="AJ661" s="165">
        <f t="shared" si="89"/>
        <v>0</v>
      </c>
    </row>
    <row r="662" spans="1:36" x14ac:dyDescent="0.25">
      <c r="A662" s="177">
        <f t="shared" si="90"/>
        <v>46295</v>
      </c>
      <c r="B662" s="178" t="str">
        <f t="shared" si="84"/>
        <v>Wed</v>
      </c>
      <c r="C662" s="178" t="str">
        <f>'Pantry Inventory'!$A$132</f>
        <v>Sep Week 5</v>
      </c>
      <c r="D662" s="178" t="str">
        <f>IF('Pantry Inventory'!A147="","",'Pantry Inventory'!A147)</f>
        <v>Nestle</v>
      </c>
      <c r="E662" s="178" t="str">
        <f>IF('Pantry Inventory'!B147="","",'Pantry Inventory'!B147)</f>
        <v>Milo 200ml</v>
      </c>
      <c r="F662" s="178" t="str">
        <f>IF(E662="","",IFERROR(IF(INDEX('Item Purchases'!$S$4:$S$30,MATCH(E662,'Item Purchases'!$B$4:$B$30,0))="","Uncategorised",INDEX('Item Purchases'!$S$4:$S$30,MATCH(E662,'Item Purchases'!$B$4:$B$30,0))),"Uncategorised"))</f>
        <v>Other</v>
      </c>
      <c r="G662" s="178">
        <f>IF(E662="",0,'Pantry Inventory'!P147)</f>
        <v>48</v>
      </c>
      <c r="H662" s="178">
        <f>IF(E662="","",IF('Pantry Inventory'!Q147="","",'Pantry Inventory'!Q147))</f>
        <v>51</v>
      </c>
      <c r="I662" s="178">
        <f>IF(H662="","",'Pantry Inventory'!R147)</f>
        <v>21</v>
      </c>
      <c r="J662" s="179">
        <f>IF(E662="",0,IFERROR(INDEX('Item Purchases'!$Q$4:$Q$30,MATCH(E662,'Item Purchases'!$B$4:$B$30,0)),0))</f>
        <v>2.37</v>
      </c>
      <c r="K662" s="180">
        <f t="shared" si="85"/>
        <v>49.77</v>
      </c>
      <c r="L662" s="178">
        <f t="shared" si="86"/>
        <v>1</v>
      </c>
      <c r="M662" s="178">
        <f>IF(E662="",0,IF(AND(OR(OR(Dashboard!$E$5="All",Dashboard!$E$5=""),AG662=Dashboard!$E$5),OR(OR(Dashboard!$H$5="All",Dashboard!$H$5=""),F662=Dashboard!$H$5),OR(OR(Dashboard!$B$5="All",Dashboard!$B$5=""),C662=Dashboard!$B$5),OR(OR(Dashboard!$K$5="All",Dashboard!$K$5=""),A662=Dashboard!$K$5),OR(OR(Dashboard!$N$5="All",Dashboard!$N$5=""),B662=Dashboard!$N$5),OR(OR(Dashboard!$Q$5="All",Dashboard!$Q$5=""),D662=Dashboard!$Q$5),OR(OR(Dashboard!$U$5="All",Dashboard!$U$5=""),E662=Dashboard!$U$5)),1,0))</f>
        <v>1</v>
      </c>
      <c r="N662" s="178">
        <f>IF(E662="",0,IF(AND(OR(OR(Dashboard!$E$5="All",Dashboard!$E$5=""),AG662=Dashboard!$E$5),OR(OR(Dashboard!$B$5="All",Dashboard!$B$5=""),C662=Dashboard!$B$5),OR(OR(Dashboard!$K$5="All",Dashboard!$K$5=""),A662=Dashboard!$K$5),OR(OR(Dashboard!$N$5="All",Dashboard!$N$5=""),B662=Dashboard!$N$5),OR(OR(Dashboard!$Q$5="All",Dashboard!$Q$5=""),D662=Dashboard!$Q$5),OR(OR(Dashboard!$U$5="All",Dashboard!$U$5=""),E662=Dashboard!$U$5)),1,0))</f>
        <v>1</v>
      </c>
      <c r="O662" s="165">
        <f t="shared" si="87"/>
        <v>441</v>
      </c>
      <c r="AG662" s="178" t="str">
        <f>IF(E662="","",IFERROR(IF(INDEX('Item Purchases'!$AM$4:$AM$30,MATCH(E662,'Item Purchases'!$B$4:$B$30,0))="","Uncategorised",INDEX('Item Purchases'!$AM$4:$AM$30,MATCH(E662,'Item Purchases'!$B$4:$B$30,0))),"Uncategorised"))</f>
        <v>Beverages</v>
      </c>
      <c r="AH662" s="165">
        <f>IF(AND(E662&lt;&gt;"",L662=1),COUNTIFS($E$2:E662,E662,$L$2:L662,1),0)</f>
        <v>22</v>
      </c>
      <c r="AI662" s="165">
        <f t="shared" si="88"/>
        <v>21</v>
      </c>
      <c r="AJ662" s="165">
        <f t="shared" si="89"/>
        <v>1</v>
      </c>
    </row>
    <row r="663" spans="1:36" x14ac:dyDescent="0.25">
      <c r="A663" s="177">
        <f t="shared" si="90"/>
        <v>46295</v>
      </c>
      <c r="B663" s="178" t="str">
        <f t="shared" si="84"/>
        <v>Wed</v>
      </c>
      <c r="C663" s="178" t="str">
        <f>'Pantry Inventory'!$A$132</f>
        <v>Sep Week 5</v>
      </c>
      <c r="D663" s="178" t="str">
        <f>IF('Pantry Inventory'!A148="","",'Pantry Inventory'!A148)</f>
        <v>Nestle</v>
      </c>
      <c r="E663" s="178" t="str">
        <f>IF('Pantry Inventory'!B148="","",'Pantry Inventory'!B148)</f>
        <v>Nescafe Latte 240ml</v>
      </c>
      <c r="F663" s="178" t="str">
        <f>IF(E663="","",IFERROR(IF(INDEX('Item Purchases'!$S$4:$S$30,MATCH(E663,'Item Purchases'!$B$4:$B$30,0))="","Uncategorised",INDEX('Item Purchases'!$S$4:$S$30,MATCH(E663,'Item Purchases'!$B$4:$B$30,0))),"Uncategorised"))</f>
        <v>Coffee</v>
      </c>
      <c r="G663" s="178">
        <f>IF(E663="",0,'Pantry Inventory'!P148)</f>
        <v>0</v>
      </c>
      <c r="H663" s="178">
        <f>IF(E663="","",IF('Pantry Inventory'!Q148="","",'Pantry Inventory'!Q148))</f>
        <v>38</v>
      </c>
      <c r="I663" s="178">
        <f>IF(H663="","",'Pantry Inventory'!R148)</f>
        <v>0</v>
      </c>
      <c r="J663" s="179">
        <f>IF(E663="",0,IFERROR(INDEX('Item Purchases'!$Q$4:$Q$30,MATCH(E663,'Item Purchases'!$B$4:$B$30,0)),0))</f>
        <v>2.1875</v>
      </c>
      <c r="K663" s="180">
        <f t="shared" si="85"/>
        <v>0</v>
      </c>
      <c r="L663" s="178">
        <f t="shared" si="86"/>
        <v>1</v>
      </c>
      <c r="M663" s="178">
        <f>IF(E663="",0,IF(AND(OR(OR(Dashboard!$E$5="All",Dashboard!$E$5=""),AG663=Dashboard!$E$5),OR(OR(Dashboard!$H$5="All",Dashboard!$H$5=""),F663=Dashboard!$H$5),OR(OR(Dashboard!$B$5="All",Dashboard!$B$5=""),C663=Dashboard!$B$5),OR(OR(Dashboard!$K$5="All",Dashboard!$K$5=""),A663=Dashboard!$K$5),OR(OR(Dashboard!$N$5="All",Dashboard!$N$5=""),B663=Dashboard!$N$5),OR(OR(Dashboard!$Q$5="All",Dashboard!$Q$5=""),D663=Dashboard!$Q$5),OR(OR(Dashboard!$U$5="All",Dashboard!$U$5=""),E663=Dashboard!$U$5)),1,0))</f>
        <v>1</v>
      </c>
      <c r="N663" s="178">
        <f>IF(E663="",0,IF(AND(OR(OR(Dashboard!$E$5="All",Dashboard!$E$5=""),AG663=Dashboard!$E$5),OR(OR(Dashboard!$B$5="All",Dashboard!$B$5=""),C663=Dashboard!$B$5),OR(OR(Dashboard!$K$5="All",Dashboard!$K$5=""),A663=Dashboard!$K$5),OR(OR(Dashboard!$N$5="All",Dashboard!$N$5=""),B663=Dashboard!$N$5),OR(OR(Dashboard!$Q$5="All",Dashboard!$Q$5=""),D663=Dashboard!$Q$5),OR(OR(Dashboard!$U$5="All",Dashboard!$U$5=""),E663=Dashboard!$U$5)),1,0))</f>
        <v>1</v>
      </c>
      <c r="O663" s="165">
        <f t="shared" si="87"/>
        <v>0</v>
      </c>
      <c r="AG663" s="178" t="str">
        <f>IF(E663="","",IFERROR(IF(INDEX('Item Purchases'!$AM$4:$AM$30,MATCH(E663,'Item Purchases'!$B$4:$B$30,0))="","Uncategorised",INDEX('Item Purchases'!$AM$4:$AM$30,MATCH(E663,'Item Purchases'!$B$4:$B$30,0))),"Uncategorised"))</f>
        <v>Beverages</v>
      </c>
      <c r="AH663" s="165">
        <f>IF(AND(E663&lt;&gt;"",L663=1),COUNTIFS($E$2:E663,E663,$L$2:L663,1),0)</f>
        <v>22</v>
      </c>
      <c r="AI663" s="165">
        <f t="shared" si="88"/>
        <v>0</v>
      </c>
      <c r="AJ663" s="165">
        <f t="shared" si="89"/>
        <v>1</v>
      </c>
    </row>
    <row r="664" spans="1:36" x14ac:dyDescent="0.25">
      <c r="A664" s="177">
        <f t="shared" si="90"/>
        <v>46295</v>
      </c>
      <c r="B664" s="178" t="str">
        <f t="shared" si="84"/>
        <v>Wed</v>
      </c>
      <c r="C664" s="178" t="str">
        <f>'Pantry Inventory'!$A$132</f>
        <v>Sep Week 5</v>
      </c>
      <c r="D664" s="178" t="str">
        <f>IF('Pantry Inventory'!A149="","",'Pantry Inventory'!A149)</f>
        <v>Nestle</v>
      </c>
      <c r="E664" s="178" t="str">
        <f>IF('Pantry Inventory'!B149="","",'Pantry Inventory'!B149)</f>
        <v>Nescafe original 240ml</v>
      </c>
      <c r="F664" s="178" t="str">
        <f>IF(E664="","",IFERROR(IF(INDEX('Item Purchases'!$S$4:$S$30,MATCH(E664,'Item Purchases'!$B$4:$B$30,0))="","Uncategorised",INDEX('Item Purchases'!$S$4:$S$30,MATCH(E664,'Item Purchases'!$B$4:$B$30,0))),"Uncategorised"))</f>
        <v>Coffee</v>
      </c>
      <c r="G664" s="178">
        <f>IF(E664="",0,'Pantry Inventory'!P149)</f>
        <v>24</v>
      </c>
      <c r="H664" s="178">
        <f>IF(E664="","",IF('Pantry Inventory'!Q149="","",'Pantry Inventory'!Q149))</f>
        <v>39</v>
      </c>
      <c r="I664" s="178">
        <f>IF(H664="","",'Pantry Inventory'!R149)</f>
        <v>5</v>
      </c>
      <c r="J664" s="179">
        <f>IF(E664="",0,IFERROR(INDEX('Item Purchases'!$Q$4:$Q$30,MATCH(E664,'Item Purchases'!$B$4:$B$30,0)),0))</f>
        <v>2.1875</v>
      </c>
      <c r="K664" s="180">
        <f t="shared" si="85"/>
        <v>10.9375</v>
      </c>
      <c r="L664" s="178">
        <f t="shared" si="86"/>
        <v>1</v>
      </c>
      <c r="M664" s="178">
        <f>IF(E664="",0,IF(AND(OR(OR(Dashboard!$E$5="All",Dashboard!$E$5=""),AG664=Dashboard!$E$5),OR(OR(Dashboard!$H$5="All",Dashboard!$H$5=""),F664=Dashboard!$H$5),OR(OR(Dashboard!$B$5="All",Dashboard!$B$5=""),C664=Dashboard!$B$5),OR(OR(Dashboard!$K$5="All",Dashboard!$K$5=""),A664=Dashboard!$K$5),OR(OR(Dashboard!$N$5="All",Dashboard!$N$5=""),B664=Dashboard!$N$5),OR(OR(Dashboard!$Q$5="All",Dashboard!$Q$5=""),D664=Dashboard!$Q$5),OR(OR(Dashboard!$U$5="All",Dashboard!$U$5=""),E664=Dashboard!$U$5)),1,0))</f>
        <v>1</v>
      </c>
      <c r="N664" s="178">
        <f>IF(E664="",0,IF(AND(OR(OR(Dashboard!$E$5="All",Dashboard!$E$5=""),AG664=Dashboard!$E$5),OR(OR(Dashboard!$B$5="All",Dashboard!$B$5=""),C664=Dashboard!$B$5),OR(OR(Dashboard!$K$5="All",Dashboard!$K$5=""),A664=Dashboard!$K$5),OR(OR(Dashboard!$N$5="All",Dashboard!$N$5=""),B664=Dashboard!$N$5),OR(OR(Dashboard!$Q$5="All",Dashboard!$Q$5=""),D664=Dashboard!$Q$5),OR(OR(Dashboard!$U$5="All",Dashboard!$U$5=""),E664=Dashboard!$U$5)),1,0))</f>
        <v>1</v>
      </c>
      <c r="O664" s="165">
        <f t="shared" si="87"/>
        <v>25</v>
      </c>
      <c r="AG664" s="178" t="str">
        <f>IF(E664="","",IFERROR(IF(INDEX('Item Purchases'!$AM$4:$AM$30,MATCH(E664,'Item Purchases'!$B$4:$B$30,0))="","Uncategorised",INDEX('Item Purchases'!$AM$4:$AM$30,MATCH(E664,'Item Purchases'!$B$4:$B$30,0))),"Uncategorised"))</f>
        <v>Beverages</v>
      </c>
      <c r="AH664" s="165">
        <f>IF(AND(E664&lt;&gt;"",L664=1),COUNTIFS($E$2:E664,E664,$L$2:L664,1),0)</f>
        <v>22</v>
      </c>
      <c r="AI664" s="165">
        <f t="shared" si="88"/>
        <v>5</v>
      </c>
      <c r="AJ664" s="165">
        <f t="shared" si="89"/>
        <v>1</v>
      </c>
    </row>
    <row r="665" spans="1:36" x14ac:dyDescent="0.25">
      <c r="A665" s="177">
        <f t="shared" si="90"/>
        <v>46295</v>
      </c>
      <c r="B665" s="178" t="str">
        <f t="shared" si="84"/>
        <v>Wed</v>
      </c>
      <c r="C665" s="178" t="str">
        <f>'Pantry Inventory'!$A$132</f>
        <v>Sep Week 5</v>
      </c>
      <c r="D665" s="178" t="str">
        <f>IF('Pantry Inventory'!A150="","",'Pantry Inventory'!A150)</f>
        <v>COWA</v>
      </c>
      <c r="E665" s="178" t="str">
        <f>IF('Pantry Inventory'!B150="","",'Pantry Inventory'!B150)</f>
        <v>COWA Coconut Water 330 ml</v>
      </c>
      <c r="F665" s="178" t="str">
        <f>IF(E665="","",IFERROR(IF(INDEX('Item Purchases'!$S$4:$S$30,MATCH(E665,'Item Purchases'!$B$4:$B$30,0))="","Uncategorised",INDEX('Item Purchases'!$S$4:$S$30,MATCH(E665,'Item Purchases'!$B$4:$B$30,0))),"Uncategorised"))</f>
        <v>Other</v>
      </c>
      <c r="G665" s="178">
        <f>IF(E665="",0,'Pantry Inventory'!P150)</f>
        <v>0</v>
      </c>
      <c r="H665" s="178">
        <f>IF(E665="","",IF('Pantry Inventory'!Q150="","",'Pantry Inventory'!Q150))</f>
        <v>196</v>
      </c>
      <c r="I665" s="178">
        <f>IF(H665="","",'Pantry Inventory'!R150)</f>
        <v>19</v>
      </c>
      <c r="J665" s="179">
        <f>IF(E665="",0,IFERROR(INDEX('Item Purchases'!$Q$4:$Q$30,MATCH(E665,'Item Purchases'!$B$4:$B$30,0)),0))</f>
        <v>3</v>
      </c>
      <c r="K665" s="180">
        <f t="shared" si="85"/>
        <v>57</v>
      </c>
      <c r="L665" s="178">
        <f t="shared" si="86"/>
        <v>1</v>
      </c>
      <c r="M665" s="178">
        <f>IF(E665="",0,IF(AND(OR(OR(Dashboard!$E$5="All",Dashboard!$E$5=""),AG665=Dashboard!$E$5),OR(OR(Dashboard!$H$5="All",Dashboard!$H$5=""),F665=Dashboard!$H$5),OR(OR(Dashboard!$B$5="All",Dashboard!$B$5=""),C665=Dashboard!$B$5),OR(OR(Dashboard!$K$5="All",Dashboard!$K$5=""),A665=Dashboard!$K$5),OR(OR(Dashboard!$N$5="All",Dashboard!$N$5=""),B665=Dashboard!$N$5),OR(OR(Dashboard!$Q$5="All",Dashboard!$Q$5=""),D665=Dashboard!$Q$5),OR(OR(Dashboard!$U$5="All",Dashboard!$U$5=""),E665=Dashboard!$U$5)),1,0))</f>
        <v>1</v>
      </c>
      <c r="N665" s="178">
        <f>IF(E665="",0,IF(AND(OR(OR(Dashboard!$E$5="All",Dashboard!$E$5=""),AG665=Dashboard!$E$5),OR(OR(Dashboard!$B$5="All",Dashboard!$B$5=""),C665=Dashboard!$B$5),OR(OR(Dashboard!$K$5="All",Dashboard!$K$5=""),A665=Dashboard!$K$5),OR(OR(Dashboard!$N$5="All",Dashboard!$N$5=""),B665=Dashboard!$N$5),OR(OR(Dashboard!$Q$5="All",Dashboard!$Q$5=""),D665=Dashboard!$Q$5),OR(OR(Dashboard!$U$5="All",Dashboard!$U$5=""),E665=Dashboard!$U$5)),1,0))</f>
        <v>1</v>
      </c>
      <c r="O665" s="165">
        <f t="shared" si="87"/>
        <v>361</v>
      </c>
      <c r="AG665" s="178" t="str">
        <f>IF(E665="","",IFERROR(IF(INDEX('Item Purchases'!$AM$4:$AM$30,MATCH(E665,'Item Purchases'!$B$4:$B$30,0))="","Uncategorised",INDEX('Item Purchases'!$AM$4:$AM$30,MATCH(E665,'Item Purchases'!$B$4:$B$30,0))),"Uncategorised"))</f>
        <v>Beverages</v>
      </c>
      <c r="AH665" s="165">
        <f>IF(AND(E665&lt;&gt;"",L665=1),COUNTIFS($E$2:E665,E665,$L$2:L665,1),0)</f>
        <v>22</v>
      </c>
      <c r="AI665" s="165">
        <f t="shared" si="88"/>
        <v>19</v>
      </c>
      <c r="AJ665" s="165">
        <f t="shared" si="89"/>
        <v>1</v>
      </c>
    </row>
    <row r="666" spans="1:36" x14ac:dyDescent="0.25">
      <c r="A666" s="177">
        <f t="shared" si="90"/>
        <v>46295</v>
      </c>
      <c r="B666" s="178" t="str">
        <f t="shared" si="84"/>
        <v>Wed</v>
      </c>
      <c r="C666" s="178" t="str">
        <f>'Pantry Inventory'!$A$132</f>
        <v>Sep Week 5</v>
      </c>
      <c r="D666" s="178" t="str">
        <f>IF('Pantry Inventory'!A151="","",'Pantry Inventory'!A151)</f>
        <v>KARTA</v>
      </c>
      <c r="E666" s="178" t="str">
        <f>IF('Pantry Inventory'!B151="","",'Pantry Inventory'!B151)</f>
        <v>KARTA Coconut Water 330 ml</v>
      </c>
      <c r="F666" s="178" t="str">
        <f>IF(E666="","",IFERROR(IF(INDEX('Item Purchases'!$S$4:$S$30,MATCH(E666,'Item Purchases'!$B$4:$B$30,0))="","Uncategorised",INDEX('Item Purchases'!$S$4:$S$30,MATCH(E666,'Item Purchases'!$B$4:$B$30,0))),"Uncategorised"))</f>
        <v>Other</v>
      </c>
      <c r="G666" s="178">
        <f>IF(E666="",0,'Pantry Inventory'!P151)</f>
        <v>0</v>
      </c>
      <c r="H666" s="178">
        <f>IF(E666="","",IF('Pantry Inventory'!Q151="","",'Pantry Inventory'!Q151))</f>
        <v>0</v>
      </c>
      <c r="I666" s="178">
        <f>IF(H666="","",'Pantry Inventory'!R151)</f>
        <v>0</v>
      </c>
      <c r="J666" s="179">
        <f>IF(E666="",0,IFERROR(INDEX('Item Purchases'!$Q$4:$Q$30,MATCH(E666,'Item Purchases'!$B$4:$B$30,0)),0))</f>
        <v>2.2999999999999998</v>
      </c>
      <c r="K666" s="180">
        <f t="shared" si="85"/>
        <v>0</v>
      </c>
      <c r="L666" s="178">
        <f t="shared" si="86"/>
        <v>1</v>
      </c>
      <c r="M666" s="178">
        <f>IF(E666="",0,IF(AND(OR(OR(Dashboard!$E$5="All",Dashboard!$E$5=""),AG666=Dashboard!$E$5),OR(OR(Dashboard!$H$5="All",Dashboard!$H$5=""),F666=Dashboard!$H$5),OR(OR(Dashboard!$B$5="All",Dashboard!$B$5=""),C666=Dashboard!$B$5),OR(OR(Dashboard!$K$5="All",Dashboard!$K$5=""),A666=Dashboard!$K$5),OR(OR(Dashboard!$N$5="All",Dashboard!$N$5=""),B666=Dashboard!$N$5),OR(OR(Dashboard!$Q$5="All",Dashboard!$Q$5=""),D666=Dashboard!$Q$5),OR(OR(Dashboard!$U$5="All",Dashboard!$U$5=""),E666=Dashboard!$U$5)),1,0))</f>
        <v>1</v>
      </c>
      <c r="N666" s="178">
        <f>IF(E666="",0,IF(AND(OR(OR(Dashboard!$E$5="All",Dashboard!$E$5=""),AG666=Dashboard!$E$5),OR(OR(Dashboard!$B$5="All",Dashboard!$B$5=""),C666=Dashboard!$B$5),OR(OR(Dashboard!$K$5="All",Dashboard!$K$5=""),A666=Dashboard!$K$5),OR(OR(Dashboard!$N$5="All",Dashboard!$N$5=""),B666=Dashboard!$N$5),OR(OR(Dashboard!$Q$5="All",Dashboard!$Q$5=""),D666=Dashboard!$Q$5),OR(OR(Dashboard!$U$5="All",Dashboard!$U$5=""),E666=Dashboard!$U$5)),1,0))</f>
        <v>1</v>
      </c>
      <c r="O666" s="165">
        <f t="shared" si="87"/>
        <v>0</v>
      </c>
      <c r="AG666" s="178" t="str">
        <f>IF(E666="","",IFERROR(IF(INDEX('Item Purchases'!$AM$4:$AM$30,MATCH(E666,'Item Purchases'!$B$4:$B$30,0))="","Uncategorised",INDEX('Item Purchases'!$AM$4:$AM$30,MATCH(E666,'Item Purchases'!$B$4:$B$30,0))),"Uncategorised"))</f>
        <v>Beverages</v>
      </c>
      <c r="AH666" s="165">
        <f>IF(AND(E666&lt;&gt;"",L666=1),COUNTIFS($E$2:E666,E666,$L$2:L666,1),0)</f>
        <v>6</v>
      </c>
      <c r="AI666" s="165">
        <f t="shared" si="88"/>
        <v>0</v>
      </c>
      <c r="AJ666" s="165">
        <f t="shared" si="89"/>
        <v>0</v>
      </c>
    </row>
    <row r="667" spans="1:36" x14ac:dyDescent="0.25">
      <c r="A667" s="177">
        <f t="shared" si="90"/>
        <v>46295</v>
      </c>
      <c r="B667" s="178" t="str">
        <f t="shared" si="84"/>
        <v>Wed</v>
      </c>
      <c r="C667" s="178" t="str">
        <f>'Pantry Inventory'!$A$132</f>
        <v>Sep Week 5</v>
      </c>
      <c r="D667" s="178" t="str">
        <f>IF('Pantry Inventory'!A152="","",'Pantry Inventory'!A152)</f>
        <v>Coca Cola</v>
      </c>
      <c r="E667" s="178" t="str">
        <f>IF('Pantry Inventory'!B152="","",'Pantry Inventory'!B152)</f>
        <v>COKE ZERO  325ML</v>
      </c>
      <c r="F667" s="178" t="str">
        <f>IF(E667="","",IFERROR(IF(INDEX('Item Purchases'!$S$4:$S$30,MATCH(E667,'Item Purchases'!$B$4:$B$30,0))="","Uncategorised",INDEX('Item Purchases'!$S$4:$S$30,MATCH(E667,'Item Purchases'!$B$4:$B$30,0))),"Uncategorised"))</f>
        <v>Other</v>
      </c>
      <c r="G667" s="178">
        <f>IF(E667="",0,'Pantry Inventory'!P152)</f>
        <v>0</v>
      </c>
      <c r="H667" s="178">
        <f>IF(E667="","",IF('Pantry Inventory'!Q152="","",'Pantry Inventory'!Q152))</f>
        <v>38</v>
      </c>
      <c r="I667" s="178">
        <f>IF(H667="","",'Pantry Inventory'!R152)</f>
        <v>12</v>
      </c>
      <c r="J667" s="179">
        <f>IF(E667="",0,IFERROR(INDEX('Item Purchases'!$Q$4:$Q$30,MATCH(E667,'Item Purchases'!$B$4:$B$30,0)),0))</f>
        <v>1.83</v>
      </c>
      <c r="K667" s="180">
        <f t="shared" si="85"/>
        <v>21.96</v>
      </c>
      <c r="L667" s="178">
        <f t="shared" si="86"/>
        <v>1</v>
      </c>
      <c r="M667" s="178">
        <f>IF(E667="",0,IF(AND(OR(OR(Dashboard!$E$5="All",Dashboard!$E$5=""),AG667=Dashboard!$E$5),OR(OR(Dashboard!$H$5="All",Dashboard!$H$5=""),F667=Dashboard!$H$5),OR(OR(Dashboard!$B$5="All",Dashboard!$B$5=""),C667=Dashboard!$B$5),OR(OR(Dashboard!$K$5="All",Dashboard!$K$5=""),A667=Dashboard!$K$5),OR(OR(Dashboard!$N$5="All",Dashboard!$N$5=""),B667=Dashboard!$N$5),OR(OR(Dashboard!$Q$5="All",Dashboard!$Q$5=""),D667=Dashboard!$Q$5),OR(OR(Dashboard!$U$5="All",Dashboard!$U$5=""),E667=Dashboard!$U$5)),1,0))</f>
        <v>1</v>
      </c>
      <c r="N667" s="178">
        <f>IF(E667="",0,IF(AND(OR(OR(Dashboard!$E$5="All",Dashboard!$E$5=""),AG667=Dashboard!$E$5),OR(OR(Dashboard!$B$5="All",Dashboard!$B$5=""),C667=Dashboard!$B$5),OR(OR(Dashboard!$K$5="All",Dashboard!$K$5=""),A667=Dashboard!$K$5),OR(OR(Dashboard!$N$5="All",Dashboard!$N$5=""),B667=Dashboard!$N$5),OR(OR(Dashboard!$Q$5="All",Dashboard!$Q$5=""),D667=Dashboard!$Q$5),OR(OR(Dashboard!$U$5="All",Dashboard!$U$5=""),E667=Dashboard!$U$5)),1,0))</f>
        <v>1</v>
      </c>
      <c r="O667" s="165">
        <f t="shared" si="87"/>
        <v>144</v>
      </c>
      <c r="AG667" s="178" t="str">
        <f>IF(E667="","",IFERROR(IF(INDEX('Item Purchases'!$AM$4:$AM$30,MATCH(E667,'Item Purchases'!$B$4:$B$30,0))="","Uncategorised",INDEX('Item Purchases'!$AM$4:$AM$30,MATCH(E667,'Item Purchases'!$B$4:$B$30,0))),"Uncategorised"))</f>
        <v>Beverages</v>
      </c>
      <c r="AH667" s="165">
        <f>IF(AND(E667&lt;&gt;"",L667=1),COUNTIFS($E$2:E667,E667,$L$2:L667,1),0)</f>
        <v>22</v>
      </c>
      <c r="AI667" s="165">
        <f t="shared" si="88"/>
        <v>12</v>
      </c>
      <c r="AJ667" s="165">
        <f t="shared" si="89"/>
        <v>1</v>
      </c>
    </row>
    <row r="668" spans="1:36" x14ac:dyDescent="0.25">
      <c r="A668" s="177">
        <f t="shared" si="90"/>
        <v>46295</v>
      </c>
      <c r="B668" s="178" t="str">
        <f t="shared" si="84"/>
        <v>Wed</v>
      </c>
      <c r="C668" s="178" t="str">
        <f>'Pantry Inventory'!$A$132</f>
        <v>Sep Week 5</v>
      </c>
      <c r="D668" s="178" t="str">
        <f>IF('Pantry Inventory'!A153="","",'Pantry Inventory'!A153)</f>
        <v>Coca Cola</v>
      </c>
      <c r="E668" s="178" t="str">
        <f>IF('Pantry Inventory'!B153="","",'Pantry Inventory'!B153)</f>
        <v>Ayataka Tea 300ml</v>
      </c>
      <c r="F668" s="178" t="str">
        <f>IF(E668="","",IFERROR(IF(INDEX('Item Purchases'!$S$4:$S$30,MATCH(E668,'Item Purchases'!$B$4:$B$30,0))="","Uncategorised",INDEX('Item Purchases'!$S$4:$S$30,MATCH(E668,'Item Purchases'!$B$4:$B$30,0))),"Uncategorised"))</f>
        <v>Tea</v>
      </c>
      <c r="G668" s="178">
        <f>IF(E668="",0,'Pantry Inventory'!P153)</f>
        <v>36</v>
      </c>
      <c r="H668" s="178">
        <f>IF(E668="","",IF('Pantry Inventory'!Q153="","",'Pantry Inventory'!Q153))</f>
        <v>37</v>
      </c>
      <c r="I668" s="178">
        <f>IF(H668="","",'Pantry Inventory'!R153)</f>
        <v>35</v>
      </c>
      <c r="J668" s="179">
        <f>IF(E668="",0,IFERROR(INDEX('Item Purchases'!$Q$4:$Q$30,MATCH(E668,'Item Purchases'!$B$4:$B$30,0)),0))</f>
        <v>1.75</v>
      </c>
      <c r="K668" s="180">
        <f t="shared" si="85"/>
        <v>61.25</v>
      </c>
      <c r="L668" s="178">
        <f t="shared" si="86"/>
        <v>1</v>
      </c>
      <c r="M668" s="178">
        <f>IF(E668="",0,IF(AND(OR(OR(Dashboard!$E$5="All",Dashboard!$E$5=""),AG668=Dashboard!$E$5),OR(OR(Dashboard!$H$5="All",Dashboard!$H$5=""),F668=Dashboard!$H$5),OR(OR(Dashboard!$B$5="All",Dashboard!$B$5=""),C668=Dashboard!$B$5),OR(OR(Dashboard!$K$5="All",Dashboard!$K$5=""),A668=Dashboard!$K$5),OR(OR(Dashboard!$N$5="All",Dashboard!$N$5=""),B668=Dashboard!$N$5),OR(OR(Dashboard!$Q$5="All",Dashboard!$Q$5=""),D668=Dashboard!$Q$5),OR(OR(Dashboard!$U$5="All",Dashboard!$U$5=""),E668=Dashboard!$U$5)),1,0))</f>
        <v>1</v>
      </c>
      <c r="N668" s="178">
        <f>IF(E668="",0,IF(AND(OR(OR(Dashboard!$E$5="All",Dashboard!$E$5=""),AG668=Dashboard!$E$5),OR(OR(Dashboard!$B$5="All",Dashboard!$B$5=""),C668=Dashboard!$B$5),OR(OR(Dashboard!$K$5="All",Dashboard!$K$5=""),A668=Dashboard!$K$5),OR(OR(Dashboard!$N$5="All",Dashboard!$N$5=""),B668=Dashboard!$N$5),OR(OR(Dashboard!$Q$5="All",Dashboard!$Q$5=""),D668=Dashboard!$Q$5),OR(OR(Dashboard!$U$5="All",Dashboard!$U$5=""),E668=Dashboard!$U$5)),1,0))</f>
        <v>1</v>
      </c>
      <c r="O668" s="165">
        <f t="shared" si="87"/>
        <v>1225</v>
      </c>
      <c r="AG668" s="178" t="str">
        <f>IF(E668="","",IFERROR(IF(INDEX('Item Purchases'!$AM$4:$AM$30,MATCH(E668,'Item Purchases'!$B$4:$B$30,0))="","Uncategorised",INDEX('Item Purchases'!$AM$4:$AM$30,MATCH(E668,'Item Purchases'!$B$4:$B$30,0))),"Uncategorised"))</f>
        <v>Beverages</v>
      </c>
      <c r="AH668" s="165">
        <f>IF(AND(E668&lt;&gt;"",L668=1),COUNTIFS($E$2:E668,E668,$L$2:L668,1),0)</f>
        <v>22</v>
      </c>
      <c r="AI668" s="165">
        <f t="shared" si="88"/>
        <v>35</v>
      </c>
      <c r="AJ668" s="165">
        <f t="shared" si="89"/>
        <v>1</v>
      </c>
    </row>
    <row r="669" spans="1:36" x14ac:dyDescent="0.25">
      <c r="A669" s="177">
        <f t="shared" si="90"/>
        <v>46295</v>
      </c>
      <c r="B669" s="178" t="str">
        <f t="shared" si="84"/>
        <v>Wed</v>
      </c>
      <c r="C669" s="178" t="str">
        <f>'Pantry Inventory'!$A$132</f>
        <v>Sep Week 5</v>
      </c>
      <c r="D669" s="178" t="str">
        <f>IF('Pantry Inventory'!A154="","",'Pantry Inventory'!A154)</f>
        <v>Coca Cola</v>
      </c>
      <c r="E669" s="178" t="str">
        <f>IF('Pantry Inventory'!B154="","",'Pantry Inventory'!B154)</f>
        <v>Oolong Tea 300ml</v>
      </c>
      <c r="F669" s="178" t="str">
        <f>IF(E669="","",IFERROR(IF(INDEX('Item Purchases'!$S$4:$S$30,MATCH(E669,'Item Purchases'!$B$4:$B$30,0))="","Uncategorised",INDEX('Item Purchases'!$S$4:$S$30,MATCH(E669,'Item Purchases'!$B$4:$B$30,0))),"Uncategorised"))</f>
        <v>Tea</v>
      </c>
      <c r="G669" s="178">
        <f>IF(E669="",0,'Pantry Inventory'!P154)</f>
        <v>24</v>
      </c>
      <c r="H669" s="178">
        <f>IF(E669="","",IF('Pantry Inventory'!Q154="","",'Pantry Inventory'!Q154))</f>
        <v>53</v>
      </c>
      <c r="I669" s="178">
        <f>IF(H669="","",'Pantry Inventory'!R154)</f>
        <v>22</v>
      </c>
      <c r="J669" s="179">
        <f>IF(E669="",0,IFERROR(INDEX('Item Purchases'!$Q$4:$Q$30,MATCH(E669,'Item Purchases'!$B$4:$B$30,0)),0))</f>
        <v>1.75</v>
      </c>
      <c r="K669" s="180">
        <f t="shared" si="85"/>
        <v>38.5</v>
      </c>
      <c r="L669" s="178">
        <f t="shared" si="86"/>
        <v>1</v>
      </c>
      <c r="M669" s="178">
        <f>IF(E669="",0,IF(AND(OR(OR(Dashboard!$E$5="All",Dashboard!$E$5=""),AG669=Dashboard!$E$5),OR(OR(Dashboard!$H$5="All",Dashboard!$H$5=""),F669=Dashboard!$H$5),OR(OR(Dashboard!$B$5="All",Dashboard!$B$5=""),C669=Dashboard!$B$5),OR(OR(Dashboard!$K$5="All",Dashboard!$K$5=""),A669=Dashboard!$K$5),OR(OR(Dashboard!$N$5="All",Dashboard!$N$5=""),B669=Dashboard!$N$5),OR(OR(Dashboard!$Q$5="All",Dashboard!$Q$5=""),D669=Dashboard!$Q$5),OR(OR(Dashboard!$U$5="All",Dashboard!$U$5=""),E669=Dashboard!$U$5)),1,0))</f>
        <v>1</v>
      </c>
      <c r="N669" s="178">
        <f>IF(E669="",0,IF(AND(OR(OR(Dashboard!$E$5="All",Dashboard!$E$5=""),AG669=Dashboard!$E$5),OR(OR(Dashboard!$B$5="All",Dashboard!$B$5=""),C669=Dashboard!$B$5),OR(OR(Dashboard!$K$5="All",Dashboard!$K$5=""),A669=Dashboard!$K$5),OR(OR(Dashboard!$N$5="All",Dashboard!$N$5=""),B669=Dashboard!$N$5),OR(OR(Dashboard!$Q$5="All",Dashboard!$Q$5=""),D669=Dashboard!$Q$5),OR(OR(Dashboard!$U$5="All",Dashboard!$U$5=""),E669=Dashboard!$U$5)),1,0))</f>
        <v>1</v>
      </c>
      <c r="O669" s="165">
        <f t="shared" si="87"/>
        <v>484</v>
      </c>
      <c r="AG669" s="178" t="str">
        <f>IF(E669="","",IFERROR(IF(INDEX('Item Purchases'!$AM$4:$AM$30,MATCH(E669,'Item Purchases'!$B$4:$B$30,0))="","Uncategorised",INDEX('Item Purchases'!$AM$4:$AM$30,MATCH(E669,'Item Purchases'!$B$4:$B$30,0))),"Uncategorised"))</f>
        <v>Beverages</v>
      </c>
      <c r="AH669" s="165">
        <f>IF(AND(E669&lt;&gt;"",L669=1),COUNTIFS($E$2:E669,E669,$L$2:L669,1),0)</f>
        <v>22</v>
      </c>
      <c r="AI669" s="165">
        <f t="shared" si="88"/>
        <v>22</v>
      </c>
      <c r="AJ669" s="165">
        <f t="shared" si="89"/>
        <v>1</v>
      </c>
    </row>
    <row r="670" spans="1:36" x14ac:dyDescent="0.25">
      <c r="A670" s="177">
        <f t="shared" si="90"/>
        <v>46295</v>
      </c>
      <c r="B670" s="178" t="str">
        <f t="shared" si="84"/>
        <v>Wed</v>
      </c>
      <c r="C670" s="178" t="str">
        <f>'Pantry Inventory'!$A$132</f>
        <v>Sep Week 5</v>
      </c>
      <c r="D670" s="178" t="str">
        <f>IF('Pantry Inventory'!A155="","",'Pantry Inventory'!A155)</f>
        <v>Vsoy</v>
      </c>
      <c r="E670" s="178" t="str">
        <f>IF('Pantry Inventory'!B155="","",'Pantry Inventory'!B155)</f>
        <v>Vsoy Soya Bean  250ml</v>
      </c>
      <c r="F670" s="178" t="str">
        <f>IF(E670="","",IFERROR(IF(INDEX('Item Purchases'!$S$4:$S$30,MATCH(E670,'Item Purchases'!$B$4:$B$30,0))="","Uncategorised",INDEX('Item Purchases'!$S$4:$S$30,MATCH(E670,'Item Purchases'!$B$4:$B$30,0))),"Uncategorised"))</f>
        <v>Other</v>
      </c>
      <c r="G670" s="178">
        <f>IF(E670="",0,'Pantry Inventory'!P155)</f>
        <v>0</v>
      </c>
      <c r="H670" s="178">
        <f>IF(E670="","",IF('Pantry Inventory'!Q155="","",'Pantry Inventory'!Q155))</f>
        <v>27</v>
      </c>
      <c r="I670" s="178">
        <f>IF(H670="","",'Pantry Inventory'!R155)</f>
        <v>21</v>
      </c>
      <c r="J670" s="179">
        <f>IF(E670="",0,IFERROR(INDEX('Item Purchases'!$Q$4:$Q$30,MATCH(E670,'Item Purchases'!$B$4:$B$30,0)),0))</f>
        <v>1.25</v>
      </c>
      <c r="K670" s="180">
        <f t="shared" si="85"/>
        <v>26.25</v>
      </c>
      <c r="L670" s="178">
        <f t="shared" si="86"/>
        <v>1</v>
      </c>
      <c r="M670" s="178">
        <f>IF(E670="",0,IF(AND(OR(OR(Dashboard!$E$5="All",Dashboard!$E$5=""),AG670=Dashboard!$E$5),OR(OR(Dashboard!$H$5="All",Dashboard!$H$5=""),F670=Dashboard!$H$5),OR(OR(Dashboard!$B$5="All",Dashboard!$B$5=""),C670=Dashboard!$B$5),OR(OR(Dashboard!$K$5="All",Dashboard!$K$5=""),A670=Dashboard!$K$5),OR(OR(Dashboard!$N$5="All",Dashboard!$N$5=""),B670=Dashboard!$N$5),OR(OR(Dashboard!$Q$5="All",Dashboard!$Q$5=""),D670=Dashboard!$Q$5),OR(OR(Dashboard!$U$5="All",Dashboard!$U$5=""),E670=Dashboard!$U$5)),1,0))</f>
        <v>1</v>
      </c>
      <c r="N670" s="178">
        <f>IF(E670="",0,IF(AND(OR(OR(Dashboard!$E$5="All",Dashboard!$E$5=""),AG670=Dashboard!$E$5),OR(OR(Dashboard!$B$5="All",Dashboard!$B$5=""),C670=Dashboard!$B$5),OR(OR(Dashboard!$K$5="All",Dashboard!$K$5=""),A670=Dashboard!$K$5),OR(OR(Dashboard!$N$5="All",Dashboard!$N$5=""),B670=Dashboard!$N$5),OR(OR(Dashboard!$Q$5="All",Dashboard!$Q$5=""),D670=Dashboard!$Q$5),OR(OR(Dashboard!$U$5="All",Dashboard!$U$5=""),E670=Dashboard!$U$5)),1,0))</f>
        <v>1</v>
      </c>
      <c r="O670" s="165">
        <f t="shared" si="87"/>
        <v>441</v>
      </c>
      <c r="AG670" s="178" t="str">
        <f>IF(E670="","",IFERROR(IF(INDEX('Item Purchases'!$AM$4:$AM$30,MATCH(E670,'Item Purchases'!$B$4:$B$30,0))="","Uncategorised",INDEX('Item Purchases'!$AM$4:$AM$30,MATCH(E670,'Item Purchases'!$B$4:$B$30,0))),"Uncategorised"))</f>
        <v>Beverages</v>
      </c>
      <c r="AH670" s="165">
        <f>IF(AND(E670&lt;&gt;"",L670=1),COUNTIFS($E$2:E670,E670,$L$2:L670,1),0)</f>
        <v>22</v>
      </c>
      <c r="AI670" s="165">
        <f t="shared" si="88"/>
        <v>21</v>
      </c>
      <c r="AJ670" s="165">
        <f t="shared" si="89"/>
        <v>1</v>
      </c>
    </row>
    <row r="671" spans="1:36" x14ac:dyDescent="0.25">
      <c r="A671" s="177">
        <f t="shared" si="90"/>
        <v>46295</v>
      </c>
      <c r="B671" s="178" t="str">
        <f t="shared" si="84"/>
        <v>Wed</v>
      </c>
      <c r="C671" s="178" t="str">
        <f>'Pantry Inventory'!$A$132</f>
        <v>Sep Week 5</v>
      </c>
      <c r="D671" s="178" t="str">
        <f>IF('Pantry Inventory'!A156="","",'Pantry Inventory'!A156)</f>
        <v>BingRae</v>
      </c>
      <c r="E671" s="178" t="str">
        <f>IF('Pantry Inventory'!B156="","",'Pantry Inventory'!B156)</f>
        <v>BingRae Banana Milk 200ml</v>
      </c>
      <c r="F671" s="178" t="str">
        <f>IF(E671="","",IFERROR(IF(INDEX('Item Purchases'!$S$4:$S$30,MATCH(E671,'Item Purchases'!$B$4:$B$30,0))="","Uncategorised",INDEX('Item Purchases'!$S$4:$S$30,MATCH(E671,'Item Purchases'!$B$4:$B$30,0))),"Uncategorised"))</f>
        <v>Other</v>
      </c>
      <c r="G671" s="178">
        <f>IF(E671="",0,'Pantry Inventory'!P156)</f>
        <v>0</v>
      </c>
      <c r="H671" s="178">
        <f>IF(E671="","",IF('Pantry Inventory'!Q156="","",'Pantry Inventory'!Q156))</f>
        <v>44</v>
      </c>
      <c r="I671" s="178">
        <f>IF(H671="","",'Pantry Inventory'!R156)</f>
        <v>20</v>
      </c>
      <c r="J671" s="179">
        <f>IF(E671="",0,IFERROR(INDEX('Item Purchases'!$Q$4:$Q$30,MATCH(E671,'Item Purchases'!$B$4:$B$30,0)),0))</f>
        <v>3.3159999999999998</v>
      </c>
      <c r="K671" s="180">
        <f t="shared" si="85"/>
        <v>66.319999999999993</v>
      </c>
      <c r="L671" s="178">
        <f t="shared" si="86"/>
        <v>1</v>
      </c>
      <c r="M671" s="178">
        <f>IF(E671="",0,IF(AND(OR(OR(Dashboard!$E$5="All",Dashboard!$E$5=""),AG671=Dashboard!$E$5),OR(OR(Dashboard!$H$5="All",Dashboard!$H$5=""),F671=Dashboard!$H$5),OR(OR(Dashboard!$B$5="All",Dashboard!$B$5=""),C671=Dashboard!$B$5),OR(OR(Dashboard!$K$5="All",Dashboard!$K$5=""),A671=Dashboard!$K$5),OR(OR(Dashboard!$N$5="All",Dashboard!$N$5=""),B671=Dashboard!$N$5),OR(OR(Dashboard!$Q$5="All",Dashboard!$Q$5=""),D671=Dashboard!$Q$5),OR(OR(Dashboard!$U$5="All",Dashboard!$U$5=""),E671=Dashboard!$U$5)),1,0))</f>
        <v>1</v>
      </c>
      <c r="N671" s="178">
        <f>IF(E671="",0,IF(AND(OR(OR(Dashboard!$E$5="All",Dashboard!$E$5=""),AG671=Dashboard!$E$5),OR(OR(Dashboard!$B$5="All",Dashboard!$B$5=""),C671=Dashboard!$B$5),OR(OR(Dashboard!$K$5="All",Dashboard!$K$5=""),A671=Dashboard!$K$5),OR(OR(Dashboard!$N$5="All",Dashboard!$N$5=""),B671=Dashboard!$N$5),OR(OR(Dashboard!$Q$5="All",Dashboard!$Q$5=""),D671=Dashboard!$Q$5),OR(OR(Dashboard!$U$5="All",Dashboard!$U$5=""),E671=Dashboard!$U$5)),1,0))</f>
        <v>1</v>
      </c>
      <c r="O671" s="165">
        <f t="shared" si="87"/>
        <v>400</v>
      </c>
      <c r="AG671" s="178" t="str">
        <f>IF(E671="","",IFERROR(IF(INDEX('Item Purchases'!$AM$4:$AM$30,MATCH(E671,'Item Purchases'!$B$4:$B$30,0))="","Uncategorised",INDEX('Item Purchases'!$AM$4:$AM$30,MATCH(E671,'Item Purchases'!$B$4:$B$30,0))),"Uncategorised"))</f>
        <v>Beverages</v>
      </c>
      <c r="AH671" s="165">
        <f>IF(AND(E671&lt;&gt;"",L671=1),COUNTIFS($E$2:E671,E671,$L$2:L671,1),0)</f>
        <v>22</v>
      </c>
      <c r="AI671" s="165">
        <f t="shared" si="88"/>
        <v>20</v>
      </c>
      <c r="AJ671" s="165">
        <f t="shared" si="89"/>
        <v>1</v>
      </c>
    </row>
    <row r="672" spans="1:36" x14ac:dyDescent="0.25">
      <c r="A672" s="177">
        <f t="shared" si="90"/>
        <v>46295</v>
      </c>
      <c r="B672" s="178" t="str">
        <f t="shared" si="84"/>
        <v>Wed</v>
      </c>
      <c r="C672" s="178" t="str">
        <f>'Pantry Inventory'!$A$132</f>
        <v>Sep Week 5</v>
      </c>
      <c r="D672" s="178" t="str">
        <f>IF('Pantry Inventory'!A157="","",'Pantry Inventory'!A157)</f>
        <v>Fuze Tea</v>
      </c>
      <c r="E672" s="178" t="str">
        <f>IF('Pantry Inventory'!B157="","",'Pantry Inventory'!B157)</f>
        <v>Fuze Tea by Heaven and Earth Jasmine Tea</v>
      </c>
      <c r="F672" s="178" t="str">
        <f>IF(E672="","",IFERROR(IF(INDEX('Item Purchases'!$S$4:$S$30,MATCH(E672,'Item Purchases'!$B$4:$B$30,0))="","Uncategorised",INDEX('Item Purchases'!$S$4:$S$30,MATCH(E672,'Item Purchases'!$B$4:$B$30,0))),"Uncategorised"))</f>
        <v>Tea</v>
      </c>
      <c r="G672" s="178">
        <f>IF(E672="",0,'Pantry Inventory'!P157)</f>
        <v>0</v>
      </c>
      <c r="H672" s="178">
        <f>IF(E672="","",IF('Pantry Inventory'!Q157="","",'Pantry Inventory'!Q157))</f>
        <v>0</v>
      </c>
      <c r="I672" s="178">
        <f>IF(H672="","",'Pantry Inventory'!R157)</f>
        <v>0</v>
      </c>
      <c r="J672" s="179">
        <f>IF(E672="",0,IFERROR(INDEX('Item Purchases'!$Q$4:$Q$30,MATCH(E672,'Item Purchases'!$B$4:$B$30,0)),0))</f>
        <v>1.167</v>
      </c>
      <c r="K672" s="180">
        <f t="shared" si="85"/>
        <v>0</v>
      </c>
      <c r="L672" s="178">
        <f t="shared" si="86"/>
        <v>1</v>
      </c>
      <c r="M672" s="178">
        <f>IF(E672="",0,IF(AND(OR(OR(Dashboard!$E$5="All",Dashboard!$E$5=""),AG672=Dashboard!$E$5),OR(OR(Dashboard!$H$5="All",Dashboard!$H$5=""),F672=Dashboard!$H$5),OR(OR(Dashboard!$B$5="All",Dashboard!$B$5=""),C672=Dashboard!$B$5),OR(OR(Dashboard!$K$5="All",Dashboard!$K$5=""),A672=Dashboard!$K$5),OR(OR(Dashboard!$N$5="All",Dashboard!$N$5=""),B672=Dashboard!$N$5),OR(OR(Dashboard!$Q$5="All",Dashboard!$Q$5=""),D672=Dashboard!$Q$5),OR(OR(Dashboard!$U$5="All",Dashboard!$U$5=""),E672=Dashboard!$U$5)),1,0))</f>
        <v>1</v>
      </c>
      <c r="N672" s="178">
        <f>IF(E672="",0,IF(AND(OR(OR(Dashboard!$E$5="All",Dashboard!$E$5=""),AG672=Dashboard!$E$5),OR(OR(Dashboard!$B$5="All",Dashboard!$B$5=""),C672=Dashboard!$B$5),OR(OR(Dashboard!$K$5="All",Dashboard!$K$5=""),A672=Dashboard!$K$5),OR(OR(Dashboard!$N$5="All",Dashboard!$N$5=""),B672=Dashboard!$N$5),OR(OR(Dashboard!$Q$5="All",Dashboard!$Q$5=""),D672=Dashboard!$Q$5),OR(OR(Dashboard!$U$5="All",Dashboard!$U$5=""),E672=Dashboard!$U$5)),1,0))</f>
        <v>1</v>
      </c>
      <c r="O672" s="165">
        <f t="shared" si="87"/>
        <v>0</v>
      </c>
      <c r="AG672" s="178" t="str">
        <f>IF(E672="","",IFERROR(IF(INDEX('Item Purchases'!$AM$4:$AM$30,MATCH(E672,'Item Purchases'!$B$4:$B$30,0))="","Uncategorised",INDEX('Item Purchases'!$AM$4:$AM$30,MATCH(E672,'Item Purchases'!$B$4:$B$30,0))),"Uncategorised"))</f>
        <v>Beverages</v>
      </c>
      <c r="AH672" s="165">
        <f>IF(AND(E672&lt;&gt;"",L672=1),COUNTIFS($E$2:E672,E672,$L$2:L672,1),0)</f>
        <v>22</v>
      </c>
      <c r="AI672" s="165">
        <f t="shared" si="88"/>
        <v>0</v>
      </c>
      <c r="AJ672" s="165">
        <f t="shared" si="89"/>
        <v>0</v>
      </c>
    </row>
    <row r="673" spans="1:36" x14ac:dyDescent="0.25">
      <c r="A673" s="177">
        <f t="shared" si="90"/>
        <v>46295</v>
      </c>
      <c r="B673" s="178" t="str">
        <f t="shared" si="84"/>
        <v>Wed</v>
      </c>
      <c r="C673" s="178" t="str">
        <f>'Pantry Inventory'!$A$132</f>
        <v>Sep Week 5</v>
      </c>
      <c r="D673" s="178" t="str">
        <f>IF('Pantry Inventory'!A158="","",'Pantry Inventory'!A158)</f>
        <v>F&amp;N</v>
      </c>
      <c r="E673" s="178" t="str">
        <f>IF('Pantry Inventory'!B158="","",'Pantry Inventory'!B158)</f>
        <v>FN 100 plus (original) 325ml</v>
      </c>
      <c r="F673" s="178" t="str">
        <f>IF(E673="","",IFERROR(IF(INDEX('Item Purchases'!$S$4:$S$30,MATCH(E673,'Item Purchases'!$B$4:$B$30,0))="","Uncategorised",INDEX('Item Purchases'!$S$4:$S$30,MATCH(E673,'Item Purchases'!$B$4:$B$30,0))),"Uncategorised"))</f>
        <v>Other</v>
      </c>
      <c r="G673" s="178">
        <f>IF(E673="",0,'Pantry Inventory'!P158)</f>
        <v>0</v>
      </c>
      <c r="H673" s="178">
        <f>IF(E673="","",IF('Pantry Inventory'!Q158="","",'Pantry Inventory'!Q158))</f>
        <v>56</v>
      </c>
      <c r="I673" s="178">
        <f>IF(H673="","",'Pantry Inventory'!R158)</f>
        <v>8</v>
      </c>
      <c r="J673" s="179">
        <f>IF(E673="",0,IFERROR(INDEX('Item Purchases'!$Q$4:$Q$30,MATCH(E673,'Item Purchases'!$B$4:$B$30,0)),0))</f>
        <v>1.58</v>
      </c>
      <c r="K673" s="180">
        <f t="shared" si="85"/>
        <v>12.64</v>
      </c>
      <c r="L673" s="178">
        <f t="shared" si="86"/>
        <v>1</v>
      </c>
      <c r="M673" s="178">
        <f>IF(E673="",0,IF(AND(OR(OR(Dashboard!$E$5="All",Dashboard!$E$5=""),AG673=Dashboard!$E$5),OR(OR(Dashboard!$H$5="All",Dashboard!$H$5=""),F673=Dashboard!$H$5),OR(OR(Dashboard!$B$5="All",Dashboard!$B$5=""),C673=Dashboard!$B$5),OR(OR(Dashboard!$K$5="All",Dashboard!$K$5=""),A673=Dashboard!$K$5),OR(OR(Dashboard!$N$5="All",Dashboard!$N$5=""),B673=Dashboard!$N$5),OR(OR(Dashboard!$Q$5="All",Dashboard!$Q$5=""),D673=Dashboard!$Q$5),OR(OR(Dashboard!$U$5="All",Dashboard!$U$5=""),E673=Dashboard!$U$5)),1,0))</f>
        <v>1</v>
      </c>
      <c r="N673" s="178">
        <f>IF(E673="",0,IF(AND(OR(OR(Dashboard!$E$5="All",Dashboard!$E$5=""),AG673=Dashboard!$E$5),OR(OR(Dashboard!$B$5="All",Dashboard!$B$5=""),C673=Dashboard!$B$5),OR(OR(Dashboard!$K$5="All",Dashboard!$K$5=""),A673=Dashboard!$K$5),OR(OR(Dashboard!$N$5="All",Dashboard!$N$5=""),B673=Dashboard!$N$5),OR(OR(Dashboard!$Q$5="All",Dashboard!$Q$5=""),D673=Dashboard!$Q$5),OR(OR(Dashboard!$U$5="All",Dashboard!$U$5=""),E673=Dashboard!$U$5)),1,0))</f>
        <v>1</v>
      </c>
      <c r="O673" s="165">
        <f t="shared" si="87"/>
        <v>64</v>
      </c>
      <c r="AG673" s="178" t="str">
        <f>IF(E673="","",IFERROR(IF(INDEX('Item Purchases'!$AM$4:$AM$30,MATCH(E673,'Item Purchases'!$B$4:$B$30,0))="","Uncategorised",INDEX('Item Purchases'!$AM$4:$AM$30,MATCH(E673,'Item Purchases'!$B$4:$B$30,0))),"Uncategorised"))</f>
        <v>Beverages</v>
      </c>
      <c r="AH673" s="165">
        <f>IF(AND(E673&lt;&gt;"",L673=1),COUNTIFS($E$2:E673,E673,$L$2:L673,1),0)</f>
        <v>22</v>
      </c>
      <c r="AI673" s="165">
        <f t="shared" si="88"/>
        <v>8</v>
      </c>
      <c r="AJ673" s="165">
        <f t="shared" si="89"/>
        <v>1</v>
      </c>
    </row>
    <row r="674" spans="1:36" x14ac:dyDescent="0.25">
      <c r="A674" s="177">
        <f t="shared" si="90"/>
        <v>46295</v>
      </c>
      <c r="B674" s="178" t="str">
        <f t="shared" si="84"/>
        <v>Wed</v>
      </c>
      <c r="C674" s="178" t="str">
        <f>'Pantry Inventory'!$A$132</f>
        <v>Sep Week 5</v>
      </c>
      <c r="D674" s="178" t="str">
        <f>IF('Pantry Inventory'!A159="","",'Pantry Inventory'!A159)</f>
        <v>Spritzer</v>
      </c>
      <c r="E674" s="178" t="str">
        <f>IF('Pantry Inventory'!B159="","",'Pantry Inventory'!B159)</f>
        <v>Spritzer sparkling water (original) 400ml</v>
      </c>
      <c r="F674" s="178" t="str">
        <f>IF(E674="","",IFERROR(IF(INDEX('Item Purchases'!$S$4:$S$30,MATCH(E674,'Item Purchases'!$B$4:$B$30,0))="","Uncategorised",INDEX('Item Purchases'!$S$4:$S$30,MATCH(E674,'Item Purchases'!$B$4:$B$30,0))),"Uncategorised"))</f>
        <v>Other</v>
      </c>
      <c r="G674" s="178">
        <f>IF(E674="",0,'Pantry Inventory'!P159)</f>
        <v>24</v>
      </c>
      <c r="H674" s="178">
        <f>IF(E674="","",IF('Pantry Inventory'!Q159="","",'Pantry Inventory'!Q159))</f>
        <v>48</v>
      </c>
      <c r="I674" s="178">
        <f>IF(H674="","",'Pantry Inventory'!R159)</f>
        <v>0</v>
      </c>
      <c r="J674" s="179">
        <f>IF(E674="",0,IFERROR(INDEX('Item Purchases'!$Q$4:$Q$30,MATCH(E674,'Item Purchases'!$B$4:$B$30,0)),0))</f>
        <v>1.616666666666666</v>
      </c>
      <c r="K674" s="180">
        <f t="shared" si="85"/>
        <v>0</v>
      </c>
      <c r="L674" s="178">
        <f t="shared" si="86"/>
        <v>1</v>
      </c>
      <c r="M674" s="178">
        <f>IF(E674="",0,IF(AND(OR(OR(Dashboard!$E$5="All",Dashboard!$E$5=""),AG674=Dashboard!$E$5),OR(OR(Dashboard!$H$5="All",Dashboard!$H$5=""),F674=Dashboard!$H$5),OR(OR(Dashboard!$B$5="All",Dashboard!$B$5=""),C674=Dashboard!$B$5),OR(OR(Dashboard!$K$5="All",Dashboard!$K$5=""),A674=Dashboard!$K$5),OR(OR(Dashboard!$N$5="All",Dashboard!$N$5=""),B674=Dashboard!$N$5),OR(OR(Dashboard!$Q$5="All",Dashboard!$Q$5=""),D674=Dashboard!$Q$5),OR(OR(Dashboard!$U$5="All",Dashboard!$U$5=""),E674=Dashboard!$U$5)),1,0))</f>
        <v>1</v>
      </c>
      <c r="N674" s="178">
        <f>IF(E674="",0,IF(AND(OR(OR(Dashboard!$E$5="All",Dashboard!$E$5=""),AG674=Dashboard!$E$5),OR(OR(Dashboard!$B$5="All",Dashboard!$B$5=""),C674=Dashboard!$B$5),OR(OR(Dashboard!$K$5="All",Dashboard!$K$5=""),A674=Dashboard!$K$5),OR(OR(Dashboard!$N$5="All",Dashboard!$N$5=""),B674=Dashboard!$N$5),OR(OR(Dashboard!$Q$5="All",Dashboard!$Q$5=""),D674=Dashboard!$Q$5),OR(OR(Dashboard!$U$5="All",Dashboard!$U$5=""),E674=Dashboard!$U$5)),1,0))</f>
        <v>1</v>
      </c>
      <c r="O674" s="165">
        <f t="shared" si="87"/>
        <v>0</v>
      </c>
      <c r="AG674" s="178" t="str">
        <f>IF(E674="","",IFERROR(IF(INDEX('Item Purchases'!$AM$4:$AM$30,MATCH(E674,'Item Purchases'!$B$4:$B$30,0))="","Uncategorised",INDEX('Item Purchases'!$AM$4:$AM$30,MATCH(E674,'Item Purchases'!$B$4:$B$30,0))),"Uncategorised"))</f>
        <v>Beverages</v>
      </c>
      <c r="AH674" s="165">
        <f>IF(AND(E674&lt;&gt;"",L674=1),COUNTIFS($E$2:E674,E674,$L$2:L674,1),0)</f>
        <v>22</v>
      </c>
      <c r="AI674" s="165">
        <f t="shared" si="88"/>
        <v>0</v>
      </c>
      <c r="AJ674" s="165">
        <f t="shared" si="89"/>
        <v>1</v>
      </c>
    </row>
    <row r="675" spans="1:36" x14ac:dyDescent="0.25">
      <c r="A675" s="177">
        <f t="shared" si="90"/>
        <v>46295</v>
      </c>
      <c r="B675" s="178" t="str">
        <f t="shared" si="84"/>
        <v>Wed</v>
      </c>
      <c r="C675" s="178" t="str">
        <f>'Pantry Inventory'!$A$132</f>
        <v>Sep Week 5</v>
      </c>
      <c r="D675" s="178" t="str">
        <f>IF('Pantry Inventory'!A160="","",'Pantry Inventory'!A160)</f>
        <v>Oat Side</v>
      </c>
      <c r="E675" s="178" t="str">
        <f>IF('Pantry Inventory'!B160="","",'Pantry Inventory'!B160)</f>
        <v>Oat Side Original 200ml</v>
      </c>
      <c r="F675" s="178" t="str">
        <f>IF(E675="","",IFERROR(IF(INDEX('Item Purchases'!$S$4:$S$30,MATCH(E675,'Item Purchases'!$B$4:$B$30,0))="","Uncategorised",INDEX('Item Purchases'!$S$4:$S$30,MATCH(E675,'Item Purchases'!$B$4:$B$30,0))),"Uncategorised"))</f>
        <v>Other</v>
      </c>
      <c r="G675" s="178">
        <f>IF(E675="",0,'Pantry Inventory'!P160)</f>
        <v>0</v>
      </c>
      <c r="H675" s="178">
        <f>IF(E675="","",IF('Pantry Inventory'!Q160="","",'Pantry Inventory'!Q160))</f>
        <v>63</v>
      </c>
      <c r="I675" s="178">
        <f>IF(H675="","",'Pantry Inventory'!R160)</f>
        <v>12</v>
      </c>
      <c r="J675" s="179">
        <f>IF(E675="",0,IFERROR(INDEX('Item Purchases'!$Q$4:$Q$30,MATCH(E675,'Item Purchases'!$B$4:$B$30,0)),0))</f>
        <v>3</v>
      </c>
      <c r="K675" s="180">
        <f t="shared" si="85"/>
        <v>36</v>
      </c>
      <c r="L675" s="178">
        <f t="shared" si="86"/>
        <v>1</v>
      </c>
      <c r="M675" s="178">
        <f>IF(E675="",0,IF(AND(OR(OR(Dashboard!$E$5="All",Dashboard!$E$5=""),AG675=Dashboard!$E$5),OR(OR(Dashboard!$H$5="All",Dashboard!$H$5=""),F675=Dashboard!$H$5),OR(OR(Dashboard!$B$5="All",Dashboard!$B$5=""),C675=Dashboard!$B$5),OR(OR(Dashboard!$K$5="All",Dashboard!$K$5=""),A675=Dashboard!$K$5),OR(OR(Dashboard!$N$5="All",Dashboard!$N$5=""),B675=Dashboard!$N$5),OR(OR(Dashboard!$Q$5="All",Dashboard!$Q$5=""),D675=Dashboard!$Q$5),OR(OR(Dashboard!$U$5="All",Dashboard!$U$5=""),E675=Dashboard!$U$5)),1,0))</f>
        <v>1</v>
      </c>
      <c r="N675" s="178">
        <f>IF(E675="",0,IF(AND(OR(OR(Dashboard!$E$5="All",Dashboard!$E$5=""),AG675=Dashboard!$E$5),OR(OR(Dashboard!$B$5="All",Dashboard!$B$5=""),C675=Dashboard!$B$5),OR(OR(Dashboard!$K$5="All",Dashboard!$K$5=""),A675=Dashboard!$K$5),OR(OR(Dashboard!$N$5="All",Dashboard!$N$5=""),B675=Dashboard!$N$5),OR(OR(Dashboard!$Q$5="All",Dashboard!$Q$5=""),D675=Dashboard!$Q$5),OR(OR(Dashboard!$U$5="All",Dashboard!$U$5=""),E675=Dashboard!$U$5)),1,0))</f>
        <v>1</v>
      </c>
      <c r="O675" s="165">
        <f t="shared" si="87"/>
        <v>144</v>
      </c>
      <c r="AG675" s="178" t="str">
        <f>IF(E675="","",IFERROR(IF(INDEX('Item Purchases'!$AM$4:$AM$30,MATCH(E675,'Item Purchases'!$B$4:$B$30,0))="","Uncategorised",INDEX('Item Purchases'!$AM$4:$AM$30,MATCH(E675,'Item Purchases'!$B$4:$B$30,0))),"Uncategorised"))</f>
        <v>Beverages</v>
      </c>
      <c r="AH675" s="165">
        <f>IF(AND(E675&lt;&gt;"",L675=1),COUNTIFS($E$2:E675,E675,$L$2:L675,1),0)</f>
        <v>22</v>
      </c>
      <c r="AI675" s="165">
        <f t="shared" si="88"/>
        <v>12</v>
      </c>
      <c r="AJ675" s="165">
        <f t="shared" si="89"/>
        <v>1</v>
      </c>
    </row>
    <row r="676" spans="1:36" x14ac:dyDescent="0.25">
      <c r="A676" s="177">
        <f t="shared" si="90"/>
        <v>46295</v>
      </c>
      <c r="B676" s="178" t="str">
        <f t="shared" si="84"/>
        <v>Wed</v>
      </c>
      <c r="C676" s="178" t="str">
        <f>'Pantry Inventory'!$A$132</f>
        <v>Sep Week 5</v>
      </c>
      <c r="D676" s="178" t="str">
        <f>IF('Pantry Inventory'!A161="","",'Pantry Inventory'!A161)</f>
        <v>Oat Side</v>
      </c>
      <c r="E676" s="178" t="str">
        <f>IF('Pantry Inventory'!B161="","",'Pantry Inventory'!B161)</f>
        <v>Oat Side Chocolate 200ml</v>
      </c>
      <c r="F676" s="178" t="str">
        <f>IF(E676="","",IFERROR(IF(INDEX('Item Purchases'!$S$4:$S$30,MATCH(E676,'Item Purchases'!$B$4:$B$30,0))="","Uncategorised",INDEX('Item Purchases'!$S$4:$S$30,MATCH(E676,'Item Purchases'!$B$4:$B$30,0))),"Uncategorised"))</f>
        <v>Other</v>
      </c>
      <c r="G676" s="178">
        <f>IF(E676="",0,'Pantry Inventory'!P161)</f>
        <v>0</v>
      </c>
      <c r="H676" s="178">
        <f>IF(E676="","",IF('Pantry Inventory'!Q161="","",'Pantry Inventory'!Q161))</f>
        <v>19</v>
      </c>
      <c r="I676" s="178">
        <f>IF(H676="","",'Pantry Inventory'!R161)</f>
        <v>8</v>
      </c>
      <c r="J676" s="179">
        <f>IF(E676="",0,IFERROR(INDEX('Item Purchases'!$Q$4:$Q$30,MATCH(E676,'Item Purchases'!$B$4:$B$30,0)),0))</f>
        <v>3</v>
      </c>
      <c r="K676" s="180">
        <f t="shared" si="85"/>
        <v>24</v>
      </c>
      <c r="L676" s="178">
        <f t="shared" si="86"/>
        <v>1</v>
      </c>
      <c r="M676" s="178">
        <f>IF(E676="",0,IF(AND(OR(OR(Dashboard!$E$5="All",Dashboard!$E$5=""),AG676=Dashboard!$E$5),OR(OR(Dashboard!$H$5="All",Dashboard!$H$5=""),F676=Dashboard!$H$5),OR(OR(Dashboard!$B$5="All",Dashboard!$B$5=""),C676=Dashboard!$B$5),OR(OR(Dashboard!$K$5="All",Dashboard!$K$5=""),A676=Dashboard!$K$5),OR(OR(Dashboard!$N$5="All",Dashboard!$N$5=""),B676=Dashboard!$N$5),OR(OR(Dashboard!$Q$5="All",Dashboard!$Q$5=""),D676=Dashboard!$Q$5),OR(OR(Dashboard!$U$5="All",Dashboard!$U$5=""),E676=Dashboard!$U$5)),1,0))</f>
        <v>1</v>
      </c>
      <c r="N676" s="178">
        <f>IF(E676="",0,IF(AND(OR(OR(Dashboard!$E$5="All",Dashboard!$E$5=""),AG676=Dashboard!$E$5),OR(OR(Dashboard!$B$5="All",Dashboard!$B$5=""),C676=Dashboard!$B$5),OR(OR(Dashboard!$K$5="All",Dashboard!$K$5=""),A676=Dashboard!$K$5),OR(OR(Dashboard!$N$5="All",Dashboard!$N$5=""),B676=Dashboard!$N$5),OR(OR(Dashboard!$Q$5="All",Dashboard!$Q$5=""),D676=Dashboard!$Q$5),OR(OR(Dashboard!$U$5="All",Dashboard!$U$5=""),E676=Dashboard!$U$5)),1,0))</f>
        <v>1</v>
      </c>
      <c r="O676" s="165">
        <f t="shared" si="87"/>
        <v>64</v>
      </c>
      <c r="AG676" s="178" t="str">
        <f>IF(E676="","",IFERROR(IF(INDEX('Item Purchases'!$AM$4:$AM$30,MATCH(E676,'Item Purchases'!$B$4:$B$30,0))="","Uncategorised",INDEX('Item Purchases'!$AM$4:$AM$30,MATCH(E676,'Item Purchases'!$B$4:$B$30,0))),"Uncategorised"))</f>
        <v>Beverages</v>
      </c>
      <c r="AH676" s="165">
        <f>IF(AND(E676&lt;&gt;"",L676=1),COUNTIFS($E$2:E676,E676,$L$2:L676,1),0)</f>
        <v>22</v>
      </c>
      <c r="AI676" s="165">
        <f t="shared" si="88"/>
        <v>8</v>
      </c>
      <c r="AJ676" s="165">
        <f t="shared" si="89"/>
        <v>1</v>
      </c>
    </row>
  </sheetData>
  <autoFilter ref="A1:N676"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Y65"/>
  <sheetViews>
    <sheetView workbookViewId="0">
      <pane xSplit="3" topLeftCell="L1" activePane="topRight" state="frozen"/>
      <selection pane="topRight" activeCell="Z42" sqref="Z42"/>
    </sheetView>
  </sheetViews>
  <sheetFormatPr defaultRowHeight="15" x14ac:dyDescent="0.25"/>
  <cols>
    <col min="1" max="1" width="10.5703125" customWidth="1"/>
    <col min="2" max="2" width="46.5703125" bestFit="1" customWidth="1"/>
    <col min="3" max="4" width="14" customWidth="1"/>
    <col min="5" max="5" width="12" customWidth="1"/>
    <col min="6" max="6" width="15.140625" customWidth="1"/>
    <col min="7" max="7" width="29.85546875" customWidth="1"/>
    <col min="8" max="8" width="13" customWidth="1"/>
    <col min="9" max="10" width="16.85546875" customWidth="1"/>
    <col min="11" max="11" width="27.5703125" customWidth="1"/>
    <col min="12" max="12" width="25" customWidth="1"/>
    <col min="13" max="13" width="19" bestFit="1" customWidth="1"/>
    <col min="14" max="14" width="15" customWidth="1"/>
    <col min="15" max="15" width="14" customWidth="1"/>
    <col min="16" max="16" width="12" customWidth="1"/>
    <col min="17" max="17" width="11" customWidth="1"/>
    <col min="18" max="18" width="12" customWidth="1"/>
    <col min="19" max="19" width="17" customWidth="1"/>
    <col min="20" max="20" width="16" customWidth="1"/>
    <col min="21" max="24" width="14" customWidth="1"/>
    <col min="25" max="25" width="12" customWidth="1"/>
    <col min="26" max="38" width="14" customWidth="1"/>
    <col min="39" max="39" width="16" customWidth="1"/>
    <col min="40" max="45" width="15" customWidth="1"/>
    <col min="46" max="51" width="13" customWidth="1"/>
  </cols>
  <sheetData>
    <row r="1" spans="1:51" ht="21" customHeight="1" thickBot="1" x14ac:dyDescent="0.4">
      <c r="A1" s="25" t="s">
        <v>228</v>
      </c>
      <c r="G1" s="253" t="s">
        <v>229</v>
      </c>
      <c r="H1" s="314">
        <f>IF($E$47&lt;&gt;"",$E$47,IF(SUMPRODUCT(MAX('Daily Data'!$L$2:$L$1000*'Daily Data'!$A$2:$A$1000))&gt;0,SUMPRODUCT(MAX('Daily Data'!$L$2:$L$1000*'Daily Data'!$A$2:$A$1000)),MIN('Daily Data'!$Z$2:$Z$26)))</f>
        <v>46295</v>
      </c>
      <c r="I1" s="316" t="s">
        <v>230</v>
      </c>
      <c r="J1" s="315">
        <f ca="1">IF($E$48&lt;&gt;"",$E$48,EOMONTH(MAX($H$1,TODAY()),0))</f>
        <v>46326</v>
      </c>
    </row>
    <row r="2" spans="1:51" ht="15.75" thickBot="1" x14ac:dyDescent="0.3">
      <c r="D2" s="404" t="s">
        <v>189</v>
      </c>
      <c r="E2" s="405"/>
      <c r="F2" s="24"/>
      <c r="G2" s="24"/>
      <c r="H2" s="24"/>
      <c r="I2" s="24"/>
      <c r="J2" s="24"/>
      <c r="K2" s="22"/>
      <c r="L2" s="22"/>
      <c r="M2" s="128" t="s">
        <v>231</v>
      </c>
      <c r="N2" s="24"/>
      <c r="S2" s="128" t="s">
        <v>232</v>
      </c>
      <c r="U2" s="181" t="s">
        <v>233</v>
      </c>
      <c r="AM2" s="128"/>
      <c r="AN2" s="128" t="s">
        <v>389</v>
      </c>
      <c r="AU2" s="181" t="s">
        <v>390</v>
      </c>
    </row>
    <row r="3" spans="1:51" ht="48" customHeight="1" thickBot="1" x14ac:dyDescent="0.3">
      <c r="A3" s="290" t="s">
        <v>312</v>
      </c>
      <c r="B3" s="291" t="s">
        <v>311</v>
      </c>
      <c r="C3" s="292" t="s">
        <v>234</v>
      </c>
      <c r="D3" s="309" t="s">
        <v>235</v>
      </c>
      <c r="E3" s="310" t="s">
        <v>236</v>
      </c>
      <c r="F3" s="310" t="s">
        <v>75</v>
      </c>
      <c r="G3" s="310" t="s">
        <v>237</v>
      </c>
      <c r="H3" s="310" t="s">
        <v>238</v>
      </c>
      <c r="I3" s="310" t="s">
        <v>239</v>
      </c>
      <c r="J3" s="310" t="str">
        <f ca="1">"no of days until "&amp;TEXT($J$1,"dd/mm")</f>
        <v>no of days until 31/10</v>
      </c>
      <c r="K3" s="310" t="s">
        <v>240</v>
      </c>
      <c r="L3" s="310" t="s">
        <v>241</v>
      </c>
      <c r="M3" s="311" t="s">
        <v>242</v>
      </c>
      <c r="N3" s="311" t="s">
        <v>243</v>
      </c>
      <c r="O3" s="311" t="s">
        <v>244</v>
      </c>
      <c r="P3" s="311" t="s">
        <v>245</v>
      </c>
      <c r="Q3" s="311" t="s">
        <v>190</v>
      </c>
      <c r="R3" s="311" t="s">
        <v>246</v>
      </c>
      <c r="S3" s="311" t="s">
        <v>247</v>
      </c>
      <c r="T3" s="311" t="s">
        <v>248</v>
      </c>
      <c r="U3" s="312" t="s">
        <v>126</v>
      </c>
      <c r="V3" s="312" t="s">
        <v>249</v>
      </c>
      <c r="W3" s="312" t="s">
        <v>250</v>
      </c>
      <c r="X3" s="312" t="s">
        <v>251</v>
      </c>
      <c r="Y3" s="312" t="s">
        <v>252</v>
      </c>
      <c r="Z3" s="312" t="s">
        <v>253</v>
      </c>
      <c r="AA3" s="312" t="s">
        <v>254</v>
      </c>
      <c r="AB3" s="312" t="s">
        <v>255</v>
      </c>
      <c r="AC3" s="312" t="s">
        <v>256</v>
      </c>
      <c r="AD3" s="312" t="s">
        <v>257</v>
      </c>
      <c r="AE3" s="312" t="s">
        <v>258</v>
      </c>
      <c r="AF3" s="312" t="s">
        <v>259</v>
      </c>
      <c r="AG3" s="312" t="s">
        <v>260</v>
      </c>
      <c r="AH3" s="312" t="s">
        <v>261</v>
      </c>
      <c r="AI3" s="312" t="s">
        <v>262</v>
      </c>
      <c r="AJ3" s="312" t="s">
        <v>263</v>
      </c>
      <c r="AK3" s="312" t="s">
        <v>264</v>
      </c>
      <c r="AL3" s="313" t="s">
        <v>265</v>
      </c>
      <c r="AM3" s="311" t="s">
        <v>391</v>
      </c>
      <c r="AN3" s="311" t="s">
        <v>392</v>
      </c>
      <c r="AO3" s="311" t="s">
        <v>393</v>
      </c>
      <c r="AP3" s="311" t="s">
        <v>394</v>
      </c>
      <c r="AQ3" s="311" t="s">
        <v>395</v>
      </c>
      <c r="AR3" s="311" t="s">
        <v>396</v>
      </c>
      <c r="AS3" s="311" t="s">
        <v>397</v>
      </c>
      <c r="AT3" s="311" t="s">
        <v>398</v>
      </c>
      <c r="AU3" s="312" t="s">
        <v>399</v>
      </c>
      <c r="AV3" s="312" t="s">
        <v>400</v>
      </c>
      <c r="AW3" s="312" t="s">
        <v>401</v>
      </c>
      <c r="AX3" s="312" t="s">
        <v>402</v>
      </c>
      <c r="AY3" s="312" t="s">
        <v>403</v>
      </c>
    </row>
    <row r="4" spans="1:51" x14ac:dyDescent="0.25">
      <c r="A4" s="256">
        <v>12</v>
      </c>
      <c r="B4" s="286" t="s">
        <v>142</v>
      </c>
      <c r="C4" s="229">
        <f>IFERROR(SUMIFS('Daily Data'!$I$2:$I$1000,'Daily Data'!$E$2:$E$1000,$B4)/COUNTIFS('Daily Data'!$E$2:$E$1000,$B4,'Daily Data'!$H$2:$H$1000,"&gt;0"),0)</f>
        <v>8.954545454545455</v>
      </c>
      <c r="D4" s="211">
        <f>'Storehouse Replenishment Schedu'!CR4</f>
        <v>48</v>
      </c>
      <c r="E4" s="293">
        <f>SUMIFS('Daily Data'!$H$2:$H$1000,'Daily Data'!$E$2:$E$1000,$B4,'Daily Data'!$A$2:$A$1000,$V4)+SUMIFS('Daily Data'!$G$2:$G$1000,'Daily Data'!$E$2:$E$1000,$B4,'Daily Data'!$A$2:$A$1000,"&gt;"&amp;$V4)</f>
        <v>36</v>
      </c>
      <c r="F4" s="293">
        <f t="shared" ref="F4:F14" si="0">D4+E4</f>
        <v>84</v>
      </c>
      <c r="G4" s="293">
        <f t="shared" ref="G4:G14" si="1">IF($C4&gt;0,F4/$C4,"")</f>
        <v>9.380710659898476</v>
      </c>
      <c r="H4" s="294">
        <f t="shared" ref="H4:H14" si="2">IF(G4="","",$H$1+G4)</f>
        <v>46304.380710659898</v>
      </c>
      <c r="I4" s="294">
        <f t="shared" ref="I4:I14" si="3">IF(G4="","",WORKDAY($H$1,G4,$B$35:$B$47))</f>
        <v>46308</v>
      </c>
      <c r="J4" s="293">
        <f t="shared" ref="J4:J14" ca="1" si="4">IF(I4="",0,MAX(0,NETWORKDAYS(I4,$J$1,$B$35:$B$47)))</f>
        <v>14</v>
      </c>
      <c r="K4" s="293">
        <f t="shared" ref="K4:K14" ca="1" si="5">C4*J4</f>
        <v>125.36363636363637</v>
      </c>
      <c r="L4" s="295">
        <f ca="1">IF($AN4="Discontinued",0,(K4+IF($E$55="Yes",$AG4,0))/$A4)</f>
        <v>10.446969696969697</v>
      </c>
      <c r="M4" s="296" t="str">
        <f t="shared" ref="M4:M14" si="6">IF($AN4="Discontinued","DISCONTINUED",IF($C4&lt;=0,"NO USAGE",IF($F4&lt;=0,"OUT OF STOCK",IF($G4&lt;=$E$37,"CRITICAL",IF($G4&lt;=$E$38,"LOW",IF($G4&lt;=$E$39,"WATCH","HEALTHY"))))))</f>
        <v>WATCH</v>
      </c>
      <c r="N4" s="297">
        <f>IF(OR($G4="",$AN4="Discontinued"),"",RANK($G4,$G$4:$G$30,1)+COUNTIF($G$4:$G4,$G4)-1)</f>
        <v>17</v>
      </c>
      <c r="O4" s="297">
        <f ca="1">IF($L4&gt;0,ROUNDUP($L4,0),0)</f>
        <v>11</v>
      </c>
      <c r="P4" s="298">
        <f t="shared" ref="P4:P14" ca="1" si="7">O4*$A4</f>
        <v>132</v>
      </c>
      <c r="Q4" s="299">
        <f>IFERROR(INDEX('Pantry Inventory'!$AB$5:$AB$31,MATCH($B4,'Pantry Inventory'!$Z$5:$Z$31,0)),0)</f>
        <v>1.083</v>
      </c>
      <c r="R4" s="300">
        <f t="shared" ref="R4:R14" ca="1" si="8">P4*Q4</f>
        <v>142.95599999999999</v>
      </c>
      <c r="S4" s="301" t="s">
        <v>48</v>
      </c>
      <c r="T4" s="298">
        <f>SUMIFS('Daily Data'!$I$2:$I$1000,'Daily Data'!$E$2:$E$1000,$B4)</f>
        <v>197</v>
      </c>
      <c r="U4" s="302" t="str">
        <f>IFERROR(INDEX('Pantry Inventory'!$A$5:$A$161,MATCH($B4,'Pantry Inventory'!$B$5:$B$161,0)),"")</f>
        <v>Julie's</v>
      </c>
      <c r="V4" s="303">
        <f>SUMPRODUCT(MAX(('Daily Data'!$E$2:$E$1000=$B4)*'Daily Data'!$L$2:$L$1000*'Daily Data'!$A$2:$A$1000))</f>
        <v>46295</v>
      </c>
      <c r="W4" s="302">
        <f>IF(AND(OR(OR(Dashboard!$E$5="All",Dashboard!$E$5=""),$AM4=Dashboard!$E$5),OR(OR(Dashboard!$H$5="All",Dashboard!$H$5=""),$S4=Dashboard!$H$5),OR(OR(Dashboard!$Q$5="All",Dashboard!$Q$5=""),$U4=Dashboard!$Q$5),OR(OR(Dashboard!$U$5="All",Dashboard!$U$5=""),$B4=Dashboard!$U$5),OR(AND(OR(OR(Dashboard!$B$5="All",Dashboard!$B$5="")),OR(OR(Dashboard!$K$5="All",Dashboard!$K$5="")),OR(OR(Dashboard!$N$5="All",Dashboard!$N$5=""))),SUMIFS('Daily Data'!$I$2:$I$1000,'Daily Data'!$E$2:$E$1000,$B4,'Daily Data'!$M$2:$M$1000,1)&gt;0)),1,0)</f>
        <v>1</v>
      </c>
      <c r="X4" s="302">
        <f>IF(OR($W4&lt;&gt;1,$G4="",$AN4="Discontinued"),"",SUMPRODUCT(($W$4:$W$30=1)*($AN$4:$AN$30&lt;&gt;"Discontinued")*ISNUMBER($G$4:$G$30)*($G$4:$G$30&lt;$G4))+SUMPRODUCT(($W$4:$W4=1)*($AN$4:$AN4&lt;&gt;"Discontinued")*ISNUMBER($G$4:$G4)*($G$4:$G4=$G4)))</f>
        <v>17</v>
      </c>
      <c r="Y4" s="302">
        <f t="shared" ref="Y4:Y14" ca="1" si="9">IF(AND(ISNUMBER($N4),$O4&gt;0),SUMPRODUCT(($O$4:$O$30&gt;0)*ISNUMBER($N$4:$N$30)*($N$4:$N$30&lt;$N4))+1,"")</f>
        <v>17</v>
      </c>
      <c r="Z4" s="304">
        <f t="shared" ref="Z4:Z14" si="10">$T4*$Q4</f>
        <v>213.351</v>
      </c>
      <c r="AA4" s="305">
        <f>IF($Z4&lt;=0,"",SUMPRODUCT(ISNUMBER($Z$4:$Z$30)*($Z$4:$Z$30&gt;$Z4))+SUMPRODUCT(ISNUMBER($Z$4:$Z4)*($Z$4:$Z4=$Z4)))</f>
        <v>14</v>
      </c>
      <c r="AB4" s="306">
        <f t="shared" ref="AB4:AB14" si="11">IF($AA4="","",SUMIFS($Z$4:$Z$30,$AA$4:$AA$30,"&lt;="&amp;$AA4)/SUM($Z$4:$Z$30))</f>
        <v>0.88825701384377442</v>
      </c>
      <c r="AC4" s="307" t="str">
        <f t="shared" ref="AC4:AC14" si="12">IF($AA4="","-",IF($AB4-$Z4/SUM($Z$4:$Z$30)&lt;$E$49,"A",IF($AB4-$Z4/SUM($Z$4:$Z$30)&lt;$E$50,"B","C")))</f>
        <v>B</v>
      </c>
      <c r="AD4" s="308">
        <f>IF(OR($C4&lt;=0,COUNTIFS('Daily Data'!$E$2:$E$1000,$B4,'Daily Data'!$H$2:$H$1000,"&gt;0")&lt;2),0,SQRT(MAX(0,(SUMIFS('Daily Data'!$O$2:$O$1000,'Daily Data'!$E$2:$E$1000,$B4)-SUMIFS('Daily Data'!$I$2:$I$1000,'Daily Data'!$E$2:$E$1000,$B4,'Daily Data'!$H$2:$H$1000,"&gt;0")^2/COUNTIFS('Daily Data'!$E$2:$E$1000,$B4,'Daily Data'!$H$2:$H$1000,"&gt;0"))/(COUNTIFS('Daily Data'!$E$2:$E$1000,$B4,'Daily Data'!$H$2:$H$1000,"&gt;0")-1))))</f>
        <v>4.990250234466945</v>
      </c>
      <c r="AE4" s="308">
        <f t="shared" ref="AE4:AE14" si="13">IF($C4&gt;0,$AD4/$C4,"")</f>
        <v>0.55728682821458264</v>
      </c>
      <c r="AF4" s="307" t="str">
        <f t="shared" ref="AF4:AF14" si="14">IF($AE4="","-",IF($AE4&lt;=$E$53,"X",IF($AE4&lt;=$E$54,"Y","Z")))</f>
        <v>Y</v>
      </c>
      <c r="AG4" s="305">
        <f t="shared" ref="AG4:AG14" si="15">IF($C4&gt;0,NORMSINV($E$52)*$AD4*SQRT($E$51),0)</f>
        <v>18.354162932775058</v>
      </c>
      <c r="AH4" s="305">
        <f t="shared" ref="AH4:AH14" si="16">IF($C4&gt;0,$C4*$E$51+$AG4,0)</f>
        <v>63.126890205502335</v>
      </c>
      <c r="AI4" s="307" t="str">
        <f t="shared" ref="AI4:AI14" si="17">IF(OR($C4&lt;=0,$AN4="Discontinued"),"-",IF($F4&lt;=$AH4,"BELOW ROP","OK"))</f>
        <v>OK</v>
      </c>
      <c r="AJ4" s="305">
        <f t="shared" ref="AJ4:AJ14" si="18">IF(AND($C4&gt;0,$AN4&lt;&gt;"Discontinued"),$AH4-$F4,"")</f>
        <v>-20.873109794497665</v>
      </c>
      <c r="AK4" s="305" t="str">
        <f>IF(OR($W4&lt;&gt;1,NOT(ISNUMBER($AJ4))),"",IF($AJ4&lt;=0,"",SUMPRODUCT(($W$4:$W$30=1)*ISNUMBER($AJ$4:$AJ$30)*($AJ$4:$AJ$30&gt;$AJ4))+SUMPRODUCT(($W$4:$W4=1)*ISNUMBER($AJ$4:$AJ4)*($AJ$4:$AJ4=$AJ4))))</f>
        <v/>
      </c>
      <c r="AL4" s="305" t="str">
        <f>IF(AND($W4=1,'Storehouse Replenishment Schedu'!$CU4="MISMATCH"),SUMPRODUCT(($W$4:$W4=1)*('Storehouse Replenishment Schedu'!$CU$4:$CU4="MISMATCH")),"")</f>
        <v/>
      </c>
      <c r="AM4" s="301" t="s">
        <v>387</v>
      </c>
      <c r="AN4" s="301" t="s">
        <v>404</v>
      </c>
      <c r="AO4" s="306">
        <f t="shared" ref="AO4:AO14" si="19">IF(SUMIFS($C$4:$C$30,$AM$4:$AM$30,$AM4)&gt;0,$C4/SUMIFS($C$4:$C$30,$AM$4:$AM$30,$AM4),"")</f>
        <v>7.958997941675125E-2</v>
      </c>
      <c r="AP4" s="305">
        <f>IF($AO4="","",SUMPRODUCT(($AM$4:$AM$30=$AM4)*($C$4:$C$30&gt;$C4))+SUMPRODUCT(($AM$4:$AM4=$AM4)*($C$4:$C4=$C4)))</f>
        <v>5</v>
      </c>
      <c r="AQ4" s="308">
        <f t="shared" ref="AQ4:AQ14" si="20">IFERROR($C4/(SUMIFS($C$4:$C$30,$AM$4:$AM$30,$AM4,$AN$4:$AN$30,"&lt;&gt;Discontinued")/COUNTIFS($AM$4:$AM$30,$AM4,$AN$4:$AN$30,"&lt;&gt;Discontinued")),"")</f>
        <v>0.87548977358426372</v>
      </c>
      <c r="AR4" s="332">
        <f t="shared" ref="AR4:AR14" si="21">IF(OR($AU4&lt;$E$64,$AW4&lt;=0),"",$AX4/$AW4-1)</f>
        <v>-0.25663716814159299</v>
      </c>
      <c r="AS4" s="307" t="str">
        <f t="shared" ref="AS4:AS14" si="22">IF($AN4="Discontinued","DISCONTINUED",IF($C4&lt;=0,IF($AY4&gt;=$E$64,"PHASE OUT","NEED MORE DATA"),IF($AU4&lt;$E$64,"NEED MORE DATA",IF(AND(ISNUMBER($AQ4),ISNUMBER($AR4),N($AQ4)&lt;=$E$62,N($AR4)&lt;=$E$63),"PHASE OUT",IF(OR(AND(ISNUMBER($AQ4),N($AQ4)&lt;=$E$62),AND(ISNUMBER($AR4),N($AR4)&lt;=$E$63,N($AQ4)&lt;1)),"REVIEW","KEEP")))))</f>
        <v>REVIEW</v>
      </c>
      <c r="AT4" s="305">
        <f t="shared" ref="AT4:AT14" si="23">$F4*$Q4</f>
        <v>90.971999999999994</v>
      </c>
      <c r="AU4" s="305">
        <f>COUNTIFS('Daily Data'!$E$2:$E$1000,$B4,'Daily Data'!$AJ$2:$AJ$1000,1)</f>
        <v>22</v>
      </c>
      <c r="AV4" s="308">
        <f>SUMPRODUCT(MAX(('Daily Data'!$E$2:$E$1000=$B4)*'Daily Data'!$AH$2:$AH$1000))/2</f>
        <v>11</v>
      </c>
      <c r="AW4" s="308">
        <f>IFERROR(SUMIFS('Daily Data'!$AI$2:$AI$1000,'Daily Data'!$E$2:$E$1000,$B4,'Daily Data'!$AH$2:$AH$1000,"&gt;0",'Daily Data'!$AH$2:$AH$1000,"&lt;="&amp;$AV4,'Daily Data'!$AJ$2:$AJ$1000,1)/COUNTIFS('Daily Data'!$E$2:$E$1000,$B4,'Daily Data'!$AH$2:$AH$1000,"&gt;0",'Daily Data'!$AH$2:$AH$1000,"&lt;="&amp;$AV4,'Daily Data'!$AJ$2:$AJ$1000,1),0)</f>
        <v>10.272727272727273</v>
      </c>
      <c r="AX4" s="308">
        <f>IFERROR(SUMIFS('Daily Data'!$AI$2:$AI$1000,'Daily Data'!$E$2:$E$1000,$B4,'Daily Data'!$AH$2:$AH$1000,"&gt;"&amp;$AV4,'Daily Data'!$AJ$2:$AJ$1000,1)/COUNTIFS('Daily Data'!$E$2:$E$1000,$B4,'Daily Data'!$AH$2:$AH$1000,"&gt;"&amp;$AV4,'Daily Data'!$AJ$2:$AJ$1000,1),0)</f>
        <v>7.6363636363636367</v>
      </c>
      <c r="AY4" s="305">
        <f>COUNTIFS('Daily Data'!$E$2:$E$1000,$B4,'Daily Data'!$L$2:$L$1000,1)</f>
        <v>22</v>
      </c>
    </row>
    <row r="5" spans="1:51" x14ac:dyDescent="0.25">
      <c r="A5" s="256">
        <v>1</v>
      </c>
      <c r="B5" s="287" t="s">
        <v>143</v>
      </c>
      <c r="C5" s="230">
        <f>IFERROR(SUMIFS('Daily Data'!$I$2:$I$1000,'Daily Data'!$E$2:$E$1000,$B5)/COUNTIFS('Daily Data'!$E$2:$E$1000,$B5,'Daily Data'!$H$2:$H$1000,"&gt;0"),0)</f>
        <v>1.6842105263157894</v>
      </c>
      <c r="D5">
        <f>'Storehouse Replenishment Schedu'!CR5</f>
        <v>0</v>
      </c>
      <c r="E5" s="23">
        <f>SUMIFS('Daily Data'!$H$2:$H$1000,'Daily Data'!$E$2:$E$1000,$B5,'Daily Data'!$A$2:$A$1000,$V5)+SUMIFS('Daily Data'!$G$2:$G$1000,'Daily Data'!$E$2:$E$1000,$B5,'Daily Data'!$A$2:$A$1000,"&gt;"&amp;$V5)</f>
        <v>0</v>
      </c>
      <c r="F5" s="23">
        <f t="shared" si="0"/>
        <v>0</v>
      </c>
      <c r="G5" s="23">
        <f t="shared" si="1"/>
        <v>0</v>
      </c>
      <c r="H5" s="151">
        <f t="shared" si="2"/>
        <v>46295</v>
      </c>
      <c r="I5" s="151">
        <f t="shared" si="3"/>
        <v>46295</v>
      </c>
      <c r="J5" s="23">
        <f t="shared" ca="1" si="4"/>
        <v>23</v>
      </c>
      <c r="K5" s="23">
        <f t="shared" ca="1" si="5"/>
        <v>38.736842105263158</v>
      </c>
      <c r="L5" s="233">
        <f t="shared" ref="L5:L14" ca="1" si="24">IF($AN5="Discontinued",0,(K5+IF($E$55="Yes",$AG5,0))/$A5)</f>
        <v>38.736842105263158</v>
      </c>
      <c r="M5" s="135" t="str">
        <f>IF($AN5="Discontinued","DISCONTINUED",IF($C5&lt;=0,"NO USAGE",IF($F5&lt;=0,"OUT OF STOCK",IF($G5&lt;=$E$37,"CRITICAL",IF($G5&lt;=$E$38,"LOW",IF($G5&lt;=$E$39,"WATCH","HEALTHY"))))))</f>
        <v>OUT OF STOCK</v>
      </c>
      <c r="N5" s="153">
        <f>IF(OR($G5="",$AN5="Discontinued"),"",RANK($G5,$G$4:$G$30,1)+COUNTIF($G$4:$G5,$G5)-1)</f>
        <v>1</v>
      </c>
      <c r="O5" s="153">
        <f t="shared" ref="O5:O14" ca="1" si="25">IF($L5&gt;0,ROUNDUP($L5,0),0)</f>
        <v>39</v>
      </c>
      <c r="P5" s="154">
        <f t="shared" ca="1" si="7"/>
        <v>39</v>
      </c>
      <c r="Q5" s="155">
        <f>IFERROR(INDEX('Pantry Inventory'!$AB$5:$AB$31,MATCH($B5,'Pantry Inventory'!$Z$5:$Z$31,0)),0)</f>
        <v>5.15</v>
      </c>
      <c r="R5" s="156">
        <f t="shared" ca="1" si="8"/>
        <v>200.85000000000002</v>
      </c>
      <c r="S5" s="143" t="s">
        <v>48</v>
      </c>
      <c r="T5" s="154">
        <f>SUMIFS('Daily Data'!$I$2:$I$1000,'Daily Data'!$E$2:$E$1000,$B5)</f>
        <v>32</v>
      </c>
      <c r="U5" s="182" t="str">
        <f>IFERROR(INDEX('Pantry Inventory'!$A$5:$A$161,MATCH($B5,'Pantry Inventory'!$B$5:$B$161,0)),"")</f>
        <v>Julie's</v>
      </c>
      <c r="V5" s="183">
        <f>SUMPRODUCT(MAX(('Daily Data'!$E$2:$E$1000=$B5)*'Daily Data'!$L$2:$L$1000*'Daily Data'!$A$2:$A$1000))</f>
        <v>46295</v>
      </c>
      <c r="W5" s="182">
        <f>IF(AND(OR(OR(Dashboard!$E$5="All",Dashboard!$E$5=""),$AM5=Dashboard!$E$5),OR(OR(Dashboard!$H$5="All",Dashboard!$H$5=""),$S5=Dashboard!$H$5),OR(OR(Dashboard!$Q$5="All",Dashboard!$Q$5=""),$U5=Dashboard!$Q$5),OR(OR(Dashboard!$U$5="All",Dashboard!$U$5=""),$B5=Dashboard!$U$5),OR(AND(OR(OR(Dashboard!$B$5="All",Dashboard!$B$5="")),OR(OR(Dashboard!$K$5="All",Dashboard!$K$5="")),OR(OR(Dashboard!$N$5="All",Dashboard!$N$5=""))),SUMIFS('Daily Data'!$I$2:$I$1000,'Daily Data'!$E$2:$E$1000,$B5,'Daily Data'!$M$2:$M$1000,1)&gt;0)),1,0)</f>
        <v>1</v>
      </c>
      <c r="X5" s="182">
        <f>IF(OR($W5&lt;&gt;1,$G5="",$AN5="Discontinued"),"",SUMPRODUCT(($W$4:$W$30=1)*($AN$4:$AN$30&lt;&gt;"Discontinued")*ISNUMBER($G$4:$G$30)*($G$4:$G$30&lt;$G5))+SUMPRODUCT(($W$4:$W5=1)*($AN$4:$AN5&lt;&gt;"Discontinued")*ISNUMBER($G$4:$G5)*($G$4:$G5=$G5)))</f>
        <v>1</v>
      </c>
      <c r="Y5" s="182">
        <f t="shared" ca="1" si="9"/>
        <v>1</v>
      </c>
      <c r="Z5" s="184">
        <f t="shared" si="10"/>
        <v>164.8</v>
      </c>
      <c r="AA5" s="185">
        <f>IF($Z5&lt;=0,"",SUMPRODUCT(ISNUMBER($Z$4:$Z$30)*($Z$4:$Z$30&gt;$Z5))+SUMPRODUCT(ISNUMBER($Z$4:$Z5)*($Z$4:$Z5=$Z5)))</f>
        <v>16</v>
      </c>
      <c r="AB5" s="186">
        <f t="shared" si="11"/>
        <v>0.92449057038333138</v>
      </c>
      <c r="AC5" s="187" t="str">
        <f t="shared" si="12"/>
        <v>B</v>
      </c>
      <c r="AD5" s="188">
        <f>IF(OR($C5&lt;=0,COUNTIFS('Daily Data'!$E$2:$E$1000,$B5,'Daily Data'!$H$2:$H$1000,"&gt;0")&lt;2),0,SQRT(MAX(0,(SUMIFS('Daily Data'!$O$2:$O$1000,'Daily Data'!$E$2:$E$1000,$B5)-SUMIFS('Daily Data'!$I$2:$I$1000,'Daily Data'!$E$2:$E$1000,$B5,'Daily Data'!$H$2:$H$1000,"&gt;0")^2/COUNTIFS('Daily Data'!$E$2:$E$1000,$B5,'Daily Data'!$H$2:$H$1000,"&gt;0"))/(COUNTIFS('Daily Data'!$E$2:$E$1000,$B5,'Daily Data'!$H$2:$H$1000,"&gt;0")-1))))</f>
        <v>1.6771599497591227</v>
      </c>
      <c r="AE5" s="188">
        <f t="shared" si="13"/>
        <v>0.99581372016947922</v>
      </c>
      <c r="AF5" s="187" t="str">
        <f t="shared" si="14"/>
        <v>Y</v>
      </c>
      <c r="AG5" s="185">
        <f t="shared" si="15"/>
        <v>6.1686018808417478</v>
      </c>
      <c r="AH5" s="185">
        <f t="shared" si="16"/>
        <v>14.589654512420694</v>
      </c>
      <c r="AI5" s="187" t="str">
        <f t="shared" si="17"/>
        <v>BELOW ROP</v>
      </c>
      <c r="AJ5" s="185">
        <f t="shared" si="18"/>
        <v>14.589654512420694</v>
      </c>
      <c r="AK5" s="185">
        <f>IF(OR($W5&lt;&gt;1,NOT(ISNUMBER($AJ5))),"",IF($AJ5&lt;=0,"",SUMPRODUCT(($W$4:$W$30=1)*ISNUMBER($AJ$4:$AJ$30)*($AJ$4:$AJ$30&gt;$AJ5))+SUMPRODUCT(($W$4:$W5=1)*ISNUMBER($AJ$4:$AJ5)*($AJ$4:$AJ5=$AJ5))))</f>
        <v>11</v>
      </c>
      <c r="AL5" s="185" t="str">
        <f>IF(AND($W5=1,'Storehouse Replenishment Schedu'!$CU5="MISMATCH"),SUMPRODUCT(($W$4:$W5=1)*('Storehouse Replenishment Schedu'!$CU$4:$CU5="MISMATCH")),"")</f>
        <v/>
      </c>
      <c r="AM5" s="143" t="s">
        <v>387</v>
      </c>
      <c r="AN5" s="301" t="s">
        <v>404</v>
      </c>
      <c r="AO5" s="306">
        <f t="shared" si="19"/>
        <v>1.4969635455354761E-2</v>
      </c>
      <c r="AP5" s="305">
        <f>IF($AO5="","",SUMPRODUCT(($AM$4:$AM$30=$AM5)*($C$4:$C$30&gt;$C5))+SUMPRODUCT(($AM$4:$AM5=$AM5)*($C$4:$C5=$C5)))</f>
        <v>10</v>
      </c>
      <c r="AQ5" s="308">
        <f t="shared" si="20"/>
        <v>0.16466599000890239</v>
      </c>
      <c r="AR5" s="332">
        <f t="shared" si="21"/>
        <v>-0.51875000000000004</v>
      </c>
      <c r="AS5" s="307" t="str">
        <f t="shared" si="22"/>
        <v>PHASE OUT</v>
      </c>
      <c r="AT5" s="305">
        <f t="shared" si="23"/>
        <v>0</v>
      </c>
      <c r="AU5" s="305">
        <f>COUNTIFS('Daily Data'!$E$2:$E$1000,$B5,'Daily Data'!$AJ$2:$AJ$1000,1)</f>
        <v>19</v>
      </c>
      <c r="AV5" s="308">
        <f>SUMPRODUCT(MAX(('Daily Data'!$E$2:$E$1000=$B5)*'Daily Data'!$AH$2:$AH$1000))/2</f>
        <v>11</v>
      </c>
      <c r="AW5" s="308">
        <f>IFERROR(SUMIFS('Daily Data'!$AI$2:$AI$1000,'Daily Data'!$E$2:$E$1000,$B5,'Daily Data'!$AH$2:$AH$1000,"&gt;0",'Daily Data'!$AH$2:$AH$1000,"&lt;="&amp;$AV5,'Daily Data'!$AJ$2:$AJ$1000,1)/COUNTIFS('Daily Data'!$E$2:$E$1000,$B5,'Daily Data'!$AH$2:$AH$1000,"&gt;0",'Daily Data'!$AH$2:$AH$1000,"&lt;="&amp;$AV5,'Daily Data'!$AJ$2:$AJ$1000,1),0)</f>
        <v>1.8181818181818181</v>
      </c>
      <c r="AX5" s="308">
        <f>IFERROR(SUMIFS('Daily Data'!$AI$2:$AI$1000,'Daily Data'!$E$2:$E$1000,$B5,'Daily Data'!$AH$2:$AH$1000,"&gt;"&amp;$AV5,'Daily Data'!$AJ$2:$AJ$1000,1)/COUNTIFS('Daily Data'!$E$2:$E$1000,$B5,'Daily Data'!$AH$2:$AH$1000,"&gt;"&amp;$AV5,'Daily Data'!$AJ$2:$AJ$1000,1),0)</f>
        <v>0.875</v>
      </c>
      <c r="AY5" s="305">
        <f>COUNTIFS('Daily Data'!$E$2:$E$1000,$B5,'Daily Data'!$L$2:$L$1000,1)</f>
        <v>22</v>
      </c>
    </row>
    <row r="6" spans="1:51" x14ac:dyDescent="0.25">
      <c r="A6" s="256">
        <v>8</v>
      </c>
      <c r="B6" s="287" t="s">
        <v>144</v>
      </c>
      <c r="C6" s="230">
        <f>IFERROR(SUMIFS('Daily Data'!$I$2:$I$1000,'Daily Data'!$E$2:$E$1000,$B6)/COUNTIFS('Daily Data'!$E$2:$E$1000,$B6,'Daily Data'!$H$2:$H$1000,"&gt;0"),0)</f>
        <v>10</v>
      </c>
      <c r="D6">
        <f>'Storehouse Replenishment Schedu'!CR6</f>
        <v>40</v>
      </c>
      <c r="E6" s="23">
        <f>SUMIFS('Daily Data'!$H$2:$H$1000,'Daily Data'!$E$2:$E$1000,$B6,'Daily Data'!$A$2:$A$1000,$V6)+SUMIFS('Daily Data'!$G$2:$G$1000,'Daily Data'!$E$2:$E$1000,$B6,'Daily Data'!$A$2:$A$1000,"&gt;"&amp;$V6)</f>
        <v>20</v>
      </c>
      <c r="F6" s="23">
        <f t="shared" si="0"/>
        <v>60</v>
      </c>
      <c r="G6" s="23">
        <f t="shared" si="1"/>
        <v>6</v>
      </c>
      <c r="H6" s="151">
        <f t="shared" si="2"/>
        <v>46301</v>
      </c>
      <c r="I6" s="151">
        <f t="shared" si="3"/>
        <v>46303</v>
      </c>
      <c r="J6" s="23">
        <f t="shared" ca="1" si="4"/>
        <v>17</v>
      </c>
      <c r="K6" s="23">
        <f t="shared" ca="1" si="5"/>
        <v>170</v>
      </c>
      <c r="L6" s="233">
        <f t="shared" ca="1" si="24"/>
        <v>21.25</v>
      </c>
      <c r="M6" s="157" t="str">
        <f t="shared" si="6"/>
        <v>LOW</v>
      </c>
      <c r="N6" s="153">
        <f>IF(OR($G6="",$AN6="Discontinued"),"",RANK($G6,$G$4:$G$30,1)+COUNTIF($G$4:$G6,$G6)-1)</f>
        <v>13</v>
      </c>
      <c r="O6" s="153">
        <f t="shared" ca="1" si="25"/>
        <v>22</v>
      </c>
      <c r="P6" s="154">
        <f t="shared" ca="1" si="7"/>
        <v>176</v>
      </c>
      <c r="Q6" s="155">
        <f>IFERROR(INDEX('Pantry Inventory'!$AB$5:$AB$31,MATCH($B6,'Pantry Inventory'!$Z$5:$Z$31,0)),0)</f>
        <v>1.2</v>
      </c>
      <c r="R6" s="156">
        <f t="shared" ca="1" si="8"/>
        <v>211.2</v>
      </c>
      <c r="S6" s="143" t="s">
        <v>48</v>
      </c>
      <c r="T6" s="154">
        <f>SUMIFS('Daily Data'!$I$2:$I$1000,'Daily Data'!$E$2:$E$1000,$B6)</f>
        <v>100</v>
      </c>
      <c r="U6" s="182" t="str">
        <f>IFERROR(INDEX('Pantry Inventory'!$A$5:$A$161,MATCH($B6,'Pantry Inventory'!$B$5:$B$161,0)),"")</f>
        <v>Julie's</v>
      </c>
      <c r="V6" s="183">
        <f>SUMPRODUCT(MAX(('Daily Data'!$E$2:$E$1000=$B6)*'Daily Data'!$L$2:$L$1000*'Daily Data'!$A$2:$A$1000))</f>
        <v>46295</v>
      </c>
      <c r="W6" s="182">
        <f>IF(AND(OR(OR(Dashboard!$E$5="All",Dashboard!$E$5=""),$AM6=Dashboard!$E$5),OR(OR(Dashboard!$H$5="All",Dashboard!$H$5=""),$S6=Dashboard!$H$5),OR(OR(Dashboard!$Q$5="All",Dashboard!$Q$5=""),$U6=Dashboard!$Q$5),OR(OR(Dashboard!$U$5="All",Dashboard!$U$5=""),$B6=Dashboard!$U$5),OR(AND(OR(OR(Dashboard!$B$5="All",Dashboard!$B$5="")),OR(OR(Dashboard!$K$5="All",Dashboard!$K$5="")),OR(OR(Dashboard!$N$5="All",Dashboard!$N$5=""))),SUMIFS('Daily Data'!$I$2:$I$1000,'Daily Data'!$E$2:$E$1000,$B6,'Daily Data'!$M$2:$M$1000,1)&gt;0)),1,0)</f>
        <v>1</v>
      </c>
      <c r="X6" s="182">
        <f>IF(OR($W6&lt;&gt;1,$G6="",$AN6="Discontinued"),"",SUMPRODUCT(($W$4:$W$30=1)*($AN$4:$AN$30&lt;&gt;"Discontinued")*ISNUMBER($G$4:$G$30)*($G$4:$G$30&lt;$G6))+SUMPRODUCT(($W$4:$W6=1)*($AN$4:$AN6&lt;&gt;"Discontinued")*ISNUMBER($G$4:$G6)*($G$4:$G6=$G6)))</f>
        <v>13</v>
      </c>
      <c r="Y6" s="182">
        <f t="shared" ca="1" si="9"/>
        <v>13</v>
      </c>
      <c r="Z6" s="184">
        <f t="shared" si="10"/>
        <v>120</v>
      </c>
      <c r="AA6" s="185">
        <f>IF($Z6&lt;=0,"",SUMPRODUCT(ISNUMBER($Z$4:$Z$30)*($Z$4:$Z$30&gt;$Z6))+SUMPRODUCT(ISNUMBER($Z$4:$Z6)*($Z$4:$Z6=$Z6)))</f>
        <v>21</v>
      </c>
      <c r="AB6" s="186">
        <f t="shared" si="11"/>
        <v>0.98831240643389795</v>
      </c>
      <c r="AC6" s="187" t="str">
        <f t="shared" si="12"/>
        <v>C</v>
      </c>
      <c r="AD6" s="188">
        <f>IF(OR($C6&lt;=0,COUNTIFS('Daily Data'!$E$2:$E$1000,$B6,'Daily Data'!$H$2:$H$1000,"&gt;0")&lt;2),0,SQRT(MAX(0,(SUMIFS('Daily Data'!$O$2:$O$1000,'Daily Data'!$E$2:$E$1000,$B6)-SUMIFS('Daily Data'!$I$2:$I$1000,'Daily Data'!$E$2:$E$1000,$B6,'Daily Data'!$H$2:$H$1000,"&gt;0")^2/COUNTIFS('Daily Data'!$E$2:$E$1000,$B6,'Daily Data'!$H$2:$H$1000,"&gt;0"))/(COUNTIFS('Daily Data'!$E$2:$E$1000,$B6,'Daily Data'!$H$2:$H$1000,"&gt;0")-1))))</f>
        <v>7.7316090031621343</v>
      </c>
      <c r="AE6" s="188">
        <f t="shared" si="13"/>
        <v>0.77316090031621343</v>
      </c>
      <c r="AF6" s="187" t="str">
        <f t="shared" si="14"/>
        <v>Y</v>
      </c>
      <c r="AG6" s="185">
        <f t="shared" si="15"/>
        <v>28.436892882929101</v>
      </c>
      <c r="AH6" s="185">
        <f t="shared" si="16"/>
        <v>78.436892882929101</v>
      </c>
      <c r="AI6" s="187" t="str">
        <f t="shared" si="17"/>
        <v>BELOW ROP</v>
      </c>
      <c r="AJ6" s="185">
        <f t="shared" si="18"/>
        <v>18.436892882929101</v>
      </c>
      <c r="AK6" s="185">
        <f>IF(OR($W6&lt;&gt;1,NOT(ISNUMBER($AJ6))),"",IF($AJ6&lt;=0,"",SUMPRODUCT(($W$4:$W$30=1)*ISNUMBER($AJ$4:$AJ$30)*($AJ$4:$AJ$30&gt;$AJ6))+SUMPRODUCT(($W$4:$W6=1)*ISNUMBER($AJ$4:$AJ6)*($AJ$4:$AJ6=$AJ6))))</f>
        <v>10</v>
      </c>
      <c r="AL6" s="185" t="str">
        <f>IF(AND($W6=1,'Storehouse Replenishment Schedu'!$CU6="MISMATCH"),SUMPRODUCT(($W$4:$W6=1)*('Storehouse Replenishment Schedu'!$CU$4:$CU6="MISMATCH")),"")</f>
        <v/>
      </c>
      <c r="AM6" s="143" t="s">
        <v>387</v>
      </c>
      <c r="AN6" s="301" t="s">
        <v>404</v>
      </c>
      <c r="AO6" s="306">
        <f t="shared" si="19"/>
        <v>8.8882210516168902E-2</v>
      </c>
      <c r="AP6" s="305">
        <f>IF($AO6="","",SUMPRODUCT(($AM$4:$AM$30=$AM6)*($C$4:$C$30&gt;$C6))+SUMPRODUCT(($AM$4:$AM6=$AM6)*($C$4:$C6=$C6)))</f>
        <v>4</v>
      </c>
      <c r="AQ6" s="308">
        <f t="shared" si="20"/>
        <v>0.97770431567785798</v>
      </c>
      <c r="AR6" s="332" t="str">
        <f t="shared" si="21"/>
        <v/>
      </c>
      <c r="AS6" s="307" t="str">
        <f t="shared" si="22"/>
        <v>KEEP</v>
      </c>
      <c r="AT6" s="305">
        <f t="shared" si="23"/>
        <v>72</v>
      </c>
      <c r="AU6" s="305">
        <f>COUNTIFS('Daily Data'!$E$2:$E$1000,$B6,'Daily Data'!$AJ$2:$AJ$1000,1)</f>
        <v>10</v>
      </c>
      <c r="AV6" s="308">
        <f>SUMPRODUCT(MAX(('Daily Data'!$E$2:$E$1000=$B6)*'Daily Data'!$AH$2:$AH$1000))/2</f>
        <v>11</v>
      </c>
      <c r="AW6" s="308">
        <f>IFERROR(SUMIFS('Daily Data'!$AI$2:$AI$1000,'Daily Data'!$E$2:$E$1000,$B6,'Daily Data'!$AH$2:$AH$1000,"&gt;0",'Daily Data'!$AH$2:$AH$1000,"&lt;="&amp;$AV6,'Daily Data'!$AJ$2:$AJ$1000,1)/COUNTIFS('Daily Data'!$E$2:$E$1000,$B6,'Daily Data'!$AH$2:$AH$1000,"&gt;0",'Daily Data'!$AH$2:$AH$1000,"&lt;="&amp;$AV6,'Daily Data'!$AJ$2:$AJ$1000,1),0)</f>
        <v>0</v>
      </c>
      <c r="AX6" s="308">
        <f>IFERROR(SUMIFS('Daily Data'!$AI$2:$AI$1000,'Daily Data'!$E$2:$E$1000,$B6,'Daily Data'!$AH$2:$AH$1000,"&gt;"&amp;$AV6,'Daily Data'!$AJ$2:$AJ$1000,1)/COUNTIFS('Daily Data'!$E$2:$E$1000,$B6,'Daily Data'!$AH$2:$AH$1000,"&gt;"&amp;$AV6,'Daily Data'!$AJ$2:$AJ$1000,1),0)</f>
        <v>10</v>
      </c>
      <c r="AY6" s="305">
        <f>COUNTIFS('Daily Data'!$E$2:$E$1000,$B6,'Daily Data'!$L$2:$L$1000,1)</f>
        <v>22</v>
      </c>
    </row>
    <row r="7" spans="1:51" x14ac:dyDescent="0.25">
      <c r="A7" s="256">
        <v>12</v>
      </c>
      <c r="B7" s="287" t="s">
        <v>145</v>
      </c>
      <c r="C7" s="230">
        <f>IFERROR(SUMIFS('Daily Data'!$I$2:$I$1000,'Daily Data'!$E$2:$E$1000,$B7)/COUNTIFS('Daily Data'!$E$2:$E$1000,$B7,'Daily Data'!$H$2:$H$1000,"&gt;0"),0)</f>
        <v>6.45</v>
      </c>
      <c r="D7">
        <f>'Storehouse Replenishment Schedu'!CR7</f>
        <v>36</v>
      </c>
      <c r="E7" s="23">
        <f>SUMIFS('Daily Data'!$H$2:$H$1000,'Daily Data'!$E$2:$E$1000,$B7,'Daily Data'!$A$2:$A$1000,$V7)+SUMIFS('Daily Data'!$G$2:$G$1000,'Daily Data'!$E$2:$E$1000,$B7,'Daily Data'!$A$2:$A$1000,"&gt;"&amp;$V7)</f>
        <v>18</v>
      </c>
      <c r="F7" s="23">
        <f t="shared" si="0"/>
        <v>54</v>
      </c>
      <c r="G7" s="23">
        <f t="shared" si="1"/>
        <v>8.3720930232558128</v>
      </c>
      <c r="H7" s="151">
        <f t="shared" si="2"/>
        <v>46303.372093023259</v>
      </c>
      <c r="I7" s="151">
        <f t="shared" si="3"/>
        <v>46307</v>
      </c>
      <c r="J7" s="23">
        <f t="shared" ca="1" si="4"/>
        <v>15</v>
      </c>
      <c r="K7" s="23">
        <f t="shared" ca="1" si="5"/>
        <v>96.75</v>
      </c>
      <c r="L7" s="233">
        <f t="shared" ca="1" si="24"/>
        <v>8.0625</v>
      </c>
      <c r="M7" s="157" t="str">
        <f t="shared" si="6"/>
        <v>WATCH</v>
      </c>
      <c r="N7" s="153">
        <f>IF(OR($G7="",$AN7="Discontinued"),"",RANK($G7,$G$4:$G$30,1)+COUNTIF($G$4:$G7,$G7)-1)</f>
        <v>15</v>
      </c>
      <c r="O7" s="153">
        <f t="shared" ca="1" si="25"/>
        <v>9</v>
      </c>
      <c r="P7" s="154">
        <f t="shared" ca="1" si="7"/>
        <v>108</v>
      </c>
      <c r="Q7" s="155">
        <f>IFERROR(INDEX('Pantry Inventory'!$AB$5:$AB$31,MATCH($B7,'Pantry Inventory'!$Z$5:$Z$31,0)),0)</f>
        <v>1.1000000000000001</v>
      </c>
      <c r="R7" s="156">
        <f t="shared" ca="1" si="8"/>
        <v>118.80000000000001</v>
      </c>
      <c r="S7" s="143" t="s">
        <v>51</v>
      </c>
      <c r="T7" s="154">
        <f>SUMIFS('Daily Data'!$I$2:$I$1000,'Daily Data'!$E$2:$E$1000,$B7)</f>
        <v>129</v>
      </c>
      <c r="U7" s="182" t="str">
        <f>IFERROR(INDEX('Pantry Inventory'!$A$5:$A$161,MATCH($B7,'Pantry Inventory'!$B$5:$B$161,0)),"")</f>
        <v>Julie's</v>
      </c>
      <c r="V7" s="183">
        <f>SUMPRODUCT(MAX(('Daily Data'!$E$2:$E$1000=$B7)*'Daily Data'!$L$2:$L$1000*'Daily Data'!$A$2:$A$1000))</f>
        <v>46295</v>
      </c>
      <c r="W7" s="182">
        <f>IF(AND(OR(OR(Dashboard!$E$5="All",Dashboard!$E$5=""),$AM7=Dashboard!$E$5),OR(OR(Dashboard!$H$5="All",Dashboard!$H$5=""),$S7=Dashboard!$H$5),OR(OR(Dashboard!$Q$5="All",Dashboard!$Q$5=""),$U7=Dashboard!$Q$5),OR(OR(Dashboard!$U$5="All",Dashboard!$U$5=""),$B7=Dashboard!$U$5),OR(AND(OR(OR(Dashboard!$B$5="All",Dashboard!$B$5="")),OR(OR(Dashboard!$K$5="All",Dashboard!$K$5="")),OR(OR(Dashboard!$N$5="All",Dashboard!$N$5=""))),SUMIFS('Daily Data'!$I$2:$I$1000,'Daily Data'!$E$2:$E$1000,$B7,'Daily Data'!$M$2:$M$1000,1)&gt;0)),1,0)</f>
        <v>1</v>
      </c>
      <c r="X7" s="182">
        <f>IF(OR($W7&lt;&gt;1,$G7="",$AN7="Discontinued"),"",SUMPRODUCT(($W$4:$W$30=1)*($AN$4:$AN$30&lt;&gt;"Discontinued")*ISNUMBER($G$4:$G$30)*($G$4:$G$30&lt;$G7))+SUMPRODUCT(($W$4:$W7=1)*($AN$4:$AN7&lt;&gt;"Discontinued")*ISNUMBER($G$4:$G7)*($G$4:$G7=$G7)))</f>
        <v>15</v>
      </c>
      <c r="Y7" s="182">
        <f t="shared" ca="1" si="9"/>
        <v>15</v>
      </c>
      <c r="Z7" s="184">
        <f t="shared" si="10"/>
        <v>141.9</v>
      </c>
      <c r="AA7" s="185">
        <f>IF($Z7&lt;=0,"",SUMPRODUCT(ISNUMBER($Z$4:$Z$30)*($Z$4:$Z$30&gt;$Z7))+SUMPRODUCT(ISNUMBER($Z$4:$Z7)*($Z$4:$Z7=$Z7)))</f>
        <v>17</v>
      </c>
      <c r="AB7" s="186">
        <f t="shared" si="11"/>
        <v>0.93828040992460293</v>
      </c>
      <c r="AC7" s="187" t="str">
        <f t="shared" si="12"/>
        <v>B</v>
      </c>
      <c r="AD7" s="188">
        <f>IF(OR($C7&lt;=0,COUNTIFS('Daily Data'!$E$2:$E$1000,$B7,'Daily Data'!$H$2:$H$1000,"&gt;0")&lt;2),0,SQRT(MAX(0,(SUMIFS('Daily Data'!$O$2:$O$1000,'Daily Data'!$E$2:$E$1000,$B7)-SUMIFS('Daily Data'!$I$2:$I$1000,'Daily Data'!$E$2:$E$1000,$B7,'Daily Data'!$H$2:$H$1000,"&gt;0")^2/COUNTIFS('Daily Data'!$E$2:$E$1000,$B7,'Daily Data'!$H$2:$H$1000,"&gt;0"))/(COUNTIFS('Daily Data'!$E$2:$E$1000,$B7,'Daily Data'!$H$2:$H$1000,"&gt;0")-1))))</f>
        <v>3.7682887362833539</v>
      </c>
      <c r="AE7" s="188">
        <f t="shared" si="13"/>
        <v>0.58423081182687653</v>
      </c>
      <c r="AF7" s="187" t="str">
        <f t="shared" si="14"/>
        <v>Y</v>
      </c>
      <c r="AG7" s="185">
        <f t="shared" si="15"/>
        <v>13.859783015645451</v>
      </c>
      <c r="AH7" s="185">
        <f t="shared" si="16"/>
        <v>46.109783015645448</v>
      </c>
      <c r="AI7" s="187" t="str">
        <f t="shared" si="17"/>
        <v>OK</v>
      </c>
      <c r="AJ7" s="185">
        <f t="shared" si="18"/>
        <v>-7.8902169843545522</v>
      </c>
      <c r="AK7" s="185" t="str">
        <f>IF(OR($W7&lt;&gt;1,NOT(ISNUMBER($AJ7))),"",IF($AJ7&lt;=0,"",SUMPRODUCT(($W$4:$W$30=1)*ISNUMBER($AJ$4:$AJ$30)*($AJ$4:$AJ$30&gt;$AJ7))+SUMPRODUCT(($W$4:$W7=1)*ISNUMBER($AJ$4:$AJ7)*($AJ$4:$AJ7=$AJ7))))</f>
        <v/>
      </c>
      <c r="AL7" s="185" t="str">
        <f>IF(AND($W7=1,'Storehouse Replenishment Schedu'!$CU7="MISMATCH"),SUMPRODUCT(($W$4:$W7=1)*('Storehouse Replenishment Schedu'!$CU$4:$CU7="MISMATCH")),"")</f>
        <v/>
      </c>
      <c r="AM7" s="143" t="s">
        <v>387</v>
      </c>
      <c r="AN7" s="301" t="s">
        <v>404</v>
      </c>
      <c r="AO7" s="306">
        <f t="shared" si="19"/>
        <v>5.7329025782928943E-2</v>
      </c>
      <c r="AP7" s="305">
        <f>IF($AO7="","",SUMPRODUCT(($AM$4:$AM$30=$AM7)*($C$4:$C$30&gt;$C7))+SUMPRODUCT(($AM$4:$AM7=$AM7)*($C$4:$C7=$C7)))</f>
        <v>7</v>
      </c>
      <c r="AQ7" s="308">
        <f t="shared" si="20"/>
        <v>0.63061928361221842</v>
      </c>
      <c r="AR7" s="332">
        <f t="shared" si="21"/>
        <v>-9.2063492063492069E-2</v>
      </c>
      <c r="AS7" s="307" t="str">
        <f t="shared" si="22"/>
        <v>KEEP</v>
      </c>
      <c r="AT7" s="305">
        <f t="shared" si="23"/>
        <v>59.400000000000006</v>
      </c>
      <c r="AU7" s="305">
        <f>COUNTIFS('Daily Data'!$E$2:$E$1000,$B7,'Daily Data'!$AJ$2:$AJ$1000,1)</f>
        <v>20</v>
      </c>
      <c r="AV7" s="308">
        <f>SUMPRODUCT(MAX(('Daily Data'!$E$2:$E$1000=$B7)*'Daily Data'!$AH$2:$AH$1000))/2</f>
        <v>11</v>
      </c>
      <c r="AW7" s="308">
        <f>IFERROR(SUMIFS('Daily Data'!$AI$2:$AI$1000,'Daily Data'!$E$2:$E$1000,$B7,'Daily Data'!$AH$2:$AH$1000,"&gt;0",'Daily Data'!$AH$2:$AH$1000,"&lt;="&amp;$AV7,'Daily Data'!$AJ$2:$AJ$1000,1)/COUNTIFS('Daily Data'!$E$2:$E$1000,$B7,'Daily Data'!$AH$2:$AH$1000,"&gt;0",'Daily Data'!$AH$2:$AH$1000,"&lt;="&amp;$AV7,'Daily Data'!$AJ$2:$AJ$1000,1),0)</f>
        <v>6.3636363636363633</v>
      </c>
      <c r="AX7" s="308">
        <f>IFERROR(SUMIFS('Daily Data'!$AI$2:$AI$1000,'Daily Data'!$E$2:$E$1000,$B7,'Daily Data'!$AH$2:$AH$1000,"&gt;"&amp;$AV7,'Daily Data'!$AJ$2:$AJ$1000,1)/COUNTIFS('Daily Data'!$E$2:$E$1000,$B7,'Daily Data'!$AH$2:$AH$1000,"&gt;"&amp;$AV7,'Daily Data'!$AJ$2:$AJ$1000,1),0)</f>
        <v>5.7777777777777777</v>
      </c>
      <c r="AY7" s="305">
        <f>COUNTIFS('Daily Data'!$E$2:$E$1000,$B7,'Daily Data'!$L$2:$L$1000,1)</f>
        <v>22</v>
      </c>
    </row>
    <row r="8" spans="1:51" x14ac:dyDescent="0.25">
      <c r="A8" s="256">
        <v>5</v>
      </c>
      <c r="B8" s="287" t="s">
        <v>147</v>
      </c>
      <c r="C8" s="230">
        <f>IFERROR(SUMIFS('Daily Data'!$I$2:$I$1000,'Daily Data'!$E$2:$E$1000,$B8)/COUNTIFS('Daily Data'!$E$2:$E$1000,$B8,'Daily Data'!$H$2:$H$1000,"&gt;0"),0)</f>
        <v>5.5</v>
      </c>
      <c r="D8">
        <f>'Storehouse Replenishment Schedu'!CR8</f>
        <v>0</v>
      </c>
      <c r="E8" s="23">
        <f>SUMIFS('Daily Data'!$H$2:$H$1000,'Daily Data'!$E$2:$E$1000,$B8,'Daily Data'!$A$2:$A$1000,$V8)+SUMIFS('Daily Data'!$G$2:$G$1000,'Daily Data'!$E$2:$E$1000,$B8,'Daily Data'!$A$2:$A$1000,"&gt;"&amp;$V8)</f>
        <v>0</v>
      </c>
      <c r="F8" s="23">
        <f t="shared" si="0"/>
        <v>0</v>
      </c>
      <c r="G8" s="23">
        <f t="shared" si="1"/>
        <v>0</v>
      </c>
      <c r="H8" s="151">
        <f t="shared" si="2"/>
        <v>46295</v>
      </c>
      <c r="I8" s="151">
        <f t="shared" si="3"/>
        <v>46295</v>
      </c>
      <c r="J8" s="23">
        <f t="shared" ca="1" si="4"/>
        <v>23</v>
      </c>
      <c r="K8" s="23">
        <f t="shared" ca="1" si="5"/>
        <v>126.5</v>
      </c>
      <c r="L8" s="233">
        <f t="shared" ca="1" si="24"/>
        <v>25.3</v>
      </c>
      <c r="M8" s="157" t="str">
        <f t="shared" si="6"/>
        <v>OUT OF STOCK</v>
      </c>
      <c r="N8" s="153">
        <f>IF(OR($G8="",$AN8="Discontinued"),"",RANK($G8,$G$4:$G$30,1)+COUNTIF($G$4:$G8,$G8)-1)</f>
        <v>2</v>
      </c>
      <c r="O8" s="153">
        <f t="shared" ca="1" si="25"/>
        <v>26</v>
      </c>
      <c r="P8" s="154">
        <f t="shared" ca="1" si="7"/>
        <v>130</v>
      </c>
      <c r="Q8" s="155">
        <f>IFERROR(INDEX('Pantry Inventory'!$AB$5:$AB$31,MATCH($B8,'Pantry Inventory'!$Z$5:$Z$31,0)),0)</f>
        <v>2.78</v>
      </c>
      <c r="R8" s="156">
        <f t="shared" ca="1" si="8"/>
        <v>361.4</v>
      </c>
      <c r="S8" s="143" t="s">
        <v>48</v>
      </c>
      <c r="T8" s="154">
        <f>SUMIFS('Daily Data'!$I$2:$I$1000,'Daily Data'!$E$2:$E$1000,$B8)</f>
        <v>11</v>
      </c>
      <c r="U8" s="182" t="str">
        <f>IFERROR(INDEX('Pantry Inventory'!$A$5:$A$161,MATCH($B8,'Pantry Inventory'!$B$5:$B$161,0)),"")</f>
        <v>Nature Valley</v>
      </c>
      <c r="V8" s="183">
        <f>SUMPRODUCT(MAX(('Daily Data'!$E$2:$E$1000=$B8)*'Daily Data'!$L$2:$L$1000*'Daily Data'!$A$2:$A$1000))</f>
        <v>46295</v>
      </c>
      <c r="W8" s="182">
        <f>IF(AND(OR(OR(Dashboard!$E$5="All",Dashboard!$E$5=""),$AM8=Dashboard!$E$5),OR(OR(Dashboard!$H$5="All",Dashboard!$H$5=""),$S8=Dashboard!$H$5),OR(OR(Dashboard!$Q$5="All",Dashboard!$Q$5=""),$U8=Dashboard!$Q$5),OR(OR(Dashboard!$U$5="All",Dashboard!$U$5=""),$B8=Dashboard!$U$5),OR(AND(OR(OR(Dashboard!$B$5="All",Dashboard!$B$5="")),OR(OR(Dashboard!$K$5="All",Dashboard!$K$5="")),OR(OR(Dashboard!$N$5="All",Dashboard!$N$5=""))),SUMIFS('Daily Data'!$I$2:$I$1000,'Daily Data'!$E$2:$E$1000,$B8,'Daily Data'!$M$2:$M$1000,1)&gt;0)),1,0)</f>
        <v>1</v>
      </c>
      <c r="X8" s="182">
        <f>IF(OR($W8&lt;&gt;1,$G8="",$AN8="Discontinued"),"",SUMPRODUCT(($W$4:$W$30=1)*($AN$4:$AN$30&lt;&gt;"Discontinued")*ISNUMBER($G$4:$G$30)*($G$4:$G$30&lt;$G8))+SUMPRODUCT(($W$4:$W8=1)*($AN$4:$AN8&lt;&gt;"Discontinued")*ISNUMBER($G$4:$G8)*($G$4:$G8=$G8)))</f>
        <v>2</v>
      </c>
      <c r="Y8" s="182">
        <f t="shared" ca="1" si="9"/>
        <v>2</v>
      </c>
      <c r="Z8" s="184">
        <f t="shared" si="10"/>
        <v>30.58</v>
      </c>
      <c r="AA8" s="185">
        <f>IF($Z8&lt;=0,"",SUMPRODUCT(ISNUMBER($Z$4:$Z$30)*($Z$4:$Z$30&gt;$Z8))+SUMPRODUCT(ISNUMBER($Z$4:$Z8)*($Z$4:$Z8=$Z8)))</f>
        <v>23</v>
      </c>
      <c r="AB8" s="186">
        <f t="shared" si="11"/>
        <v>1</v>
      </c>
      <c r="AC8" s="187" t="str">
        <f t="shared" si="12"/>
        <v>C</v>
      </c>
      <c r="AD8" s="188">
        <f>IF(OR($C8&lt;=0,COUNTIFS('Daily Data'!$E$2:$E$1000,$B8,'Daily Data'!$H$2:$H$1000,"&gt;0")&lt;2),0,SQRT(MAX(0,(SUMIFS('Daily Data'!$O$2:$O$1000,'Daily Data'!$E$2:$E$1000,$B8)-SUMIFS('Daily Data'!$I$2:$I$1000,'Daily Data'!$E$2:$E$1000,$B8,'Daily Data'!$H$2:$H$1000,"&gt;0")^2/COUNTIFS('Daily Data'!$E$2:$E$1000,$B8,'Daily Data'!$H$2:$H$1000,"&gt;0"))/(COUNTIFS('Daily Data'!$E$2:$E$1000,$B8,'Daily Data'!$H$2:$H$1000,"&gt;0")-1))))</f>
        <v>2.1213203435596424</v>
      </c>
      <c r="AE8" s="188">
        <f t="shared" si="13"/>
        <v>0.38569460791993498</v>
      </c>
      <c r="AF8" s="187" t="str">
        <f t="shared" si="14"/>
        <v>X</v>
      </c>
      <c r="AG8" s="185">
        <f t="shared" si="15"/>
        <v>7.8022258181333575</v>
      </c>
      <c r="AH8" s="185">
        <f t="shared" si="16"/>
        <v>35.302225818133358</v>
      </c>
      <c r="AI8" s="187" t="str">
        <f t="shared" si="17"/>
        <v>BELOW ROP</v>
      </c>
      <c r="AJ8" s="185">
        <f t="shared" si="18"/>
        <v>35.302225818133358</v>
      </c>
      <c r="AK8" s="185">
        <f>IF(OR($W8&lt;&gt;1,NOT(ISNUMBER($AJ8))),"",IF($AJ8&lt;=0,"",SUMPRODUCT(($W$4:$W$30=1)*ISNUMBER($AJ$4:$AJ$30)*($AJ$4:$AJ$30&gt;$AJ8))+SUMPRODUCT(($W$4:$W8=1)*ISNUMBER($AJ$4:$AJ8)*($AJ$4:$AJ8=$AJ8))))</f>
        <v>6</v>
      </c>
      <c r="AL8" s="185" t="str">
        <f>IF(AND($W8=1,'Storehouse Replenishment Schedu'!$CU8="MISMATCH"),SUMPRODUCT(($W$4:$W8=1)*('Storehouse Replenishment Schedu'!$CU$4:$CU8="MISMATCH")),"")</f>
        <v/>
      </c>
      <c r="AM8" s="143" t="s">
        <v>387</v>
      </c>
      <c r="AN8" s="301" t="s">
        <v>404</v>
      </c>
      <c r="AO8" s="306">
        <f t="shared" si="19"/>
        <v>4.8885215783892898E-2</v>
      </c>
      <c r="AP8" s="305">
        <f>IF($AO8="","",SUMPRODUCT(($AM$4:$AM$30=$AM8)*($C$4:$C$30&gt;$C8))+SUMPRODUCT(($AM$4:$AM8=$AM8)*($C$4:$C8=$C8)))</f>
        <v>8</v>
      </c>
      <c r="AQ8" s="308">
        <f t="shared" si="20"/>
        <v>0.53773737362282192</v>
      </c>
      <c r="AR8" s="332" t="str">
        <f t="shared" si="21"/>
        <v/>
      </c>
      <c r="AS8" s="307" t="str">
        <f t="shared" si="22"/>
        <v>NEED MORE DATA</v>
      </c>
      <c r="AT8" s="305">
        <f t="shared" si="23"/>
        <v>0</v>
      </c>
      <c r="AU8" s="305">
        <f>COUNTIFS('Daily Data'!$E$2:$E$1000,$B8,'Daily Data'!$AJ$2:$AJ$1000,1)</f>
        <v>2</v>
      </c>
      <c r="AV8" s="308">
        <f>SUMPRODUCT(MAX(('Daily Data'!$E$2:$E$1000=$B8)*'Daily Data'!$AH$2:$AH$1000))/2</f>
        <v>11</v>
      </c>
      <c r="AW8" s="308">
        <f>IFERROR(SUMIFS('Daily Data'!$AI$2:$AI$1000,'Daily Data'!$E$2:$E$1000,$B8,'Daily Data'!$AH$2:$AH$1000,"&gt;0",'Daily Data'!$AH$2:$AH$1000,"&lt;="&amp;$AV8,'Daily Data'!$AJ$2:$AJ$1000,1)/COUNTIFS('Daily Data'!$E$2:$E$1000,$B8,'Daily Data'!$AH$2:$AH$1000,"&gt;0",'Daily Data'!$AH$2:$AH$1000,"&lt;="&amp;$AV8,'Daily Data'!$AJ$2:$AJ$1000,1),0)</f>
        <v>3.5</v>
      </c>
      <c r="AX8" s="308">
        <f>IFERROR(SUMIFS('Daily Data'!$AI$2:$AI$1000,'Daily Data'!$E$2:$E$1000,$B8,'Daily Data'!$AH$2:$AH$1000,"&gt;"&amp;$AV8,'Daily Data'!$AJ$2:$AJ$1000,1)/COUNTIFS('Daily Data'!$E$2:$E$1000,$B8,'Daily Data'!$AH$2:$AH$1000,"&gt;"&amp;$AV8,'Daily Data'!$AJ$2:$AJ$1000,1),0)</f>
        <v>0</v>
      </c>
      <c r="AY8" s="305">
        <f>COUNTIFS('Daily Data'!$E$2:$E$1000,$B8,'Daily Data'!$L$2:$L$1000,1)</f>
        <v>22</v>
      </c>
    </row>
    <row r="9" spans="1:51" x14ac:dyDescent="0.25">
      <c r="A9" s="256">
        <v>12</v>
      </c>
      <c r="B9" s="287" t="s">
        <v>148</v>
      </c>
      <c r="C9" s="230">
        <f>IFERROR(SUMIFS('Daily Data'!$I$2:$I$1000,'Daily Data'!$E$2:$E$1000,$B9)/COUNTIFS('Daily Data'!$E$2:$E$1000,$B9,'Daily Data'!$H$2:$H$1000,"&gt;0"),0)</f>
        <v>0</v>
      </c>
      <c r="D9">
        <f>'Storehouse Replenishment Schedu'!CR9</f>
        <v>0</v>
      </c>
      <c r="E9" s="23">
        <f>SUMIFS('Daily Data'!$H$2:$H$1000,'Daily Data'!$E$2:$E$1000,$B9,'Daily Data'!$A$2:$A$1000,$V9)+SUMIFS('Daily Data'!$G$2:$G$1000,'Daily Data'!$E$2:$E$1000,$B9,'Daily Data'!$A$2:$A$1000,"&gt;"&amp;$V9)</f>
        <v>0</v>
      </c>
      <c r="F9" s="23">
        <f t="shared" si="0"/>
        <v>0</v>
      </c>
      <c r="G9" s="23" t="str">
        <f t="shared" si="1"/>
        <v/>
      </c>
      <c r="H9" s="151" t="str">
        <f t="shared" si="2"/>
        <v/>
      </c>
      <c r="I9" s="151" t="str">
        <f t="shared" si="3"/>
        <v/>
      </c>
      <c r="J9" s="23">
        <f t="shared" si="4"/>
        <v>0</v>
      </c>
      <c r="K9" s="23">
        <f t="shared" si="5"/>
        <v>0</v>
      </c>
      <c r="L9" s="23">
        <f t="shared" si="24"/>
        <v>0</v>
      </c>
      <c r="M9" s="157" t="str">
        <f t="shared" si="6"/>
        <v>NO USAGE</v>
      </c>
      <c r="N9" s="153" t="str">
        <f>IF(OR($G9="",$AN9="Discontinued"),"",RANK($G9,$G$4:$G$30,1)+COUNTIF($G$4:$G9,$G9)-1)</f>
        <v/>
      </c>
      <c r="O9" s="153">
        <f t="shared" si="25"/>
        <v>0</v>
      </c>
      <c r="P9" s="154">
        <f t="shared" si="7"/>
        <v>0</v>
      </c>
      <c r="Q9" s="155">
        <f>IFERROR(INDEX('Pantry Inventory'!$AB$5:$AB$31,MATCH($B9,'Pantry Inventory'!$Z$5:$Z$31,0)),0)</f>
        <v>4.9000000000000004</v>
      </c>
      <c r="R9" s="156">
        <f t="shared" si="8"/>
        <v>0</v>
      </c>
      <c r="S9" s="143" t="s">
        <v>48</v>
      </c>
      <c r="T9" s="154">
        <f>SUMIFS('Daily Data'!$I$2:$I$1000,'Daily Data'!$E$2:$E$1000,$B9)</f>
        <v>0</v>
      </c>
      <c r="U9" s="182" t="str">
        <f>IFERROR(INDEX('Pantry Inventory'!$A$5:$A$161,MATCH($B9,'Pantry Inventory'!$B$5:$B$161,0)),"")</f>
        <v>Nature Valley</v>
      </c>
      <c r="V9" s="183">
        <f>SUMPRODUCT(MAX(('Daily Data'!$E$2:$E$1000=$B9)*'Daily Data'!$L$2:$L$1000*'Daily Data'!$A$2:$A$1000))</f>
        <v>46295</v>
      </c>
      <c r="W9" s="182">
        <f>IF(AND(OR(OR(Dashboard!$E$5="All",Dashboard!$E$5=""),$AM9=Dashboard!$E$5),OR(OR(Dashboard!$H$5="All",Dashboard!$H$5=""),$S9=Dashboard!$H$5),OR(OR(Dashboard!$Q$5="All",Dashboard!$Q$5=""),$U9=Dashboard!$Q$5),OR(OR(Dashboard!$U$5="All",Dashboard!$U$5=""),$B9=Dashboard!$U$5),OR(AND(OR(OR(Dashboard!$B$5="All",Dashboard!$B$5="")),OR(OR(Dashboard!$K$5="All",Dashboard!$K$5="")),OR(OR(Dashboard!$N$5="All",Dashboard!$N$5=""))),SUMIFS('Daily Data'!$I$2:$I$1000,'Daily Data'!$E$2:$E$1000,$B9,'Daily Data'!$M$2:$M$1000,1)&gt;0)),1,0)</f>
        <v>1</v>
      </c>
      <c r="X9" s="182" t="str">
        <f>IF(OR($W9&lt;&gt;1,$G9="",$AN9="Discontinued"),"",SUMPRODUCT(($W$4:$W$30=1)*($AN$4:$AN$30&lt;&gt;"Discontinued")*ISNUMBER($G$4:$G$30)*($G$4:$G$30&lt;$G9))+SUMPRODUCT(($W$4:$W9=1)*($AN$4:$AN9&lt;&gt;"Discontinued")*ISNUMBER($G$4:$G9)*($G$4:$G9=$G9)))</f>
        <v/>
      </c>
      <c r="Y9" s="182" t="str">
        <f t="shared" si="9"/>
        <v/>
      </c>
      <c r="Z9" s="184">
        <f t="shared" si="10"/>
        <v>0</v>
      </c>
      <c r="AA9" s="185" t="str">
        <f>IF($Z9&lt;=0,"",SUMPRODUCT(ISNUMBER($Z$4:$Z$30)*($Z$4:$Z$30&gt;$Z9))+SUMPRODUCT(ISNUMBER($Z$4:$Z9)*($Z$4:$Z9=$Z9)))</f>
        <v/>
      </c>
      <c r="AB9" s="186" t="str">
        <f t="shared" si="11"/>
        <v/>
      </c>
      <c r="AC9" s="187" t="str">
        <f t="shared" si="12"/>
        <v>-</v>
      </c>
      <c r="AD9" s="188">
        <f>IF(OR($C9&lt;=0,COUNTIFS('Daily Data'!$E$2:$E$1000,$B9,'Daily Data'!$H$2:$H$1000,"&gt;0")&lt;2),0,SQRT(MAX(0,(SUMIFS('Daily Data'!$O$2:$O$1000,'Daily Data'!$E$2:$E$1000,$B9)-SUMIFS('Daily Data'!$I$2:$I$1000,'Daily Data'!$E$2:$E$1000,$B9,'Daily Data'!$H$2:$H$1000,"&gt;0")^2/COUNTIFS('Daily Data'!$E$2:$E$1000,$B9,'Daily Data'!$H$2:$H$1000,"&gt;0"))/(COUNTIFS('Daily Data'!$E$2:$E$1000,$B9,'Daily Data'!$H$2:$H$1000,"&gt;0")-1))))</f>
        <v>0</v>
      </c>
      <c r="AE9" s="188" t="str">
        <f t="shared" si="13"/>
        <v/>
      </c>
      <c r="AF9" s="187" t="str">
        <f t="shared" si="14"/>
        <v>-</v>
      </c>
      <c r="AG9" s="185">
        <f t="shared" si="15"/>
        <v>0</v>
      </c>
      <c r="AH9" s="185">
        <f t="shared" si="16"/>
        <v>0</v>
      </c>
      <c r="AI9" s="187" t="str">
        <f t="shared" si="17"/>
        <v>-</v>
      </c>
      <c r="AJ9" s="185" t="str">
        <f t="shared" si="18"/>
        <v/>
      </c>
      <c r="AK9" s="185" t="str">
        <f>IF(OR($W9&lt;&gt;1,NOT(ISNUMBER($AJ9))),"",IF($AJ9&lt;=0,"",SUMPRODUCT(($W$4:$W$30=1)*ISNUMBER($AJ$4:$AJ$30)*($AJ$4:$AJ$30&gt;$AJ9))+SUMPRODUCT(($W$4:$W9=1)*ISNUMBER($AJ$4:$AJ9)*($AJ$4:$AJ9=$AJ9))))</f>
        <v/>
      </c>
      <c r="AL9" s="185" t="str">
        <f>IF(AND($W9=1,'Storehouse Replenishment Schedu'!$CU9="MISMATCH"),SUMPRODUCT(($W$4:$W9=1)*('Storehouse Replenishment Schedu'!$CU$4:$CU9="MISMATCH")),"")</f>
        <v/>
      </c>
      <c r="AM9" s="143" t="s">
        <v>387</v>
      </c>
      <c r="AN9" s="301" t="s">
        <v>404</v>
      </c>
      <c r="AO9" s="306">
        <f t="shared" si="19"/>
        <v>0</v>
      </c>
      <c r="AP9" s="305">
        <f>IF($AO9="","",SUMPRODUCT(($AM$4:$AM$30=$AM9)*($C$4:$C$30&gt;$C9))+SUMPRODUCT(($AM$4:$AM9=$AM9)*($C$4:$C9=$C9)))</f>
        <v>11</v>
      </c>
      <c r="AQ9" s="308">
        <f t="shared" si="20"/>
        <v>0</v>
      </c>
      <c r="AR9" s="332" t="str">
        <f t="shared" si="21"/>
        <v/>
      </c>
      <c r="AS9" s="307" t="str">
        <f t="shared" si="22"/>
        <v>PHASE OUT</v>
      </c>
      <c r="AT9" s="305">
        <f t="shared" si="23"/>
        <v>0</v>
      </c>
      <c r="AU9" s="305">
        <f>COUNTIFS('Daily Data'!$E$2:$E$1000,$B9,'Daily Data'!$AJ$2:$AJ$1000,1)</f>
        <v>0</v>
      </c>
      <c r="AV9" s="308">
        <f>SUMPRODUCT(MAX(('Daily Data'!$E$2:$E$1000=$B9)*'Daily Data'!$AH$2:$AH$1000))/2</f>
        <v>11</v>
      </c>
      <c r="AW9" s="308">
        <f>IFERROR(SUMIFS('Daily Data'!$AI$2:$AI$1000,'Daily Data'!$E$2:$E$1000,$B9,'Daily Data'!$AH$2:$AH$1000,"&gt;0",'Daily Data'!$AH$2:$AH$1000,"&lt;="&amp;$AV9,'Daily Data'!$AJ$2:$AJ$1000,1)/COUNTIFS('Daily Data'!$E$2:$E$1000,$B9,'Daily Data'!$AH$2:$AH$1000,"&gt;0",'Daily Data'!$AH$2:$AH$1000,"&lt;="&amp;$AV9,'Daily Data'!$AJ$2:$AJ$1000,1),0)</f>
        <v>0</v>
      </c>
      <c r="AX9" s="308">
        <f>IFERROR(SUMIFS('Daily Data'!$AI$2:$AI$1000,'Daily Data'!$E$2:$E$1000,$B9,'Daily Data'!$AH$2:$AH$1000,"&gt;"&amp;$AV9,'Daily Data'!$AJ$2:$AJ$1000,1)/COUNTIFS('Daily Data'!$E$2:$E$1000,$B9,'Daily Data'!$AH$2:$AH$1000,"&gt;"&amp;$AV9,'Daily Data'!$AJ$2:$AJ$1000,1),0)</f>
        <v>0</v>
      </c>
      <c r="AY9" s="305">
        <f>COUNTIFS('Daily Data'!$E$2:$E$1000,$B9,'Daily Data'!$L$2:$L$1000,1)</f>
        <v>22</v>
      </c>
    </row>
    <row r="10" spans="1:51" x14ac:dyDescent="0.25">
      <c r="A10" s="256">
        <v>16</v>
      </c>
      <c r="B10" s="287" t="s">
        <v>150</v>
      </c>
      <c r="C10" s="230">
        <f>IFERROR(SUMIFS('Daily Data'!$I$2:$I$1000,'Daily Data'!$E$2:$E$1000,$B10)/COUNTIFS('Daily Data'!$E$2:$E$1000,$B10,'Daily Data'!$H$2:$H$1000,"&gt;0"),0)</f>
        <v>36.200000000000003</v>
      </c>
      <c r="D10">
        <f>'Storehouse Replenishment Schedu'!CR10</f>
        <v>472</v>
      </c>
      <c r="E10" s="23">
        <f>SUMIFS('Daily Data'!$H$2:$H$1000,'Daily Data'!$E$2:$E$1000,$B10,'Daily Data'!$A$2:$A$1000,$V10)+SUMIFS('Daily Data'!$G$2:$G$1000,'Daily Data'!$E$2:$E$1000,$B10,'Daily Data'!$A$2:$A$1000,"&gt;"&amp;$V10)</f>
        <v>94</v>
      </c>
      <c r="F10" s="23">
        <f t="shared" si="0"/>
        <v>566</v>
      </c>
      <c r="G10" s="23">
        <f t="shared" si="1"/>
        <v>15.635359116022098</v>
      </c>
      <c r="H10" s="151">
        <f t="shared" si="2"/>
        <v>46310.635359116022</v>
      </c>
      <c r="I10" s="151">
        <f t="shared" si="3"/>
        <v>46316</v>
      </c>
      <c r="J10" s="23">
        <f t="shared" ca="1" si="4"/>
        <v>8</v>
      </c>
      <c r="K10" s="23">
        <f t="shared" ca="1" si="5"/>
        <v>289.60000000000002</v>
      </c>
      <c r="L10" s="23">
        <f t="shared" ca="1" si="24"/>
        <v>18.100000000000001</v>
      </c>
      <c r="M10" s="157" t="str">
        <f t="shared" si="6"/>
        <v>HEALTHY</v>
      </c>
      <c r="N10" s="153">
        <f>IF(OR($G10="",$AN10="Discontinued"),"",RANK($G10,$G$4:$G$30,1)+COUNTIF($G$4:$G10,$G10)-1)</f>
        <v>20</v>
      </c>
      <c r="O10" s="153">
        <f t="shared" ca="1" si="25"/>
        <v>19</v>
      </c>
      <c r="P10" s="154">
        <f t="shared" ca="1" si="7"/>
        <v>304</v>
      </c>
      <c r="Q10" s="155">
        <f>IFERROR(INDEX('Pantry Inventory'!$AB$5:$AB$31,MATCH($B10,'Pantry Inventory'!$Z$5:$Z$31,0)),0)</f>
        <v>0.34300000000000003</v>
      </c>
      <c r="R10" s="156">
        <f t="shared" ca="1" si="8"/>
        <v>104.27200000000001</v>
      </c>
      <c r="S10" s="143" t="s">
        <v>51</v>
      </c>
      <c r="T10" s="154">
        <f>SUMIFS('Daily Data'!$I$2:$I$1000,'Daily Data'!$E$2:$E$1000,$B10)</f>
        <v>362</v>
      </c>
      <c r="U10" s="182" t="str">
        <f>IFERROR(INDEX('Pantry Inventory'!$A$5:$A$161,MATCH($B10,'Pantry Inventory'!$B$5:$B$161,0)),"")</f>
        <v>BBMG</v>
      </c>
      <c r="V10" s="183">
        <f>SUMPRODUCT(MAX(('Daily Data'!$E$2:$E$1000=$B10)*'Daily Data'!$L$2:$L$1000*'Daily Data'!$A$2:$A$1000))</f>
        <v>46295</v>
      </c>
      <c r="W10" s="182">
        <f>IF(AND(OR(OR(Dashboard!$E$5="All",Dashboard!$E$5=""),$AM10=Dashboard!$E$5),OR(OR(Dashboard!$H$5="All",Dashboard!$H$5=""),$S10=Dashboard!$H$5),OR(OR(Dashboard!$Q$5="All",Dashboard!$Q$5=""),$U10=Dashboard!$Q$5),OR(OR(Dashboard!$U$5="All",Dashboard!$U$5=""),$B10=Dashboard!$U$5),OR(AND(OR(OR(Dashboard!$B$5="All",Dashboard!$B$5="")),OR(OR(Dashboard!$K$5="All",Dashboard!$K$5="")),OR(OR(Dashboard!$N$5="All",Dashboard!$N$5=""))),SUMIFS('Daily Data'!$I$2:$I$1000,'Daily Data'!$E$2:$E$1000,$B10,'Daily Data'!$M$2:$M$1000,1)&gt;0)),1,0)</f>
        <v>1</v>
      </c>
      <c r="X10" s="182">
        <f>IF(OR($W10&lt;&gt;1,$G10="",$AN10="Discontinued"),"",SUMPRODUCT(($W$4:$W$30=1)*($AN$4:$AN$30&lt;&gt;"Discontinued")*ISNUMBER($G$4:$G$30)*($G$4:$G$30&lt;$G10))+SUMPRODUCT(($W$4:$W10=1)*($AN$4:$AN10&lt;&gt;"Discontinued")*ISNUMBER($G$4:$G10)*($G$4:$G10=$G10)))</f>
        <v>20</v>
      </c>
      <c r="Y10" s="182">
        <f t="shared" ca="1" si="9"/>
        <v>20</v>
      </c>
      <c r="Z10" s="184">
        <f t="shared" si="10"/>
        <v>124.16600000000001</v>
      </c>
      <c r="AA10" s="185">
        <f>IF($Z10&lt;=0,"",SUMPRODUCT(ISNUMBER($Z$4:$Z$30)*($Z$4:$Z$30&gt;$Z10))+SUMPRODUCT(ISNUMBER($Z$4:$Z10)*($Z$4:$Z10=$Z10)))</f>
        <v>20</v>
      </c>
      <c r="AB10" s="186">
        <f t="shared" si="11"/>
        <v>0.97665080851316088</v>
      </c>
      <c r="AC10" s="187" t="str">
        <f t="shared" si="12"/>
        <v>C</v>
      </c>
      <c r="AD10" s="188">
        <f>IF(OR($C10&lt;=0,COUNTIFS('Daily Data'!$E$2:$E$1000,$B10,'Daily Data'!$H$2:$H$1000,"&gt;0")&lt;2),0,SQRT(MAX(0,(SUMIFS('Daily Data'!$O$2:$O$1000,'Daily Data'!$E$2:$E$1000,$B10)-SUMIFS('Daily Data'!$I$2:$I$1000,'Daily Data'!$E$2:$E$1000,$B10,'Daily Data'!$H$2:$H$1000,"&gt;0")^2/COUNTIFS('Daily Data'!$E$2:$E$1000,$B10,'Daily Data'!$H$2:$H$1000,"&gt;0"))/(COUNTIFS('Daily Data'!$E$2:$E$1000,$B10,'Daily Data'!$H$2:$H$1000,"&gt;0")-1))))</f>
        <v>20.933757957476775</v>
      </c>
      <c r="AE10" s="188">
        <f t="shared" si="13"/>
        <v>0.57828060656013192</v>
      </c>
      <c r="AF10" s="187" t="str">
        <f t="shared" si="14"/>
        <v>Y</v>
      </c>
      <c r="AG10" s="185">
        <f t="shared" si="15"/>
        <v>76.994456448905382</v>
      </c>
      <c r="AH10" s="185">
        <f t="shared" si="16"/>
        <v>257.9944564489054</v>
      </c>
      <c r="AI10" s="187" t="str">
        <f t="shared" si="17"/>
        <v>OK</v>
      </c>
      <c r="AJ10" s="185">
        <f t="shared" si="18"/>
        <v>-308.0055435510946</v>
      </c>
      <c r="AK10" s="185" t="str">
        <f>IF(OR($W10&lt;&gt;1,NOT(ISNUMBER($AJ10))),"",IF($AJ10&lt;=0,"",SUMPRODUCT(($W$4:$W$30=1)*ISNUMBER($AJ$4:$AJ$30)*($AJ$4:$AJ$30&gt;$AJ10))+SUMPRODUCT(($W$4:$W10=1)*ISNUMBER($AJ$4:$AJ10)*($AJ$4:$AJ10=$AJ10))))</f>
        <v/>
      </c>
      <c r="AL10" s="185" t="str">
        <f>IF(AND($W10=1,'Storehouse Replenishment Schedu'!$CU10="MISMATCH"),SUMPRODUCT(($W$4:$W10=1)*('Storehouse Replenishment Schedu'!$CU$4:$CU10="MISMATCH")),"")</f>
        <v/>
      </c>
      <c r="AM10" s="143" t="s">
        <v>387</v>
      </c>
      <c r="AN10" s="301" t="s">
        <v>404</v>
      </c>
      <c r="AO10" s="306">
        <f t="shared" si="19"/>
        <v>0.32175360206853143</v>
      </c>
      <c r="AP10" s="305">
        <f>IF($AO10="","",SUMPRODUCT(($AM$4:$AM$30=$AM10)*($C$4:$C$30&gt;$C10))+SUMPRODUCT(($AM$4:$AM10=$AM10)*($C$4:$C10=$C10)))</f>
        <v>1</v>
      </c>
      <c r="AQ10" s="308">
        <f t="shared" si="20"/>
        <v>3.539289622753846</v>
      </c>
      <c r="AR10" s="332">
        <f t="shared" si="21"/>
        <v>0.54054054054054057</v>
      </c>
      <c r="AS10" s="307" t="str">
        <f t="shared" si="22"/>
        <v>KEEP</v>
      </c>
      <c r="AT10" s="305">
        <f t="shared" si="23"/>
        <v>194.13800000000001</v>
      </c>
      <c r="AU10" s="305">
        <f>COUNTIFS('Daily Data'!$E$2:$E$1000,$B10,'Daily Data'!$AJ$2:$AJ$1000,1)</f>
        <v>10</v>
      </c>
      <c r="AV10" s="308">
        <f>SUMPRODUCT(MAX(('Daily Data'!$E$2:$E$1000=$B10)*'Daily Data'!$AH$2:$AH$1000))/2</f>
        <v>11</v>
      </c>
      <c r="AW10" s="308">
        <f>IFERROR(SUMIFS('Daily Data'!$AI$2:$AI$1000,'Daily Data'!$E$2:$E$1000,$B10,'Daily Data'!$AH$2:$AH$1000,"&gt;0",'Daily Data'!$AH$2:$AH$1000,"&lt;="&amp;$AV10,'Daily Data'!$AJ$2:$AJ$1000,1)/COUNTIFS('Daily Data'!$E$2:$E$1000,$B10,'Daily Data'!$AH$2:$AH$1000,"&gt;0",'Daily Data'!$AH$2:$AH$1000,"&lt;="&amp;$AV10,'Daily Data'!$AJ$2:$AJ$1000,1),0)</f>
        <v>24.666666666666668</v>
      </c>
      <c r="AX10" s="308">
        <f>IFERROR(SUMIFS('Daily Data'!$AI$2:$AI$1000,'Daily Data'!$E$2:$E$1000,$B10,'Daily Data'!$AH$2:$AH$1000,"&gt;"&amp;$AV10,'Daily Data'!$AJ$2:$AJ$1000,1)/COUNTIFS('Daily Data'!$E$2:$E$1000,$B10,'Daily Data'!$AH$2:$AH$1000,"&gt;"&amp;$AV10,'Daily Data'!$AJ$2:$AJ$1000,1),0)</f>
        <v>38</v>
      </c>
      <c r="AY10" s="305">
        <f>COUNTIFS('Daily Data'!$E$2:$E$1000,$B10,'Daily Data'!$L$2:$L$1000,1)</f>
        <v>22</v>
      </c>
    </row>
    <row r="11" spans="1:51" x14ac:dyDescent="0.25">
      <c r="A11" s="256">
        <v>24</v>
      </c>
      <c r="B11" s="287" t="s">
        <v>152</v>
      </c>
      <c r="C11" s="230">
        <f>IFERROR(SUMIFS('Daily Data'!$I$2:$I$1000,'Daily Data'!$E$2:$E$1000,$B11)/COUNTIFS('Daily Data'!$E$2:$E$1000,$B11,'Daily Data'!$H$2:$H$1000,"&gt;0"),0)</f>
        <v>3.8636363636363638</v>
      </c>
      <c r="D11">
        <f>'Storehouse Replenishment Schedu'!CR11</f>
        <v>0</v>
      </c>
      <c r="E11" s="23">
        <f>SUMIFS('Daily Data'!$H$2:$H$1000,'Daily Data'!$E$2:$E$1000,$B11,'Daily Data'!$A$2:$A$1000,$V11)+SUMIFS('Daily Data'!$G$2:$G$1000,'Daily Data'!$E$2:$E$1000,$B11,'Daily Data'!$A$2:$A$1000,"&gt;"&amp;$V11)</f>
        <v>20</v>
      </c>
      <c r="F11" s="23">
        <f t="shared" si="0"/>
        <v>20</v>
      </c>
      <c r="G11" s="23">
        <f t="shared" si="1"/>
        <v>5.1764705882352944</v>
      </c>
      <c r="H11" s="151">
        <f t="shared" si="2"/>
        <v>46300.176470588238</v>
      </c>
      <c r="I11" s="151">
        <f t="shared" si="3"/>
        <v>46302</v>
      </c>
      <c r="J11" s="23">
        <f t="shared" ca="1" si="4"/>
        <v>18</v>
      </c>
      <c r="K11" s="23">
        <f t="shared" ca="1" si="5"/>
        <v>69.545454545454547</v>
      </c>
      <c r="L11" s="23">
        <f t="shared" ca="1" si="24"/>
        <v>2.8977272727272729</v>
      </c>
      <c r="M11" s="157" t="str">
        <f t="shared" si="6"/>
        <v>LOW</v>
      </c>
      <c r="N11" s="153">
        <f>IF(OR($G11="",$AN11="Discontinued"),"",RANK($G11,$G$4:$G$30,1)+COUNTIF($G$4:$G11,$G11)-1)</f>
        <v>10</v>
      </c>
      <c r="O11" s="153">
        <f t="shared" ca="1" si="25"/>
        <v>3</v>
      </c>
      <c r="P11" s="154">
        <f t="shared" ca="1" si="7"/>
        <v>72</v>
      </c>
      <c r="Q11" s="155">
        <f>IFERROR(INDEX('Pantry Inventory'!$AB$5:$AB$31,MATCH($B11,'Pantry Inventory'!$Z$5:$Z$31,0)),0)</f>
        <v>3.4580000000000002</v>
      </c>
      <c r="R11" s="156">
        <f t="shared" ca="1" si="8"/>
        <v>248.976</v>
      </c>
      <c r="S11" s="143" t="s">
        <v>51</v>
      </c>
      <c r="T11" s="154">
        <f>SUMIFS('Daily Data'!$I$2:$I$1000,'Daily Data'!$E$2:$E$1000,$B11)</f>
        <v>85</v>
      </c>
      <c r="U11" s="182" t="str">
        <f>IFERROR(INDEX('Pantry Inventory'!$A$5:$A$161,MATCH($B11,'Pantry Inventory'!$B$5:$B$161,0)),"")</f>
        <v>Lays</v>
      </c>
      <c r="V11" s="183">
        <f>SUMPRODUCT(MAX(('Daily Data'!$E$2:$E$1000=$B11)*'Daily Data'!$L$2:$L$1000*'Daily Data'!$A$2:$A$1000))</f>
        <v>46295</v>
      </c>
      <c r="W11" s="182">
        <f>IF(AND(OR(OR(Dashboard!$E$5="All",Dashboard!$E$5=""),$AM11=Dashboard!$E$5),OR(OR(Dashboard!$H$5="All",Dashboard!$H$5=""),$S11=Dashboard!$H$5),OR(OR(Dashboard!$Q$5="All",Dashboard!$Q$5=""),$U11=Dashboard!$Q$5),OR(OR(Dashboard!$U$5="All",Dashboard!$U$5=""),$B11=Dashboard!$U$5),OR(AND(OR(OR(Dashboard!$B$5="All",Dashboard!$B$5="")),OR(OR(Dashboard!$K$5="All",Dashboard!$K$5="")),OR(OR(Dashboard!$N$5="All",Dashboard!$N$5=""))),SUMIFS('Daily Data'!$I$2:$I$1000,'Daily Data'!$E$2:$E$1000,$B11,'Daily Data'!$M$2:$M$1000,1)&gt;0)),1,0)</f>
        <v>1</v>
      </c>
      <c r="X11" s="182">
        <f>IF(OR($W11&lt;&gt;1,$G11="",$AN11="Discontinued"),"",SUMPRODUCT(($W$4:$W$30=1)*($AN$4:$AN$30&lt;&gt;"Discontinued")*ISNUMBER($G$4:$G$30)*($G$4:$G$30&lt;$G11))+SUMPRODUCT(($W$4:$W11=1)*($AN$4:$AN11&lt;&gt;"Discontinued")*ISNUMBER($G$4:$G11)*($G$4:$G11=$G11)))</f>
        <v>10</v>
      </c>
      <c r="Y11" s="182">
        <f t="shared" ca="1" si="9"/>
        <v>10</v>
      </c>
      <c r="Z11" s="184">
        <f t="shared" si="10"/>
        <v>293.93</v>
      </c>
      <c r="AA11" s="185">
        <f>IF($Z11&lt;=0,"",SUMPRODUCT(ISNUMBER($Z$4:$Z$30)*($Z$4:$Z$30&gt;$Z11))+SUMPRODUCT(ISNUMBER($Z$4:$Z11)*($Z$4:$Z11=$Z11)))</f>
        <v>13</v>
      </c>
      <c r="AB11" s="186">
        <f t="shared" si="11"/>
        <v>0.86752356736054792</v>
      </c>
      <c r="AC11" s="187" t="str">
        <f t="shared" si="12"/>
        <v>B</v>
      </c>
      <c r="AD11" s="188">
        <f>IF(OR($C11&lt;=0,COUNTIFS('Daily Data'!$E$2:$E$1000,$B11,'Daily Data'!$H$2:$H$1000,"&gt;0")&lt;2),0,SQRT(MAX(0,(SUMIFS('Daily Data'!$O$2:$O$1000,'Daily Data'!$E$2:$E$1000,$B11)-SUMIFS('Daily Data'!$I$2:$I$1000,'Daily Data'!$E$2:$E$1000,$B11,'Daily Data'!$H$2:$H$1000,"&gt;0")^2/COUNTIFS('Daily Data'!$E$2:$E$1000,$B11,'Daily Data'!$H$2:$H$1000,"&gt;0"))/(COUNTIFS('Daily Data'!$E$2:$E$1000,$B11,'Daily Data'!$H$2:$H$1000,"&gt;0")-1))))</f>
        <v>2.695595252673102</v>
      </c>
      <c r="AE11" s="188">
        <f t="shared" si="13"/>
        <v>0.69768347716244994</v>
      </c>
      <c r="AF11" s="187" t="str">
        <f t="shared" si="14"/>
        <v>Y</v>
      </c>
      <c r="AG11" s="185">
        <f t="shared" si="15"/>
        <v>9.914411531240976</v>
      </c>
      <c r="AH11" s="185">
        <f t="shared" si="16"/>
        <v>29.232593349422796</v>
      </c>
      <c r="AI11" s="187" t="str">
        <f t="shared" si="17"/>
        <v>BELOW ROP</v>
      </c>
      <c r="AJ11" s="185">
        <f t="shared" si="18"/>
        <v>9.2325933494227961</v>
      </c>
      <c r="AK11" s="185">
        <f>IF(OR($W11&lt;&gt;1,NOT(ISNUMBER($AJ11))),"",IF($AJ11&lt;=0,"",SUMPRODUCT(($W$4:$W$30=1)*ISNUMBER($AJ$4:$AJ$30)*($AJ$4:$AJ$30&gt;$AJ11))+SUMPRODUCT(($W$4:$W11=1)*ISNUMBER($AJ$4:$AJ11)*($AJ$4:$AJ11=$AJ11))))</f>
        <v>13</v>
      </c>
      <c r="AL11" s="185" t="str">
        <f>IF(AND($W11=1,'Storehouse Replenishment Schedu'!$CU11="MISMATCH"),SUMPRODUCT(($W$4:$W11=1)*('Storehouse Replenishment Schedu'!$CU$4:$CU11="MISMATCH")),"")</f>
        <v/>
      </c>
      <c r="AM11" s="143" t="s">
        <v>387</v>
      </c>
      <c r="AN11" s="301" t="s">
        <v>404</v>
      </c>
      <c r="AO11" s="306">
        <f t="shared" si="19"/>
        <v>3.4340854063065258E-2</v>
      </c>
      <c r="AP11" s="305">
        <f>IF($AO11="","",SUMPRODUCT(($AM$4:$AM$30=$AM11)*($C$4:$C$30&gt;$C11))+SUMPRODUCT(($AM$4:$AM11=$AM11)*($C$4:$C11=$C11)))</f>
        <v>9</v>
      </c>
      <c r="AQ11" s="308">
        <f t="shared" si="20"/>
        <v>0.37774939469371788</v>
      </c>
      <c r="AR11" s="332">
        <f t="shared" si="21"/>
        <v>2.3809523809523725E-2</v>
      </c>
      <c r="AS11" s="307" t="str">
        <f t="shared" si="22"/>
        <v>REVIEW</v>
      </c>
      <c r="AT11" s="305">
        <f t="shared" si="23"/>
        <v>69.16</v>
      </c>
      <c r="AU11" s="305">
        <f>COUNTIFS('Daily Data'!$E$2:$E$1000,$B11,'Daily Data'!$AJ$2:$AJ$1000,1)</f>
        <v>22</v>
      </c>
      <c r="AV11" s="308">
        <f>SUMPRODUCT(MAX(('Daily Data'!$E$2:$E$1000=$B11)*'Daily Data'!$AH$2:$AH$1000))/2</f>
        <v>11</v>
      </c>
      <c r="AW11" s="308">
        <f>IFERROR(SUMIFS('Daily Data'!$AI$2:$AI$1000,'Daily Data'!$E$2:$E$1000,$B11,'Daily Data'!$AH$2:$AH$1000,"&gt;0",'Daily Data'!$AH$2:$AH$1000,"&lt;="&amp;$AV11,'Daily Data'!$AJ$2:$AJ$1000,1)/COUNTIFS('Daily Data'!$E$2:$E$1000,$B11,'Daily Data'!$AH$2:$AH$1000,"&gt;0",'Daily Data'!$AH$2:$AH$1000,"&lt;="&amp;$AV11,'Daily Data'!$AJ$2:$AJ$1000,1),0)</f>
        <v>3.8181818181818183</v>
      </c>
      <c r="AX11" s="308">
        <f>IFERROR(SUMIFS('Daily Data'!$AI$2:$AI$1000,'Daily Data'!$E$2:$E$1000,$B11,'Daily Data'!$AH$2:$AH$1000,"&gt;"&amp;$AV11,'Daily Data'!$AJ$2:$AJ$1000,1)/COUNTIFS('Daily Data'!$E$2:$E$1000,$B11,'Daily Data'!$AH$2:$AH$1000,"&gt;"&amp;$AV11,'Daily Data'!$AJ$2:$AJ$1000,1),0)</f>
        <v>3.9090909090909092</v>
      </c>
      <c r="AY11" s="305">
        <f>COUNTIFS('Daily Data'!$E$2:$E$1000,$B11,'Daily Data'!$L$2:$L$1000,1)</f>
        <v>22</v>
      </c>
    </row>
    <row r="12" spans="1:51" x14ac:dyDescent="0.25">
      <c r="A12" s="256">
        <v>24</v>
      </c>
      <c r="B12" s="287" t="s">
        <v>153</v>
      </c>
      <c r="C12" s="230">
        <f>IFERROR(SUMIFS('Daily Data'!$I$2:$I$1000,'Daily Data'!$E$2:$E$1000,$B12)/COUNTIFS('Daily Data'!$E$2:$E$1000,$B12,'Daily Data'!$H$2:$H$1000,"&gt;0"),0)</f>
        <v>15.75</v>
      </c>
      <c r="D12">
        <f>'Storehouse Replenishment Schedu'!CR12</f>
        <v>93</v>
      </c>
      <c r="E12" s="23">
        <f>SUMIFS('Daily Data'!$H$2:$H$1000,'Daily Data'!$E$2:$E$1000,$B12,'Daily Data'!$A$2:$A$1000,$V12)+SUMIFS('Daily Data'!$G$2:$G$1000,'Daily Data'!$E$2:$E$1000,$B12,'Daily Data'!$A$2:$A$1000,"&gt;"&amp;$V12)</f>
        <v>39</v>
      </c>
      <c r="F12" s="23">
        <f t="shared" si="0"/>
        <v>132</v>
      </c>
      <c r="G12" s="23">
        <f t="shared" si="1"/>
        <v>8.3809523809523814</v>
      </c>
      <c r="H12" s="151">
        <f t="shared" si="2"/>
        <v>46303.380952380954</v>
      </c>
      <c r="I12" s="151">
        <f t="shared" si="3"/>
        <v>46307</v>
      </c>
      <c r="J12" s="23">
        <f t="shared" ca="1" si="4"/>
        <v>15</v>
      </c>
      <c r="K12" s="23">
        <f t="shared" ca="1" si="5"/>
        <v>236.25</v>
      </c>
      <c r="L12" s="23">
        <f t="shared" ca="1" si="24"/>
        <v>9.84375</v>
      </c>
      <c r="M12" s="157" t="str">
        <f t="shared" si="6"/>
        <v>WATCH</v>
      </c>
      <c r="N12" s="153">
        <f>IF(OR($G12="",$AN12="Discontinued"),"",RANK($G12,$G$4:$G$30,1)+COUNTIF($G$4:$G12,$G12)-1)</f>
        <v>16</v>
      </c>
      <c r="O12" s="153">
        <f t="shared" ca="1" si="25"/>
        <v>10</v>
      </c>
      <c r="P12" s="154">
        <f t="shared" ca="1" si="7"/>
        <v>240</v>
      </c>
      <c r="Q12" s="155">
        <f>IFERROR(INDEX('Pantry Inventory'!$AB$5:$AB$31,MATCH($B12,'Pantry Inventory'!$Z$5:$Z$31,0)),0)</f>
        <v>4</v>
      </c>
      <c r="R12" s="156">
        <f t="shared" ca="1" si="8"/>
        <v>960</v>
      </c>
      <c r="S12" s="143" t="s">
        <v>51</v>
      </c>
      <c r="T12" s="154">
        <f>SUMIFS('Daily Data'!$I$2:$I$1000,'Daily Data'!$E$2:$E$1000,$B12)</f>
        <v>315</v>
      </c>
      <c r="U12" s="182" t="str">
        <f>IFERROR(INDEX('Pantry Inventory'!$A$5:$A$161,MATCH($B12,'Pantry Inventory'!$B$5:$B$161,0)),"")</f>
        <v>Lays</v>
      </c>
      <c r="V12" s="183">
        <f>SUMPRODUCT(MAX(('Daily Data'!$E$2:$E$1000=$B12)*'Daily Data'!$L$2:$L$1000*'Daily Data'!$A$2:$A$1000))</f>
        <v>46295</v>
      </c>
      <c r="W12" s="182">
        <f>IF(AND(OR(OR(Dashboard!$E$5="All",Dashboard!$E$5=""),$AM12=Dashboard!$E$5),OR(OR(Dashboard!$H$5="All",Dashboard!$H$5=""),$S12=Dashboard!$H$5),OR(OR(Dashboard!$Q$5="All",Dashboard!$Q$5=""),$U12=Dashboard!$Q$5),OR(OR(Dashboard!$U$5="All",Dashboard!$U$5=""),$B12=Dashboard!$U$5),OR(AND(OR(OR(Dashboard!$B$5="All",Dashboard!$B$5="")),OR(OR(Dashboard!$K$5="All",Dashboard!$K$5="")),OR(OR(Dashboard!$N$5="All",Dashboard!$N$5=""))),SUMIFS('Daily Data'!$I$2:$I$1000,'Daily Data'!$E$2:$E$1000,$B12,'Daily Data'!$M$2:$M$1000,1)&gt;0)),1,0)</f>
        <v>1</v>
      </c>
      <c r="X12" s="182">
        <f>IF(OR($W12&lt;&gt;1,$G12="",$AN12="Discontinued"),"",SUMPRODUCT(($W$4:$W$30=1)*($AN$4:$AN$30&lt;&gt;"Discontinued")*ISNUMBER($G$4:$G$30)*($G$4:$G$30&lt;$G12))+SUMPRODUCT(($W$4:$W12=1)*($AN$4:$AN12&lt;&gt;"Discontinued")*ISNUMBER($G$4:$G12)*($G$4:$G12=$G12)))</f>
        <v>16</v>
      </c>
      <c r="Y12" s="182">
        <f t="shared" ca="1" si="9"/>
        <v>16</v>
      </c>
      <c r="Z12" s="184">
        <f t="shared" si="10"/>
        <v>1260</v>
      </c>
      <c r="AA12" s="185">
        <f>IF($Z12&lt;=0,"",SUMPRODUCT(ISNUMBER($Z$4:$Z$30)*($Z$4:$Z$30&gt;$Z12))+SUMPRODUCT(ISNUMBER($Z$4:$Z12)*($Z$4:$Z12=$Z12)))</f>
        <v>1</v>
      </c>
      <c r="AB12" s="186">
        <f t="shared" si="11"/>
        <v>0.12244677816773945</v>
      </c>
      <c r="AC12" s="187" t="str">
        <f t="shared" si="12"/>
        <v>A</v>
      </c>
      <c r="AD12" s="188">
        <f>IF(OR($C12&lt;=0,COUNTIFS('Daily Data'!$E$2:$E$1000,$B12,'Daily Data'!$H$2:$H$1000,"&gt;0")&lt;2),0,SQRT(MAX(0,(SUMIFS('Daily Data'!$O$2:$O$1000,'Daily Data'!$E$2:$E$1000,$B12)-SUMIFS('Daily Data'!$I$2:$I$1000,'Daily Data'!$E$2:$E$1000,$B12,'Daily Data'!$H$2:$H$1000,"&gt;0")^2/COUNTIFS('Daily Data'!$E$2:$E$1000,$B12,'Daily Data'!$H$2:$H$1000,"&gt;0"))/(COUNTIFS('Daily Data'!$E$2:$E$1000,$B12,'Daily Data'!$H$2:$H$1000,"&gt;0")-1))))</f>
        <v>7.5691548579189414</v>
      </c>
      <c r="AE12" s="188">
        <f t="shared" si="13"/>
        <v>0.48058126082025027</v>
      </c>
      <c r="AF12" s="187" t="str">
        <f t="shared" si="14"/>
        <v>X</v>
      </c>
      <c r="AG12" s="185">
        <f t="shared" si="15"/>
        <v>27.839385801960692</v>
      </c>
      <c r="AH12" s="185">
        <f t="shared" si="16"/>
        <v>106.58938580196069</v>
      </c>
      <c r="AI12" s="187" t="str">
        <f t="shared" si="17"/>
        <v>OK</v>
      </c>
      <c r="AJ12" s="185">
        <f t="shared" si="18"/>
        <v>-25.410614198039312</v>
      </c>
      <c r="AK12" s="185" t="str">
        <f>IF(OR($W12&lt;&gt;1,NOT(ISNUMBER($AJ12))),"",IF($AJ12&lt;=0,"",SUMPRODUCT(($W$4:$W$30=1)*ISNUMBER($AJ$4:$AJ$30)*($AJ$4:$AJ$30&gt;$AJ12))+SUMPRODUCT(($W$4:$W12=1)*ISNUMBER($AJ$4:$AJ12)*($AJ$4:$AJ12=$AJ12))))</f>
        <v/>
      </c>
      <c r="AL12" s="185" t="str">
        <f>IF(AND($W12=1,'Storehouse Replenishment Schedu'!$CU12="MISMATCH"),SUMPRODUCT(($W$4:$W12=1)*('Storehouse Replenishment Schedu'!$CU$4:$CU12="MISMATCH")),"")</f>
        <v/>
      </c>
      <c r="AM12" s="143" t="s">
        <v>387</v>
      </c>
      <c r="AN12" s="301" t="s">
        <v>404</v>
      </c>
      <c r="AO12" s="306">
        <f t="shared" si="19"/>
        <v>0.13998948156296601</v>
      </c>
      <c r="AP12" s="305">
        <f>IF($AO12="","",SUMPRODUCT(($AM$4:$AM$30=$AM12)*($C$4:$C$30&gt;$C12))+SUMPRODUCT(($AM$4:$AM12=$AM12)*($C$4:$C12=$C12)))</f>
        <v>3</v>
      </c>
      <c r="AQ12" s="308">
        <f t="shared" si="20"/>
        <v>1.5398842971926263</v>
      </c>
      <c r="AR12" s="332">
        <f t="shared" si="21"/>
        <v>-0.19999999999999996</v>
      </c>
      <c r="AS12" s="307" t="str">
        <f t="shared" si="22"/>
        <v>KEEP</v>
      </c>
      <c r="AT12" s="305">
        <f t="shared" si="23"/>
        <v>528</v>
      </c>
      <c r="AU12" s="305">
        <f>COUNTIFS('Daily Data'!$E$2:$E$1000,$B12,'Daily Data'!$AJ$2:$AJ$1000,1)</f>
        <v>20</v>
      </c>
      <c r="AV12" s="308">
        <f>SUMPRODUCT(MAX(('Daily Data'!$E$2:$E$1000=$B12)*'Daily Data'!$AH$2:$AH$1000))/2</f>
        <v>11</v>
      </c>
      <c r="AW12" s="308">
        <f>IFERROR(SUMIFS('Daily Data'!$AI$2:$AI$1000,'Daily Data'!$E$2:$E$1000,$B12,'Daily Data'!$AH$2:$AH$1000,"&gt;0",'Daily Data'!$AH$2:$AH$1000,"&lt;="&amp;$AV12,'Daily Data'!$AJ$2:$AJ$1000,1)/COUNTIFS('Daily Data'!$E$2:$E$1000,$B12,'Daily Data'!$AH$2:$AH$1000,"&gt;0",'Daily Data'!$AH$2:$AH$1000,"&lt;="&amp;$AV12,'Daily Data'!$AJ$2:$AJ$1000,1),0)</f>
        <v>15</v>
      </c>
      <c r="AX12" s="308">
        <f>IFERROR(SUMIFS('Daily Data'!$AI$2:$AI$1000,'Daily Data'!$E$2:$E$1000,$B12,'Daily Data'!$AH$2:$AH$1000,"&gt;"&amp;$AV12,'Daily Data'!$AJ$2:$AJ$1000,1)/COUNTIFS('Daily Data'!$E$2:$E$1000,$B12,'Daily Data'!$AH$2:$AH$1000,"&gt;"&amp;$AV12,'Daily Data'!$AJ$2:$AJ$1000,1),0)</f>
        <v>12</v>
      </c>
      <c r="AY12" s="305">
        <f>COUNTIFS('Daily Data'!$E$2:$E$1000,$B12,'Daily Data'!$L$2:$L$1000,1)</f>
        <v>22</v>
      </c>
    </row>
    <row r="13" spans="1:51" x14ac:dyDescent="0.25">
      <c r="A13" s="256">
        <v>15</v>
      </c>
      <c r="B13" s="287" t="s">
        <v>155</v>
      </c>
      <c r="C13" s="230">
        <f>IFERROR(SUMIFS('Daily Data'!$I$2:$I$1000,'Daily Data'!$E$2:$E$1000,$B13)/COUNTIFS('Daily Data'!$E$2:$E$1000,$B13,'Daily Data'!$H$2:$H$1000,"&gt;0"),0)</f>
        <v>15.833333333333334</v>
      </c>
      <c r="D13">
        <f>'Storehouse Replenishment Schedu'!CR13</f>
        <v>0</v>
      </c>
      <c r="E13" s="23">
        <f>SUMIFS('Daily Data'!$H$2:$H$1000,'Daily Data'!$E$2:$E$1000,$B13,'Daily Data'!$A$2:$A$1000,$V13)+SUMIFS('Daily Data'!$G$2:$G$1000,'Daily Data'!$E$2:$E$1000,$B13,'Daily Data'!$A$2:$A$1000,"&gt;"&amp;$V13)</f>
        <v>45</v>
      </c>
      <c r="F13" s="23">
        <f t="shared" si="0"/>
        <v>45</v>
      </c>
      <c r="G13" s="23">
        <f t="shared" si="1"/>
        <v>2.8421052631578947</v>
      </c>
      <c r="H13" s="151">
        <f t="shared" si="2"/>
        <v>46297.84210526316</v>
      </c>
      <c r="I13" s="151">
        <f t="shared" si="3"/>
        <v>46297</v>
      </c>
      <c r="J13" s="23">
        <f t="shared" ca="1" si="4"/>
        <v>21</v>
      </c>
      <c r="K13" s="23">
        <f t="shared" ca="1" si="5"/>
        <v>332.5</v>
      </c>
      <c r="L13" s="233">
        <f t="shared" ca="1" si="24"/>
        <v>22.166666666666668</v>
      </c>
      <c r="M13" s="157" t="str">
        <f t="shared" si="6"/>
        <v>CRITICAL</v>
      </c>
      <c r="N13" s="153">
        <f>IF(OR($G13="",$AN13="Discontinued"),"",RANK($G13,$G$4:$G$30,1)+COUNTIF($G$4:$G13,$G13)-1)</f>
        <v>6</v>
      </c>
      <c r="O13" s="153">
        <f t="shared" ca="1" si="25"/>
        <v>23</v>
      </c>
      <c r="P13" s="154">
        <f t="shared" ca="1" si="7"/>
        <v>345</v>
      </c>
      <c r="Q13" s="155">
        <f>IFERROR(INDEX('Pantry Inventory'!$AB$5:$AB$31,MATCH($B13,'Pantry Inventory'!$Z$5:$Z$31,0)),0)</f>
        <v>0.73</v>
      </c>
      <c r="R13" s="156">
        <f t="shared" ca="1" si="8"/>
        <v>251.85</v>
      </c>
      <c r="S13" s="143" t="s">
        <v>48</v>
      </c>
      <c r="T13" s="154">
        <f>SUMIFS('Daily Data'!$I$2:$I$1000,'Daily Data'!$E$2:$E$1000,$B13)</f>
        <v>285</v>
      </c>
      <c r="U13" s="182" t="str">
        <f>IFERROR(INDEX('Pantry Inventory'!$A$5:$A$161,MATCH($B13,'Pantry Inventory'!$B$5:$B$161,0)),"")</f>
        <v>Munchy</v>
      </c>
      <c r="V13" s="183">
        <f>SUMPRODUCT(MAX(('Daily Data'!$E$2:$E$1000=$B13)*'Daily Data'!$L$2:$L$1000*'Daily Data'!$A$2:$A$1000))</f>
        <v>46295</v>
      </c>
      <c r="W13" s="182">
        <f>IF(AND(OR(OR(Dashboard!$E$5="All",Dashboard!$E$5=""),$AM13=Dashboard!$E$5),OR(OR(Dashboard!$H$5="All",Dashboard!$H$5=""),$S13=Dashboard!$H$5),OR(OR(Dashboard!$Q$5="All",Dashboard!$Q$5=""),$U13=Dashboard!$Q$5),OR(OR(Dashboard!$U$5="All",Dashboard!$U$5=""),$B13=Dashboard!$U$5),OR(AND(OR(OR(Dashboard!$B$5="All",Dashboard!$B$5="")),OR(OR(Dashboard!$K$5="All",Dashboard!$K$5="")),OR(OR(Dashboard!$N$5="All",Dashboard!$N$5=""))),SUMIFS('Daily Data'!$I$2:$I$1000,'Daily Data'!$E$2:$E$1000,$B13,'Daily Data'!$M$2:$M$1000,1)&gt;0)),1,0)</f>
        <v>1</v>
      </c>
      <c r="X13" s="182">
        <f>IF(OR($W13&lt;&gt;1,$G13="",$AN13="Discontinued"),"",SUMPRODUCT(($W$4:$W$30=1)*($AN$4:$AN$30&lt;&gt;"Discontinued")*ISNUMBER($G$4:$G$30)*($G$4:$G$30&lt;$G13))+SUMPRODUCT(($W$4:$W13=1)*($AN$4:$AN13&lt;&gt;"Discontinued")*ISNUMBER($G$4:$G13)*($G$4:$G13=$G13)))</f>
        <v>6</v>
      </c>
      <c r="Y13" s="182">
        <f t="shared" ca="1" si="9"/>
        <v>6</v>
      </c>
      <c r="Z13" s="184">
        <f t="shared" si="10"/>
        <v>208.04999999999998</v>
      </c>
      <c r="AA13" s="185">
        <f>IF($Z13&lt;=0,"",SUMPRODUCT(ISNUMBER($Z$4:$Z$30)*($Z$4:$Z$30&gt;$Z13))+SUMPRODUCT(ISNUMBER($Z$4:$Z13)*($Z$4:$Z13=$Z13)))</f>
        <v>15</v>
      </c>
      <c r="AB13" s="186">
        <f t="shared" si="11"/>
        <v>0.90847530923885245</v>
      </c>
      <c r="AC13" s="187" t="str">
        <f t="shared" si="12"/>
        <v>B</v>
      </c>
      <c r="AD13" s="188">
        <f>IF(OR($C13&lt;=0,COUNTIFS('Daily Data'!$E$2:$E$1000,$B13,'Daily Data'!$H$2:$H$1000,"&gt;0")&lt;2),0,SQRT(MAX(0,(SUMIFS('Daily Data'!$O$2:$O$1000,'Daily Data'!$E$2:$E$1000,$B13)-SUMIFS('Daily Data'!$I$2:$I$1000,'Daily Data'!$E$2:$E$1000,$B13,'Daily Data'!$H$2:$H$1000,"&gt;0")^2/COUNTIFS('Daily Data'!$E$2:$E$1000,$B13,'Daily Data'!$H$2:$H$1000,"&gt;0"))/(COUNTIFS('Daily Data'!$E$2:$E$1000,$B13,'Daily Data'!$H$2:$H$1000,"&gt;0")-1))))</f>
        <v>12.001089275180385</v>
      </c>
      <c r="AE13" s="188">
        <f t="shared" si="13"/>
        <v>0.75796353316928744</v>
      </c>
      <c r="AF13" s="187" t="str">
        <f t="shared" si="14"/>
        <v>Y</v>
      </c>
      <c r="AG13" s="185">
        <f t="shared" si="15"/>
        <v>44.140060633846986</v>
      </c>
      <c r="AH13" s="185">
        <f t="shared" si="16"/>
        <v>123.30672730051366</v>
      </c>
      <c r="AI13" s="187" t="str">
        <f t="shared" si="17"/>
        <v>BELOW ROP</v>
      </c>
      <c r="AJ13" s="185">
        <f t="shared" si="18"/>
        <v>78.306727300513657</v>
      </c>
      <c r="AK13" s="185">
        <f>IF(OR($W13&lt;&gt;1,NOT(ISNUMBER($AJ13))),"",IF($AJ13&lt;=0,"",SUMPRODUCT(($W$4:$W$30=1)*ISNUMBER($AJ$4:$AJ$30)*($AJ$4:$AJ$30&gt;$AJ13))+SUMPRODUCT(($W$4:$W13=1)*ISNUMBER($AJ$4:$AJ13)*($AJ$4:$AJ13=$AJ13))))</f>
        <v>3</v>
      </c>
      <c r="AL13" s="185" t="str">
        <f>IF(AND($W13=1,'Storehouse Replenishment Schedu'!$CU13="MISMATCH"),SUMPRODUCT(($W$4:$W13=1)*('Storehouse Replenishment Schedu'!$CU$4:$CU13="MISMATCH")),"")</f>
        <v/>
      </c>
      <c r="AM13" s="143" t="s">
        <v>387</v>
      </c>
      <c r="AN13" s="301" t="s">
        <v>404</v>
      </c>
      <c r="AO13" s="306">
        <f t="shared" si="19"/>
        <v>0.14073016665060076</v>
      </c>
      <c r="AP13" s="305">
        <f>IF($AO13="","",SUMPRODUCT(($AM$4:$AM$30=$AM13)*($C$4:$C$30&gt;$C13))+SUMPRODUCT(($AM$4:$AM13=$AM13)*($C$4:$C13=$C13)))</f>
        <v>2</v>
      </c>
      <c r="AQ13" s="308">
        <f t="shared" si="20"/>
        <v>1.5480318331566085</v>
      </c>
      <c r="AR13" s="332">
        <f t="shared" si="21"/>
        <v>-0.45806451612903221</v>
      </c>
      <c r="AS13" s="307" t="str">
        <f t="shared" si="22"/>
        <v>KEEP</v>
      </c>
      <c r="AT13" s="305">
        <f t="shared" si="23"/>
        <v>32.85</v>
      </c>
      <c r="AU13" s="305">
        <f>COUNTIFS('Daily Data'!$E$2:$E$1000,$B13,'Daily Data'!$AJ$2:$AJ$1000,1)</f>
        <v>18</v>
      </c>
      <c r="AV13" s="308">
        <f>SUMPRODUCT(MAX(('Daily Data'!$E$2:$E$1000=$B13)*'Daily Data'!$AH$2:$AH$1000))/2</f>
        <v>11</v>
      </c>
      <c r="AW13" s="308">
        <f>IFERROR(SUMIFS('Daily Data'!$AI$2:$AI$1000,'Daily Data'!$E$2:$E$1000,$B13,'Daily Data'!$AH$2:$AH$1000,"&gt;0",'Daily Data'!$AH$2:$AH$1000,"&lt;="&amp;$AV13,'Daily Data'!$AJ$2:$AJ$1000,1)/COUNTIFS('Daily Data'!$E$2:$E$1000,$B13,'Daily Data'!$AH$2:$AH$1000,"&gt;0",'Daily Data'!$AH$2:$AH$1000,"&lt;="&amp;$AV13,'Daily Data'!$AJ$2:$AJ$1000,1),0)</f>
        <v>19.375</v>
      </c>
      <c r="AX13" s="308">
        <f>IFERROR(SUMIFS('Daily Data'!$AI$2:$AI$1000,'Daily Data'!$E$2:$E$1000,$B13,'Daily Data'!$AH$2:$AH$1000,"&gt;"&amp;$AV13,'Daily Data'!$AJ$2:$AJ$1000,1)/COUNTIFS('Daily Data'!$E$2:$E$1000,$B13,'Daily Data'!$AH$2:$AH$1000,"&gt;"&amp;$AV13,'Daily Data'!$AJ$2:$AJ$1000,1),0)</f>
        <v>10.5</v>
      </c>
      <c r="AY13" s="305">
        <f>COUNTIFS('Daily Data'!$E$2:$E$1000,$B13,'Daily Data'!$L$2:$L$1000,1)</f>
        <v>22</v>
      </c>
    </row>
    <row r="14" spans="1:51" x14ac:dyDescent="0.25">
      <c r="A14" s="256">
        <v>15</v>
      </c>
      <c r="B14" s="287" t="s">
        <v>156</v>
      </c>
      <c r="C14" s="230">
        <f>IFERROR(SUMIFS('Daily Data'!$I$2:$I$1000,'Daily Data'!$E$2:$E$1000,$B14)/COUNTIFS('Daily Data'!$E$2:$E$1000,$B14,'Daily Data'!$H$2:$H$1000,"&gt;0"),0)</f>
        <v>8.2727272727272734</v>
      </c>
      <c r="D14">
        <f>'Storehouse Replenishment Schedu'!CR14</f>
        <v>0</v>
      </c>
      <c r="E14" s="23">
        <f>SUMIFS('Daily Data'!$H$2:$H$1000,'Daily Data'!$E$2:$E$1000,$B14,'Daily Data'!$A$2:$A$1000,$V14)+SUMIFS('Daily Data'!$G$2:$G$1000,'Daily Data'!$E$2:$E$1000,$B14,'Daily Data'!$A$2:$A$1000,"&gt;"&amp;$V14)</f>
        <v>37</v>
      </c>
      <c r="F14" s="23">
        <f t="shared" si="0"/>
        <v>37</v>
      </c>
      <c r="G14" s="23">
        <f t="shared" si="1"/>
        <v>4.4725274725274717</v>
      </c>
      <c r="H14" s="151">
        <f t="shared" si="2"/>
        <v>46299.472527472528</v>
      </c>
      <c r="I14" s="151">
        <f t="shared" si="3"/>
        <v>46301</v>
      </c>
      <c r="J14" s="23">
        <f t="shared" ca="1" si="4"/>
        <v>19</v>
      </c>
      <c r="K14" s="23">
        <f t="shared" ca="1" si="5"/>
        <v>157.18181818181819</v>
      </c>
      <c r="L14" s="23">
        <f t="shared" ca="1" si="24"/>
        <v>10.478787878787879</v>
      </c>
      <c r="M14" s="157" t="str">
        <f t="shared" si="6"/>
        <v>LOW</v>
      </c>
      <c r="N14" s="153">
        <f>IF(OR($G14="",$AN14="Discontinued"),"",RANK($G14,$G$4:$G$30,1)+COUNTIF($G$4:$G14,$G14)-1)</f>
        <v>8</v>
      </c>
      <c r="O14" s="153">
        <f t="shared" ca="1" si="25"/>
        <v>11</v>
      </c>
      <c r="P14" s="154">
        <f t="shared" ca="1" si="7"/>
        <v>165</v>
      </c>
      <c r="Q14" s="155">
        <f>IFERROR(INDEX('Pantry Inventory'!$AB$5:$AB$31,MATCH($B14,'Pantry Inventory'!$Z$5:$Z$31,0)),0)</f>
        <v>0.73</v>
      </c>
      <c r="R14" s="156">
        <f t="shared" ca="1" si="8"/>
        <v>120.45</v>
      </c>
      <c r="S14" s="143" t="s">
        <v>48</v>
      </c>
      <c r="T14" s="154">
        <f>SUMIFS('Daily Data'!$I$2:$I$1000,'Daily Data'!$E$2:$E$1000,$B14)</f>
        <v>182</v>
      </c>
      <c r="U14" s="182" t="str">
        <f>IFERROR(INDEX('Pantry Inventory'!$A$5:$A$161,MATCH($B14,'Pantry Inventory'!$B$5:$B$161,0)),"")</f>
        <v>Munchy</v>
      </c>
      <c r="V14" s="183">
        <f>SUMPRODUCT(MAX(('Daily Data'!$E$2:$E$1000=$B14)*'Daily Data'!$L$2:$L$1000*'Daily Data'!$A$2:$A$1000))</f>
        <v>46295</v>
      </c>
      <c r="W14" s="182">
        <f>IF(AND(OR(OR(Dashboard!$E$5="All",Dashboard!$E$5=""),$AM14=Dashboard!$E$5),OR(OR(Dashboard!$H$5="All",Dashboard!$H$5=""),$S14=Dashboard!$H$5),OR(OR(Dashboard!$Q$5="All",Dashboard!$Q$5=""),$U14=Dashboard!$Q$5),OR(OR(Dashboard!$U$5="All",Dashboard!$U$5=""),$B14=Dashboard!$U$5),OR(AND(OR(OR(Dashboard!$B$5="All",Dashboard!$B$5="")),OR(OR(Dashboard!$K$5="All",Dashboard!$K$5="")),OR(OR(Dashboard!$N$5="All",Dashboard!$N$5=""))),SUMIFS('Daily Data'!$I$2:$I$1000,'Daily Data'!$E$2:$E$1000,$B14,'Daily Data'!$M$2:$M$1000,1)&gt;0)),1,0)</f>
        <v>1</v>
      </c>
      <c r="X14" s="182">
        <f>IF(OR($W14&lt;&gt;1,$G14="",$AN14="Discontinued"),"",SUMPRODUCT(($W$4:$W$30=1)*($AN$4:$AN$30&lt;&gt;"Discontinued")*ISNUMBER($G$4:$G$30)*($G$4:$G$30&lt;$G14))+SUMPRODUCT(($W$4:$W14=1)*($AN$4:$AN14&lt;&gt;"Discontinued")*ISNUMBER($G$4:$G14)*($G$4:$G14=$G14)))</f>
        <v>8</v>
      </c>
      <c r="Y14" s="182">
        <f t="shared" ca="1" si="9"/>
        <v>8</v>
      </c>
      <c r="Z14" s="184">
        <f t="shared" si="10"/>
        <v>132.85999999999999</v>
      </c>
      <c r="AA14" s="185">
        <f>IF($Z14&lt;=0,"",SUMPRODUCT(ISNUMBER($Z$4:$Z$30)*($Z$4:$Z$30&gt;$Z14))+SUMPRODUCT(ISNUMBER($Z$4:$Z14)*($Z$4:$Z14=$Z14)))</f>
        <v>19</v>
      </c>
      <c r="AB14" s="186">
        <f t="shared" si="11"/>
        <v>0.96458435878460891</v>
      </c>
      <c r="AC14" s="187" t="str">
        <f t="shared" si="12"/>
        <v>C</v>
      </c>
      <c r="AD14" s="188">
        <f>IF(OR($C14&lt;=0,COUNTIFS('Daily Data'!$E$2:$E$1000,$B14,'Daily Data'!$H$2:$H$1000,"&gt;0")&lt;2),0,SQRT(MAX(0,(SUMIFS('Daily Data'!$O$2:$O$1000,'Daily Data'!$E$2:$E$1000,$B14)-SUMIFS('Daily Data'!$I$2:$I$1000,'Daily Data'!$E$2:$E$1000,$B14,'Daily Data'!$H$2:$H$1000,"&gt;0")^2/COUNTIFS('Daily Data'!$E$2:$E$1000,$B14,'Daily Data'!$H$2:$H$1000,"&gt;0"))/(COUNTIFS('Daily Data'!$E$2:$E$1000,$B14,'Daily Data'!$H$2:$H$1000,"&gt;0")-1))))</f>
        <v>4.7926711727070286</v>
      </c>
      <c r="AE14" s="188">
        <f t="shared" si="13"/>
        <v>0.57933387801953085</v>
      </c>
      <c r="AF14" s="187" t="str">
        <f t="shared" si="14"/>
        <v>Y</v>
      </c>
      <c r="AG14" s="185">
        <f t="shared" si="15"/>
        <v>17.627466249991631</v>
      </c>
      <c r="AH14" s="185">
        <f t="shared" si="16"/>
        <v>58.991102613628001</v>
      </c>
      <c r="AI14" s="187" t="str">
        <f t="shared" si="17"/>
        <v>BELOW ROP</v>
      </c>
      <c r="AJ14" s="185">
        <f t="shared" si="18"/>
        <v>21.991102613628001</v>
      </c>
      <c r="AK14" s="185">
        <f>IF(OR($W14&lt;&gt;1,NOT(ISNUMBER($AJ14))),"",IF($AJ14&lt;=0,"",SUMPRODUCT(($W$4:$W$30=1)*ISNUMBER($AJ$4:$AJ$30)*($AJ$4:$AJ$30&gt;$AJ14))+SUMPRODUCT(($W$4:$W14=1)*ISNUMBER($AJ$4:$AJ14)*($AJ$4:$AJ14=$AJ14))))</f>
        <v>8</v>
      </c>
      <c r="AL14" s="185" t="str">
        <f>IF(AND($W14=1,'Storehouse Replenishment Schedu'!$CU14="MISMATCH"),SUMPRODUCT(($W$4:$W14=1)*('Storehouse Replenishment Schedu'!$CU$4:$CU14="MISMATCH")),"")</f>
        <v/>
      </c>
      <c r="AM14" s="143" t="s">
        <v>387</v>
      </c>
      <c r="AN14" s="301" t="s">
        <v>404</v>
      </c>
      <c r="AO14" s="306">
        <f t="shared" si="19"/>
        <v>7.352982869973973E-2</v>
      </c>
      <c r="AP14" s="305">
        <f>IF($AO14="","",SUMPRODUCT(($AM$4:$AM$30=$AM14)*($C$4:$C$30&gt;$C14))+SUMPRODUCT(($AM$4:$AM14=$AM14)*($C$4:$C14=$C14)))</f>
        <v>6</v>
      </c>
      <c r="AQ14" s="308">
        <f t="shared" si="20"/>
        <v>0.80882811569713708</v>
      </c>
      <c r="AR14" s="332">
        <f t="shared" si="21"/>
        <v>-0.18000000000000016</v>
      </c>
      <c r="AS14" s="307" t="str">
        <f t="shared" si="22"/>
        <v>KEEP</v>
      </c>
      <c r="AT14" s="305">
        <f t="shared" si="23"/>
        <v>27.009999999999998</v>
      </c>
      <c r="AU14" s="305">
        <f>COUNTIFS('Daily Data'!$E$2:$E$1000,$B14,'Daily Data'!$AJ$2:$AJ$1000,1)</f>
        <v>22</v>
      </c>
      <c r="AV14" s="308">
        <f>SUMPRODUCT(MAX(('Daily Data'!$E$2:$E$1000=$B14)*'Daily Data'!$AH$2:$AH$1000))/2</f>
        <v>11</v>
      </c>
      <c r="AW14" s="308">
        <f>IFERROR(SUMIFS('Daily Data'!$AI$2:$AI$1000,'Daily Data'!$E$2:$E$1000,$B14,'Daily Data'!$AH$2:$AH$1000,"&gt;0",'Daily Data'!$AH$2:$AH$1000,"&lt;="&amp;$AV14,'Daily Data'!$AJ$2:$AJ$1000,1)/COUNTIFS('Daily Data'!$E$2:$E$1000,$B14,'Daily Data'!$AH$2:$AH$1000,"&gt;0",'Daily Data'!$AH$2:$AH$1000,"&lt;="&amp;$AV14,'Daily Data'!$AJ$2:$AJ$1000,1),0)</f>
        <v>9.0909090909090917</v>
      </c>
      <c r="AX14" s="308">
        <f>IFERROR(SUMIFS('Daily Data'!$AI$2:$AI$1000,'Daily Data'!$E$2:$E$1000,$B14,'Daily Data'!$AH$2:$AH$1000,"&gt;"&amp;$AV14,'Daily Data'!$AJ$2:$AJ$1000,1)/COUNTIFS('Daily Data'!$E$2:$E$1000,$B14,'Daily Data'!$AH$2:$AH$1000,"&gt;"&amp;$AV14,'Daily Data'!$AJ$2:$AJ$1000,1),0)</f>
        <v>7.4545454545454541</v>
      </c>
      <c r="AY14" s="305">
        <f>COUNTIFS('Daily Data'!$E$2:$E$1000,$B14,'Daily Data'!$L$2:$L$1000,1)</f>
        <v>22</v>
      </c>
    </row>
    <row r="15" spans="1:51" x14ac:dyDescent="0.25">
      <c r="A15" s="256"/>
      <c r="B15" s="211"/>
      <c r="C15" s="68"/>
      <c r="F15" s="23"/>
      <c r="G15" s="23"/>
      <c r="H15" s="69"/>
      <c r="I15" s="69"/>
      <c r="J15" s="23"/>
      <c r="K15" s="23"/>
      <c r="L15" s="23"/>
    </row>
    <row r="16" spans="1:51" x14ac:dyDescent="0.25">
      <c r="A16" s="256">
        <v>24</v>
      </c>
      <c r="B16" s="288" t="s">
        <v>158</v>
      </c>
      <c r="C16" s="231">
        <f>IFERROR(SUMIFS('Daily Data'!$I$2:$I$1000,'Daily Data'!$E$2:$E$1000,$B16)/COUNTIFS('Daily Data'!$E$2:$E$1000,$B16,'Daily Data'!$H$2:$H$1000,"&gt;0"),0)</f>
        <v>14</v>
      </c>
      <c r="D16">
        <f>'Storehouse Replenishment Schedu'!CR16</f>
        <v>0</v>
      </c>
      <c r="E16" s="23">
        <f>SUMIFS('Daily Data'!$H$2:$H$1000,'Daily Data'!$E$2:$E$1000,$B16,'Daily Data'!$A$2:$A$1000,$V16)+SUMIFS('Daily Data'!$G$2:$G$1000,'Daily Data'!$E$2:$E$1000,$B16,'Daily Data'!$A$2:$A$1000,"&gt;"&amp;$V16)</f>
        <v>51</v>
      </c>
      <c r="F16" s="23">
        <f t="shared" ref="F16:F30" si="26">D16+E16</f>
        <v>51</v>
      </c>
      <c r="G16" s="23">
        <f t="shared" ref="G16:G30" si="27">IF($C16&gt;0,F16/$C16,"")</f>
        <v>3.6428571428571428</v>
      </c>
      <c r="H16" s="151">
        <f t="shared" ref="H16:H30" si="28">IF(G16="","",$H$1+G16)</f>
        <v>46298.642857142855</v>
      </c>
      <c r="I16" s="151">
        <f t="shared" ref="I16:I30" si="29">IF(G16="","",WORKDAY($H$1,G16,$B$35:$B$47))</f>
        <v>46300</v>
      </c>
      <c r="J16" s="23">
        <f t="shared" ref="J16:J30" ca="1" si="30">IF(I16="",0,MAX(0,NETWORKDAYS(I16,$J$1,$B$35:$B$47)))</f>
        <v>20</v>
      </c>
      <c r="K16" s="23">
        <f t="shared" ref="K16:K30" ca="1" si="31">C16*J16</f>
        <v>280</v>
      </c>
      <c r="L16" s="233">
        <f t="shared" ref="L16:L30" ca="1" si="32">IF($AN16="Discontinued",0,(K16+IF($E$55="Yes",$AG16,0))/$A16)</f>
        <v>11.666666666666666</v>
      </c>
      <c r="M16" s="135" t="str">
        <f t="shared" ref="M16:M30" si="33">IF($AN16="Discontinued","DISCONTINUED",IF($C16&lt;=0,"NO USAGE",IF($F16&lt;=0,"OUT OF STOCK",IF($G16&lt;=$E$37,"CRITICAL",IF($G16&lt;=$E$38,"LOW",IF($G16&lt;=$E$39,"WATCH","HEALTHY"))))))</f>
        <v>LOW</v>
      </c>
      <c r="N16" s="153">
        <f>IF(OR($G16="",$AN16="Discontinued"),"",RANK($G16,$G$4:$G$30,1)+COUNTIF($G$4:$G16,$G16)-1)</f>
        <v>7</v>
      </c>
      <c r="O16" s="153">
        <f t="shared" ref="O16:O30" ca="1" si="34">IF($L16&gt;0,ROUNDUP($L16,0),0)</f>
        <v>12</v>
      </c>
      <c r="P16" s="154">
        <f t="shared" ref="P16:P30" ca="1" si="35">O16*$A16</f>
        <v>288</v>
      </c>
      <c r="Q16" s="155">
        <f>IFERROR(INDEX('Pantry Inventory'!$AB$5:$AB$31,MATCH($B16,'Pantry Inventory'!$Z$5:$Z$31,0)),0)</f>
        <v>2.37</v>
      </c>
      <c r="R16" s="156">
        <f t="shared" ref="R16:R30" ca="1" si="36">P16*Q16</f>
        <v>682.56000000000006</v>
      </c>
      <c r="S16" s="143" t="s">
        <v>69</v>
      </c>
      <c r="T16" s="154">
        <f>SUMIFS('Daily Data'!$I$2:$I$1000,'Daily Data'!$E$2:$E$1000,$B16)</f>
        <v>224</v>
      </c>
      <c r="U16" s="182" t="str">
        <f>IFERROR(INDEX('Pantry Inventory'!$A$5:$A$161,MATCH($B16,'Pantry Inventory'!$B$5:$B$161,0)),"")</f>
        <v>Nestle</v>
      </c>
      <c r="V16" s="183">
        <f>SUMPRODUCT(MAX(('Daily Data'!$E$2:$E$1000=$B16)*'Daily Data'!$L$2:$L$1000*'Daily Data'!$A$2:$A$1000))</f>
        <v>46295</v>
      </c>
      <c r="W16" s="182">
        <f>IF(AND(OR(OR(Dashboard!$E$5="All",Dashboard!$E$5=""),$AM16=Dashboard!$E$5),OR(OR(Dashboard!$H$5="All",Dashboard!$H$5=""),$S16=Dashboard!$H$5),OR(OR(Dashboard!$Q$5="All",Dashboard!$Q$5=""),$U16=Dashboard!$Q$5),OR(OR(Dashboard!$U$5="All",Dashboard!$U$5=""),$B16=Dashboard!$U$5),OR(AND(OR(OR(Dashboard!$B$5="All",Dashboard!$B$5="")),OR(OR(Dashboard!$K$5="All",Dashboard!$K$5="")),OR(OR(Dashboard!$N$5="All",Dashboard!$N$5=""))),SUMIFS('Daily Data'!$I$2:$I$1000,'Daily Data'!$E$2:$E$1000,$B16,'Daily Data'!$M$2:$M$1000,1)&gt;0)),1,0)</f>
        <v>1</v>
      </c>
      <c r="X16" s="182">
        <f>IF(OR($W16&lt;&gt;1,$G16="",$AN16="Discontinued"),"",SUMPRODUCT(($W$4:$W$30=1)*($AN$4:$AN$30&lt;&gt;"Discontinued")*ISNUMBER($G$4:$G$30)*($G$4:$G$30&lt;$G16))+SUMPRODUCT(($W$4:$W16=1)*($AN$4:$AN16&lt;&gt;"Discontinued")*ISNUMBER($G$4:$G16)*($G$4:$G16=$G16)))</f>
        <v>7</v>
      </c>
      <c r="Y16" s="182">
        <f t="shared" ref="Y16:Y30" ca="1" si="37">IF(AND(ISNUMBER($N16),$O16&gt;0),SUMPRODUCT(($O$4:$O$30&gt;0)*ISNUMBER($N$4:$N$30)*($N$4:$N$30&lt;$N16))+1,"")</f>
        <v>7</v>
      </c>
      <c r="Z16" s="184">
        <f t="shared" ref="Z16:Z30" si="38">$T16*$Q16</f>
        <v>530.88</v>
      </c>
      <c r="AA16" s="185">
        <f>IF($Z16&lt;=0,"",SUMPRODUCT(ISNUMBER($Z$4:$Z$30)*($Z$4:$Z$30&gt;$Z16))+SUMPRODUCT(ISNUMBER($Z$4:$Z16)*($Z$4:$Z16=$Z16)))</f>
        <v>8</v>
      </c>
      <c r="AB16" s="186">
        <f t="shared" ref="AB16:AB30" si="39">IF($AA16="","",SUMIFS($Z$4:$Z$30,$AA$4:$AA$30,"&lt;="&amp;$AA16)/SUM($Z$4:$Z$30))</f>
        <v>0.70202625122871942</v>
      </c>
      <c r="AC16" s="187" t="str">
        <f t="shared" ref="AC16:AC30" si="40">IF($AA16="","-",IF($AB16-$Z16/SUM($Z$4:$Z$30)&lt;$E$49,"A",IF($AB16-$Z16/SUM($Z$4:$Z$30)&lt;$E$50,"B","C")))</f>
        <v>A</v>
      </c>
      <c r="AD16" s="188">
        <f>IF(OR($C16&lt;=0,COUNTIFS('Daily Data'!$E$2:$E$1000,$B16,'Daily Data'!$H$2:$H$1000,"&gt;0")&lt;2),0,SQRT(MAX(0,(SUMIFS('Daily Data'!$O$2:$O$1000,'Daily Data'!$E$2:$E$1000,$B16)-SUMIFS('Daily Data'!$I$2:$I$1000,'Daily Data'!$E$2:$E$1000,$B16,'Daily Data'!$H$2:$H$1000,"&gt;0")^2/COUNTIFS('Daily Data'!$E$2:$E$1000,$B16,'Daily Data'!$H$2:$H$1000,"&gt;0"))/(COUNTIFS('Daily Data'!$E$2:$E$1000,$B16,'Daily Data'!$H$2:$H$1000,"&gt;0")-1))))</f>
        <v>8.3656041822054519</v>
      </c>
      <c r="AE16" s="188">
        <f t="shared" ref="AE16:AE30" si="41">IF($C16&gt;0,$AD16/$C16,"")</f>
        <v>0.59754315587181794</v>
      </c>
      <c r="AF16" s="187" t="str">
        <f t="shared" ref="AF16:AF30" si="42">IF($AE16="","-",IF($AE16&lt;=$E$53,"X",IF($AE16&lt;=$E$54,"Y","Z")))</f>
        <v>Y</v>
      </c>
      <c r="AG16" s="185">
        <f t="shared" ref="AG16:AG30" si="43">IF($C16&gt;0,NORMSINV($E$52)*$AD16*SQRT($E$51),0)</f>
        <v>30.768730018947583</v>
      </c>
      <c r="AH16" s="185">
        <f t="shared" ref="AH16:AH30" si="44">IF($C16&gt;0,$C16*$E$51+$AG16,0)</f>
        <v>100.76873001894758</v>
      </c>
      <c r="AI16" s="187" t="str">
        <f t="shared" ref="AI16:AI30" si="45">IF(OR($C16&lt;=0,$AN16="Discontinued"),"-",IF($F16&lt;=$AH16,"BELOW ROP","OK"))</f>
        <v>BELOW ROP</v>
      </c>
      <c r="AJ16" s="185">
        <f t="shared" ref="AJ16:AJ30" si="46">IF(AND($C16&gt;0,$AN16&lt;&gt;"Discontinued"),$AH16-$F16,"")</f>
        <v>49.768730018947579</v>
      </c>
      <c r="AK16" s="185">
        <f>IF(OR($W16&lt;&gt;1,NOT(ISNUMBER($AJ16))),"",IF($AJ16&lt;=0,"",SUMPRODUCT(($W$4:$W$30=1)*ISNUMBER($AJ$4:$AJ$30)*($AJ$4:$AJ$30&gt;$AJ16))+SUMPRODUCT(($W$4:$W16=1)*ISNUMBER($AJ$4:$AJ16)*($AJ$4:$AJ16=$AJ16))))</f>
        <v>5</v>
      </c>
      <c r="AL16" s="185" t="str">
        <f>IF(AND($W16=1,'Storehouse Replenishment Schedu'!$CU16="MISMATCH"),SUMPRODUCT(($W$4:$W16=1)*('Storehouse Replenishment Schedu'!$CU$4:$CU16="MISMATCH")),"")</f>
        <v/>
      </c>
      <c r="AM16" s="143" t="s">
        <v>388</v>
      </c>
      <c r="AN16" s="301" t="s">
        <v>404</v>
      </c>
      <c r="AO16" s="306">
        <f t="shared" ref="AO16:AO30" si="47">IF(SUMIFS($C$4:$C$30,$AM$4:$AM$30,$AM16)&gt;0,$C16/SUMIFS($C$4:$C$30,$AM$4:$AM$30,$AM16),"")</f>
        <v>7.1500518013643308E-2</v>
      </c>
      <c r="AP16" s="305">
        <f>IF($AO16="","",SUMPRODUCT(($AM$4:$AM$30=$AM16)*($C$4:$C$30&gt;$C16))+SUMPRODUCT(($AM$4:$AM16=$AM16)*($C$4:$C16=$C16)))</f>
        <v>7</v>
      </c>
      <c r="AQ16" s="308">
        <f t="shared" ref="AQ16:AQ30" si="48">IFERROR($C16/(SUMIFS($C$4:$C$30,$AM$4:$AM$30,$AM16,$AN$4:$AN$30,"&lt;&gt;Discontinued")/COUNTIFS($AM$4:$AM$30,$AM16,$AN$4:$AN$30,"&lt;&gt;Discontinued")),"")</f>
        <v>1.0725077702046497</v>
      </c>
      <c r="AR16" s="332">
        <f t="shared" ref="AR16:AR30" si="49">IF(OR($AU16&lt;$E$64,$AW16&lt;=0),"",$AX16/$AW16-1)</f>
        <v>0.19236641221374051</v>
      </c>
      <c r="AS16" s="307" t="str">
        <f t="shared" ref="AS16:AS30" si="50">IF($AN16="Discontinued","DISCONTINUED",IF($C16&lt;=0,IF($AY16&gt;=$E$64,"PHASE OUT","NEED MORE DATA"),IF($AU16&lt;$E$64,"NEED MORE DATA",IF(AND(ISNUMBER($AQ16),ISNUMBER($AR16),N($AQ16)&lt;=$E$62,N($AR16)&lt;=$E$63),"PHASE OUT",IF(OR(AND(ISNUMBER($AQ16),N($AQ16)&lt;=$E$62),AND(ISNUMBER($AR16),N($AR16)&lt;=$E$63,N($AQ16)&lt;1)),"REVIEW","KEEP")))))</f>
        <v>KEEP</v>
      </c>
      <c r="AT16" s="305">
        <f t="shared" ref="AT16:AT30" si="51">$F16*$Q16</f>
        <v>120.87</v>
      </c>
      <c r="AU16" s="305">
        <f>COUNTIFS('Daily Data'!$E$2:$E$1000,$B16,'Daily Data'!$AJ$2:$AJ$1000,1)</f>
        <v>16</v>
      </c>
      <c r="AV16" s="308">
        <f>SUMPRODUCT(MAX(('Daily Data'!$E$2:$E$1000=$B16)*'Daily Data'!$AH$2:$AH$1000))/2</f>
        <v>11</v>
      </c>
      <c r="AW16" s="308">
        <f>IFERROR(SUMIFS('Daily Data'!$AI$2:$AI$1000,'Daily Data'!$E$2:$E$1000,$B16,'Daily Data'!$AH$2:$AH$1000,"&gt;0",'Daily Data'!$AH$2:$AH$1000,"&lt;="&amp;$AV16,'Daily Data'!$AJ$2:$AJ$1000,1)/COUNTIFS('Daily Data'!$E$2:$E$1000,$B16,'Daily Data'!$AH$2:$AH$1000,"&gt;0",'Daily Data'!$AH$2:$AH$1000,"&lt;="&amp;$AV16,'Daily Data'!$AJ$2:$AJ$1000,1),0)</f>
        <v>11.909090909090908</v>
      </c>
      <c r="AX16" s="308">
        <f>IFERROR(SUMIFS('Daily Data'!$AI$2:$AI$1000,'Daily Data'!$E$2:$E$1000,$B16,'Daily Data'!$AH$2:$AH$1000,"&gt;"&amp;$AV16,'Daily Data'!$AJ$2:$AJ$1000,1)/COUNTIFS('Daily Data'!$E$2:$E$1000,$B16,'Daily Data'!$AH$2:$AH$1000,"&gt;"&amp;$AV16,'Daily Data'!$AJ$2:$AJ$1000,1),0)</f>
        <v>14.2</v>
      </c>
      <c r="AY16" s="305">
        <f>COUNTIFS('Daily Data'!$E$2:$E$1000,$B16,'Daily Data'!$L$2:$L$1000,1)</f>
        <v>22</v>
      </c>
    </row>
    <row r="17" spans="1:51" x14ac:dyDescent="0.25">
      <c r="A17" s="256">
        <v>24</v>
      </c>
      <c r="B17" s="288" t="s">
        <v>159</v>
      </c>
      <c r="C17" s="231">
        <f>IFERROR(SUMIFS('Daily Data'!$I$2:$I$1000,'Daily Data'!$E$2:$E$1000,$B17)/COUNTIFS('Daily Data'!$E$2:$E$1000,$B17,'Daily Data'!$H$2:$H$1000,"&gt;0"),0)</f>
        <v>1.8636363636363635</v>
      </c>
      <c r="D17">
        <f>'Storehouse Replenishment Schedu'!CR17</f>
        <v>24</v>
      </c>
      <c r="E17" s="23">
        <f>SUMIFS('Daily Data'!$H$2:$H$1000,'Daily Data'!$E$2:$E$1000,$B17,'Daily Data'!$A$2:$A$1000,$V17)+SUMIFS('Daily Data'!$G$2:$G$1000,'Daily Data'!$E$2:$E$1000,$B17,'Daily Data'!$A$2:$A$1000,"&gt;"&amp;$V17)</f>
        <v>38</v>
      </c>
      <c r="F17" s="23">
        <f t="shared" si="26"/>
        <v>62</v>
      </c>
      <c r="G17" s="23">
        <f t="shared" si="27"/>
        <v>33.268292682926834</v>
      </c>
      <c r="H17" s="151">
        <f t="shared" si="28"/>
        <v>46328.268292682929</v>
      </c>
      <c r="I17" s="151">
        <f t="shared" si="29"/>
        <v>46342</v>
      </c>
      <c r="J17" s="23">
        <f t="shared" ca="1" si="30"/>
        <v>0</v>
      </c>
      <c r="K17" s="23">
        <f t="shared" ca="1" si="31"/>
        <v>0</v>
      </c>
      <c r="L17" s="23">
        <f t="shared" ca="1" si="32"/>
        <v>0</v>
      </c>
      <c r="M17" s="157" t="str">
        <f t="shared" si="33"/>
        <v>HEALTHY</v>
      </c>
      <c r="N17" s="153">
        <f>IF(OR($G17="",$AN17="Discontinued"),"",RANK($G17,$G$4:$G$30,1)+COUNTIF($G$4:$G17,$G17)-1)</f>
        <v>23</v>
      </c>
      <c r="O17" s="153">
        <f t="shared" ca="1" si="34"/>
        <v>0</v>
      </c>
      <c r="P17" s="154">
        <f t="shared" ca="1" si="35"/>
        <v>0</v>
      </c>
      <c r="Q17" s="155">
        <f>IFERROR(INDEX('Pantry Inventory'!$AB$5:$AB$31,MATCH($B17,'Pantry Inventory'!$Z$5:$Z$31,0)),0)</f>
        <v>2.1875</v>
      </c>
      <c r="R17" s="156">
        <f t="shared" ca="1" si="36"/>
        <v>0</v>
      </c>
      <c r="S17" s="143" t="s">
        <v>67</v>
      </c>
      <c r="T17" s="154">
        <f>SUMIFS('Daily Data'!$I$2:$I$1000,'Daily Data'!$E$2:$E$1000,$B17)</f>
        <v>41</v>
      </c>
      <c r="U17" s="182" t="str">
        <f>IFERROR(INDEX('Pantry Inventory'!$A$5:$A$161,MATCH($B17,'Pantry Inventory'!$B$5:$B$161,0)),"")</f>
        <v>Nestle</v>
      </c>
      <c r="V17" s="183">
        <f>SUMPRODUCT(MAX(('Daily Data'!$E$2:$E$1000=$B17)*'Daily Data'!$L$2:$L$1000*'Daily Data'!$A$2:$A$1000))</f>
        <v>46295</v>
      </c>
      <c r="W17" s="182">
        <f>IF(AND(OR(OR(Dashboard!$E$5="All",Dashboard!$E$5=""),$AM17=Dashboard!$E$5),OR(OR(Dashboard!$H$5="All",Dashboard!$H$5=""),$S17=Dashboard!$H$5),OR(OR(Dashboard!$Q$5="All",Dashboard!$Q$5=""),$U17=Dashboard!$Q$5),OR(OR(Dashboard!$U$5="All",Dashboard!$U$5=""),$B17=Dashboard!$U$5),OR(AND(OR(OR(Dashboard!$B$5="All",Dashboard!$B$5="")),OR(OR(Dashboard!$K$5="All",Dashboard!$K$5="")),OR(OR(Dashboard!$N$5="All",Dashboard!$N$5=""))),SUMIFS('Daily Data'!$I$2:$I$1000,'Daily Data'!$E$2:$E$1000,$B17,'Daily Data'!$M$2:$M$1000,1)&gt;0)),1,0)</f>
        <v>1</v>
      </c>
      <c r="X17" s="182">
        <f>IF(OR($W17&lt;&gt;1,$G17="",$AN17="Discontinued"),"",SUMPRODUCT(($W$4:$W$30=1)*($AN$4:$AN$30&lt;&gt;"Discontinued")*ISNUMBER($G$4:$G$30)*($G$4:$G$30&lt;$G17))+SUMPRODUCT(($W$4:$W17=1)*($AN$4:$AN17&lt;&gt;"Discontinued")*ISNUMBER($G$4:$G17)*($G$4:$G17=$G17)))</f>
        <v>23</v>
      </c>
      <c r="Y17" s="182" t="str">
        <f t="shared" ca="1" si="37"/>
        <v/>
      </c>
      <c r="Z17" s="184">
        <f t="shared" si="38"/>
        <v>89.6875</v>
      </c>
      <c r="AA17" s="185">
        <f>IF($Z17&lt;=0,"",SUMPRODUCT(ISNUMBER($Z$4:$Z$30)*($Z$4:$Z$30&gt;$Z17))+SUMPRODUCT(ISNUMBER($Z$4:$Z17)*($Z$4:$Z17=$Z17)))</f>
        <v>22</v>
      </c>
      <c r="AB17" s="186">
        <f t="shared" si="39"/>
        <v>0.99702823612986546</v>
      </c>
      <c r="AC17" s="187" t="str">
        <f t="shared" si="40"/>
        <v>C</v>
      </c>
      <c r="AD17" s="188">
        <f>IF(OR($C17&lt;=0,COUNTIFS('Daily Data'!$E$2:$E$1000,$B17,'Daily Data'!$H$2:$H$1000,"&gt;0")&lt;2),0,SQRT(MAX(0,(SUMIFS('Daily Data'!$O$2:$O$1000,'Daily Data'!$E$2:$E$1000,$B17)-SUMIFS('Daily Data'!$I$2:$I$1000,'Daily Data'!$E$2:$E$1000,$B17,'Daily Data'!$H$2:$H$1000,"&gt;0")^2/COUNTIFS('Daily Data'!$E$2:$E$1000,$B17,'Daily Data'!$H$2:$H$1000,"&gt;0"))/(COUNTIFS('Daily Data'!$E$2:$E$1000,$B17,'Daily Data'!$H$2:$H$1000,"&gt;0")-1))))</f>
        <v>1.5825071893451241</v>
      </c>
      <c r="AE17" s="188">
        <f t="shared" si="41"/>
        <v>0.84915019916079837</v>
      </c>
      <c r="AF17" s="187" t="str">
        <f t="shared" si="42"/>
        <v>Y</v>
      </c>
      <c r="AG17" s="185">
        <f t="shared" si="43"/>
        <v>5.8204685999340358</v>
      </c>
      <c r="AH17" s="185">
        <f t="shared" si="44"/>
        <v>15.138650418115855</v>
      </c>
      <c r="AI17" s="187" t="str">
        <f t="shared" si="45"/>
        <v>OK</v>
      </c>
      <c r="AJ17" s="185">
        <f t="shared" si="46"/>
        <v>-46.861349581884141</v>
      </c>
      <c r="AK17" s="185" t="str">
        <f>IF(OR($W17&lt;&gt;1,NOT(ISNUMBER($AJ17))),"",IF($AJ17&lt;=0,"",SUMPRODUCT(($W$4:$W$30=1)*ISNUMBER($AJ$4:$AJ$30)*($AJ$4:$AJ$30&gt;$AJ17))+SUMPRODUCT(($W$4:$W17=1)*ISNUMBER($AJ$4:$AJ17)*($AJ$4:$AJ17=$AJ17))))</f>
        <v/>
      </c>
      <c r="AL17" s="185" t="str">
        <f>IF(AND($W17=1,'Storehouse Replenishment Schedu'!$CU17="MISMATCH"),SUMPRODUCT(($W$4:$W17=1)*('Storehouse Replenishment Schedu'!$CU$4:$CU17="MISMATCH")),"")</f>
        <v/>
      </c>
      <c r="AM17" s="143" t="s">
        <v>388</v>
      </c>
      <c r="AN17" s="301" t="s">
        <v>404</v>
      </c>
      <c r="AO17" s="306">
        <f t="shared" si="47"/>
        <v>9.5179260992187525E-3</v>
      </c>
      <c r="AP17" s="305">
        <f>IF($AO17="","",SUMPRODUCT(($AM$4:$AM$30=$AM17)*($C$4:$C$30&gt;$C17))+SUMPRODUCT(($AM$4:$AM17=$AM17)*($C$4:$C17=$C17)))</f>
        <v>13</v>
      </c>
      <c r="AQ17" s="308">
        <f t="shared" si="48"/>
        <v>0.14276889148828129</v>
      </c>
      <c r="AR17" s="332">
        <f t="shared" si="49"/>
        <v>-0.29166666666666663</v>
      </c>
      <c r="AS17" s="307" t="str">
        <f t="shared" si="50"/>
        <v>PHASE OUT</v>
      </c>
      <c r="AT17" s="305">
        <f t="shared" si="51"/>
        <v>135.625</v>
      </c>
      <c r="AU17" s="305">
        <f>COUNTIFS('Daily Data'!$E$2:$E$1000,$B17,'Daily Data'!$AJ$2:$AJ$1000,1)</f>
        <v>22</v>
      </c>
      <c r="AV17" s="308">
        <f>SUMPRODUCT(MAX(('Daily Data'!$E$2:$E$1000=$B17)*'Daily Data'!$AH$2:$AH$1000))/2</f>
        <v>11</v>
      </c>
      <c r="AW17" s="308">
        <f>IFERROR(SUMIFS('Daily Data'!$AI$2:$AI$1000,'Daily Data'!$E$2:$E$1000,$B17,'Daily Data'!$AH$2:$AH$1000,"&gt;0",'Daily Data'!$AH$2:$AH$1000,"&lt;="&amp;$AV17,'Daily Data'!$AJ$2:$AJ$1000,1)/COUNTIFS('Daily Data'!$E$2:$E$1000,$B17,'Daily Data'!$AH$2:$AH$1000,"&gt;0",'Daily Data'!$AH$2:$AH$1000,"&lt;="&amp;$AV17,'Daily Data'!$AJ$2:$AJ$1000,1),0)</f>
        <v>2.1818181818181817</v>
      </c>
      <c r="AX17" s="308">
        <f>IFERROR(SUMIFS('Daily Data'!$AI$2:$AI$1000,'Daily Data'!$E$2:$E$1000,$B17,'Daily Data'!$AH$2:$AH$1000,"&gt;"&amp;$AV17,'Daily Data'!$AJ$2:$AJ$1000,1)/COUNTIFS('Daily Data'!$E$2:$E$1000,$B17,'Daily Data'!$AH$2:$AH$1000,"&gt;"&amp;$AV17,'Daily Data'!$AJ$2:$AJ$1000,1),0)</f>
        <v>1.5454545454545454</v>
      </c>
      <c r="AY17" s="305">
        <f>COUNTIFS('Daily Data'!$E$2:$E$1000,$B17,'Daily Data'!$L$2:$L$1000,1)</f>
        <v>22</v>
      </c>
    </row>
    <row r="18" spans="1:51" x14ac:dyDescent="0.25">
      <c r="A18" s="256">
        <v>24</v>
      </c>
      <c r="B18" s="288" t="s">
        <v>160</v>
      </c>
      <c r="C18" s="231">
        <f>IFERROR(SUMIFS('Daily Data'!$I$2:$I$1000,'Daily Data'!$E$2:$E$1000,$B18)/COUNTIFS('Daily Data'!$E$2:$E$1000,$B18,'Daily Data'!$H$2:$H$1000,"&gt;0"),0)</f>
        <v>2.8636363636363638</v>
      </c>
      <c r="D18">
        <f>'Storehouse Replenishment Schedu'!CR18</f>
        <v>24</v>
      </c>
      <c r="E18" s="23">
        <f>SUMIFS('Daily Data'!$H$2:$H$1000,'Daily Data'!$E$2:$E$1000,$B18,'Daily Data'!$A$2:$A$1000,$V18)+SUMIFS('Daily Data'!$G$2:$G$1000,'Daily Data'!$E$2:$E$1000,$B18,'Daily Data'!$A$2:$A$1000,"&gt;"&amp;$V18)</f>
        <v>39</v>
      </c>
      <c r="F18" s="23">
        <f t="shared" si="26"/>
        <v>63</v>
      </c>
      <c r="G18" s="23">
        <f t="shared" si="27"/>
        <v>22</v>
      </c>
      <c r="H18" s="151">
        <f t="shared" si="28"/>
        <v>46317</v>
      </c>
      <c r="I18" s="151">
        <f t="shared" si="29"/>
        <v>46325</v>
      </c>
      <c r="J18" s="23">
        <f t="shared" ca="1" si="30"/>
        <v>1</v>
      </c>
      <c r="K18" s="23">
        <f t="shared" ca="1" si="31"/>
        <v>2.8636363636363638</v>
      </c>
      <c r="L18" s="23">
        <f t="shared" ca="1" si="32"/>
        <v>0.11931818181818182</v>
      </c>
      <c r="M18" s="135" t="str">
        <f t="shared" si="33"/>
        <v>HEALTHY</v>
      </c>
      <c r="N18" s="153">
        <f>IF(OR($G18="",$AN18="Discontinued"),"",RANK($G18,$G$4:$G$30,1)+COUNTIF($G$4:$G18,$G18)-1)</f>
        <v>22</v>
      </c>
      <c r="O18" s="153">
        <f t="shared" ca="1" si="34"/>
        <v>1</v>
      </c>
      <c r="P18" s="154">
        <f t="shared" ca="1" si="35"/>
        <v>24</v>
      </c>
      <c r="Q18" s="155">
        <f>IFERROR(INDEX('Pantry Inventory'!$AB$5:$AB$31,MATCH($B18,'Pantry Inventory'!$Z$5:$Z$31,0)),0)</f>
        <v>2.1875</v>
      </c>
      <c r="R18" s="156">
        <f t="shared" ca="1" si="36"/>
        <v>52.5</v>
      </c>
      <c r="S18" s="143" t="s">
        <v>67</v>
      </c>
      <c r="T18" s="154">
        <f>SUMIFS('Daily Data'!$I$2:$I$1000,'Daily Data'!$E$2:$E$1000,$B18)</f>
        <v>63</v>
      </c>
      <c r="U18" s="182" t="str">
        <f>IFERROR(INDEX('Pantry Inventory'!$A$5:$A$161,MATCH($B18,'Pantry Inventory'!$B$5:$B$161,0)),"")</f>
        <v>Nestle</v>
      </c>
      <c r="V18" s="183">
        <f>SUMPRODUCT(MAX(('Daily Data'!$E$2:$E$1000=$B18)*'Daily Data'!$L$2:$L$1000*'Daily Data'!$A$2:$A$1000))</f>
        <v>46295</v>
      </c>
      <c r="W18" s="182">
        <f>IF(AND(OR(OR(Dashboard!$E$5="All",Dashboard!$E$5=""),$AM18=Dashboard!$E$5),OR(OR(Dashboard!$H$5="All",Dashboard!$H$5=""),$S18=Dashboard!$H$5),OR(OR(Dashboard!$Q$5="All",Dashboard!$Q$5=""),$U18=Dashboard!$Q$5),OR(OR(Dashboard!$U$5="All",Dashboard!$U$5=""),$B18=Dashboard!$U$5),OR(AND(OR(OR(Dashboard!$B$5="All",Dashboard!$B$5="")),OR(OR(Dashboard!$K$5="All",Dashboard!$K$5="")),OR(OR(Dashboard!$N$5="All",Dashboard!$N$5=""))),SUMIFS('Daily Data'!$I$2:$I$1000,'Daily Data'!$E$2:$E$1000,$B18,'Daily Data'!$M$2:$M$1000,1)&gt;0)),1,0)</f>
        <v>1</v>
      </c>
      <c r="X18" s="182">
        <f>IF(OR($W18&lt;&gt;1,$G18="",$AN18="Discontinued"),"",SUMPRODUCT(($W$4:$W$30=1)*($AN$4:$AN$30&lt;&gt;"Discontinued")*ISNUMBER($G$4:$G$30)*($G$4:$G$30&lt;$G18))+SUMPRODUCT(($W$4:$W18=1)*($AN$4:$AN18&lt;&gt;"Discontinued")*ISNUMBER($G$4:$G18)*($G$4:$G18=$G18)))</f>
        <v>22</v>
      </c>
      <c r="Y18" s="182">
        <f t="shared" ca="1" si="37"/>
        <v>22</v>
      </c>
      <c r="Z18" s="184">
        <f t="shared" si="38"/>
        <v>137.8125</v>
      </c>
      <c r="AA18" s="185">
        <f>IF($Z18&lt;=0,"",SUMPRODUCT(ISNUMBER($Z$4:$Z$30)*($Z$4:$Z$30&gt;$Z18))+SUMPRODUCT(ISNUMBER($Z$4:$Z18)*($Z$4:$Z18=$Z18)))</f>
        <v>18</v>
      </c>
      <c r="AB18" s="186">
        <f t="shared" si="39"/>
        <v>0.95167302628669947</v>
      </c>
      <c r="AC18" s="187" t="str">
        <f t="shared" si="40"/>
        <v>B</v>
      </c>
      <c r="AD18" s="188">
        <f>IF(OR($C18&lt;=0,COUNTIFS('Daily Data'!$E$2:$E$1000,$B18,'Daily Data'!$H$2:$H$1000,"&gt;0")&lt;2),0,SQRT(MAX(0,(SUMIFS('Daily Data'!$O$2:$O$1000,'Daily Data'!$E$2:$E$1000,$B18)-SUMIFS('Daily Data'!$I$2:$I$1000,'Daily Data'!$E$2:$E$1000,$B18,'Daily Data'!$H$2:$H$1000,"&gt;0")^2/COUNTIFS('Daily Data'!$E$2:$E$1000,$B18,'Daily Data'!$H$2:$H$1000,"&gt;0"))/(COUNTIFS('Daily Data'!$E$2:$E$1000,$B18,'Daily Data'!$H$2:$H$1000,"&gt;0")-1))))</f>
        <v>1.698611605188598</v>
      </c>
      <c r="AE18" s="188">
        <f t="shared" si="41"/>
        <v>0.59316595736744693</v>
      </c>
      <c r="AF18" s="187" t="str">
        <f t="shared" si="42"/>
        <v>Y</v>
      </c>
      <c r="AG18" s="185">
        <f t="shared" si="43"/>
        <v>6.247501166535061</v>
      </c>
      <c r="AH18" s="185">
        <f t="shared" si="44"/>
        <v>20.565682984716879</v>
      </c>
      <c r="AI18" s="187" t="str">
        <f t="shared" si="45"/>
        <v>OK</v>
      </c>
      <c r="AJ18" s="185">
        <f t="shared" si="46"/>
        <v>-42.434317015283121</v>
      </c>
      <c r="AK18" s="185" t="str">
        <f>IF(OR($W18&lt;&gt;1,NOT(ISNUMBER($AJ18))),"",IF($AJ18&lt;=0,"",SUMPRODUCT(($W$4:$W$30=1)*ISNUMBER($AJ$4:$AJ$30)*($AJ$4:$AJ$30&gt;$AJ18))+SUMPRODUCT(($W$4:$W18=1)*ISNUMBER($AJ$4:$AJ18)*($AJ$4:$AJ18=$AJ18))))</f>
        <v/>
      </c>
      <c r="AL18" s="185" t="str">
        <f>IF(AND($W18=1,'Storehouse Replenishment Schedu'!$CU18="MISMATCH"),SUMPRODUCT(($W$4:$W18=1)*('Storehouse Replenishment Schedu'!$CU$4:$CU18="MISMATCH")),"")</f>
        <v/>
      </c>
      <c r="AM18" s="143" t="s">
        <v>388</v>
      </c>
      <c r="AN18" s="301" t="s">
        <v>404</v>
      </c>
      <c r="AO18" s="306">
        <f t="shared" si="47"/>
        <v>1.4625105957336133E-2</v>
      </c>
      <c r="AP18" s="305">
        <f>IF($AO18="","",SUMPRODUCT(($AM$4:$AM$30=$AM18)*($C$4:$C$30&gt;$C18))+SUMPRODUCT(($AM$4:$AM18=$AM18)*($C$4:$C18=$C18)))</f>
        <v>12</v>
      </c>
      <c r="AQ18" s="308">
        <f t="shared" si="48"/>
        <v>0.21937658936004198</v>
      </c>
      <c r="AR18" s="332">
        <f t="shared" si="49"/>
        <v>0.1724137931034484</v>
      </c>
      <c r="AS18" s="307" t="str">
        <f t="shared" si="50"/>
        <v>REVIEW</v>
      </c>
      <c r="AT18" s="305">
        <f t="shared" si="51"/>
        <v>137.8125</v>
      </c>
      <c r="AU18" s="305">
        <f>COUNTIFS('Daily Data'!$E$2:$E$1000,$B18,'Daily Data'!$AJ$2:$AJ$1000,1)</f>
        <v>22</v>
      </c>
      <c r="AV18" s="308">
        <f>SUMPRODUCT(MAX(('Daily Data'!$E$2:$E$1000=$B18)*'Daily Data'!$AH$2:$AH$1000))/2</f>
        <v>11</v>
      </c>
      <c r="AW18" s="308">
        <f>IFERROR(SUMIFS('Daily Data'!$AI$2:$AI$1000,'Daily Data'!$E$2:$E$1000,$B18,'Daily Data'!$AH$2:$AH$1000,"&gt;0",'Daily Data'!$AH$2:$AH$1000,"&lt;="&amp;$AV18,'Daily Data'!$AJ$2:$AJ$1000,1)/COUNTIFS('Daily Data'!$E$2:$E$1000,$B18,'Daily Data'!$AH$2:$AH$1000,"&gt;0",'Daily Data'!$AH$2:$AH$1000,"&lt;="&amp;$AV18,'Daily Data'!$AJ$2:$AJ$1000,1),0)</f>
        <v>2.6363636363636362</v>
      </c>
      <c r="AX18" s="308">
        <f>IFERROR(SUMIFS('Daily Data'!$AI$2:$AI$1000,'Daily Data'!$E$2:$E$1000,$B18,'Daily Data'!$AH$2:$AH$1000,"&gt;"&amp;$AV18,'Daily Data'!$AJ$2:$AJ$1000,1)/COUNTIFS('Daily Data'!$E$2:$E$1000,$B18,'Daily Data'!$AH$2:$AH$1000,"&gt;"&amp;$AV18,'Daily Data'!$AJ$2:$AJ$1000,1),0)</f>
        <v>3.0909090909090908</v>
      </c>
      <c r="AY18" s="305">
        <f>COUNTIFS('Daily Data'!$E$2:$E$1000,$B18,'Daily Data'!$L$2:$L$1000,1)</f>
        <v>22</v>
      </c>
    </row>
    <row r="19" spans="1:51" x14ac:dyDescent="0.25">
      <c r="A19" s="256">
        <v>12</v>
      </c>
      <c r="B19" s="288" t="s">
        <v>162</v>
      </c>
      <c r="C19" s="231">
        <f>IFERROR(SUMIFS('Daily Data'!$I$2:$I$1000,'Daily Data'!$E$2:$E$1000,$B19)/COUNTIFS('Daily Data'!$E$2:$E$1000,$B19,'Daily Data'!$H$2:$H$1000,"&gt;0"),0)</f>
        <v>23.111111111111111</v>
      </c>
      <c r="D19">
        <f>'Storehouse Replenishment Schedu'!CR19</f>
        <v>288</v>
      </c>
      <c r="E19" s="23">
        <f>SUMIFS('Daily Data'!$H$2:$H$1000,'Daily Data'!$E$2:$E$1000,$B19,'Daily Data'!$A$2:$A$1000,$V19)+SUMIFS('Daily Data'!$G$2:$G$1000,'Daily Data'!$E$2:$E$1000,$B19,'Daily Data'!$A$2:$A$1000,"&gt;"&amp;$V19)</f>
        <v>196</v>
      </c>
      <c r="F19" s="23">
        <f t="shared" si="26"/>
        <v>484</v>
      </c>
      <c r="G19" s="23">
        <f t="shared" si="27"/>
        <v>20.942307692307693</v>
      </c>
      <c r="H19" s="151">
        <f t="shared" si="28"/>
        <v>46315.942307692305</v>
      </c>
      <c r="I19" s="151">
        <f t="shared" si="29"/>
        <v>46323</v>
      </c>
      <c r="J19" s="23">
        <f t="shared" ca="1" si="30"/>
        <v>3</v>
      </c>
      <c r="K19" s="23">
        <f t="shared" ca="1" si="31"/>
        <v>69.333333333333329</v>
      </c>
      <c r="L19" s="23">
        <f t="shared" ca="1" si="32"/>
        <v>5.7777777777777777</v>
      </c>
      <c r="M19" s="135" t="str">
        <f t="shared" si="33"/>
        <v>HEALTHY</v>
      </c>
      <c r="N19" s="153">
        <f>IF(OR($G19="",$AN19="Discontinued"),"",RANK($G19,$G$4:$G$30,1)+COUNTIF($G$4:$G19,$G19)-1)</f>
        <v>21</v>
      </c>
      <c r="O19" s="153">
        <f t="shared" ca="1" si="34"/>
        <v>6</v>
      </c>
      <c r="P19" s="154">
        <f t="shared" ca="1" si="35"/>
        <v>72</v>
      </c>
      <c r="Q19" s="155">
        <f>IFERROR(INDEX('Pantry Inventory'!$AB$5:$AB$31,MATCH($B19,'Pantry Inventory'!$Z$5:$Z$31,0)),0)</f>
        <v>3</v>
      </c>
      <c r="R19" s="156">
        <f t="shared" ca="1" si="36"/>
        <v>216</v>
      </c>
      <c r="S19" s="143" t="s">
        <v>69</v>
      </c>
      <c r="T19" s="154">
        <f>SUMIFS('Daily Data'!$I$2:$I$1000,'Daily Data'!$E$2:$E$1000,$B19)</f>
        <v>416</v>
      </c>
      <c r="U19" s="182" t="str">
        <f>IFERROR(INDEX('Pantry Inventory'!$A$5:$A$161,MATCH($B19,'Pantry Inventory'!$B$5:$B$161,0)),"")</f>
        <v>COWA</v>
      </c>
      <c r="V19" s="183">
        <f>SUMPRODUCT(MAX(('Daily Data'!$E$2:$E$1000=$B19)*'Daily Data'!$L$2:$L$1000*'Daily Data'!$A$2:$A$1000))</f>
        <v>46295</v>
      </c>
      <c r="W19" s="182">
        <f>IF(AND(OR(OR(Dashboard!$E$5="All",Dashboard!$E$5=""),$AM19=Dashboard!$E$5),OR(OR(Dashboard!$H$5="All",Dashboard!$H$5=""),$S19=Dashboard!$H$5),OR(OR(Dashboard!$Q$5="All",Dashboard!$Q$5=""),$U19=Dashboard!$Q$5),OR(OR(Dashboard!$U$5="All",Dashboard!$U$5=""),$B19=Dashboard!$U$5),OR(AND(OR(OR(Dashboard!$B$5="All",Dashboard!$B$5="")),OR(OR(Dashboard!$K$5="All",Dashboard!$K$5="")),OR(OR(Dashboard!$N$5="All",Dashboard!$N$5=""))),SUMIFS('Daily Data'!$I$2:$I$1000,'Daily Data'!$E$2:$E$1000,$B19,'Daily Data'!$M$2:$M$1000,1)&gt;0)),1,0)</f>
        <v>1</v>
      </c>
      <c r="X19" s="182">
        <f>IF(OR($W19&lt;&gt;1,$G19="",$AN19="Discontinued"),"",SUMPRODUCT(($W$4:$W$30=1)*($AN$4:$AN$30&lt;&gt;"Discontinued")*ISNUMBER($G$4:$G$30)*($G$4:$G$30&lt;$G19))+SUMPRODUCT(($W$4:$W19=1)*($AN$4:$AN19&lt;&gt;"Discontinued")*ISNUMBER($G$4:$G19)*($G$4:$G19=$G19)))</f>
        <v>21</v>
      </c>
      <c r="Y19" s="182">
        <f t="shared" ca="1" si="37"/>
        <v>21</v>
      </c>
      <c r="Z19" s="184">
        <f t="shared" si="38"/>
        <v>1248</v>
      </c>
      <c r="AA19" s="185">
        <f>IF($Z19&lt;=0,"",SUMPRODUCT(ISNUMBER($Z$4:$Z$30)*($Z$4:$Z$30&gt;$Z19))+SUMPRODUCT(ISNUMBER($Z$4:$Z19)*($Z$4:$Z19=$Z19)))</f>
        <v>2</v>
      </c>
      <c r="AB19" s="186">
        <f t="shared" si="39"/>
        <v>0.24372739654340519</v>
      </c>
      <c r="AC19" s="187" t="str">
        <f t="shared" si="40"/>
        <v>A</v>
      </c>
      <c r="AD19" s="188">
        <f>IF(OR($C19&lt;=0,COUNTIFS('Daily Data'!$E$2:$E$1000,$B19,'Daily Data'!$H$2:$H$1000,"&gt;0")&lt;2),0,SQRT(MAX(0,(SUMIFS('Daily Data'!$O$2:$O$1000,'Daily Data'!$E$2:$E$1000,$B19)-SUMIFS('Daily Data'!$I$2:$I$1000,'Daily Data'!$E$2:$E$1000,$B19,'Daily Data'!$H$2:$H$1000,"&gt;0")^2/COUNTIFS('Daily Data'!$E$2:$E$1000,$B19,'Daily Data'!$H$2:$H$1000,"&gt;0"))/(COUNTIFS('Daily Data'!$E$2:$E$1000,$B19,'Daily Data'!$H$2:$H$1000,"&gt;0")-1))))</f>
        <v>9.8272663237897842</v>
      </c>
      <c r="AE19" s="188">
        <f t="shared" si="41"/>
        <v>0.42521825439475031</v>
      </c>
      <c r="AF19" s="187" t="str">
        <f t="shared" si="42"/>
        <v>X</v>
      </c>
      <c r="AG19" s="185">
        <f t="shared" si="43"/>
        <v>36.144729986647292</v>
      </c>
      <c r="AH19" s="185">
        <f t="shared" si="44"/>
        <v>151.70028554220283</v>
      </c>
      <c r="AI19" s="187" t="str">
        <f t="shared" si="45"/>
        <v>OK</v>
      </c>
      <c r="AJ19" s="185">
        <f t="shared" si="46"/>
        <v>-332.29971445779717</v>
      </c>
      <c r="AK19" s="185" t="str">
        <f>IF(OR($W19&lt;&gt;1,NOT(ISNUMBER($AJ19))),"",IF($AJ19&lt;=0,"",SUMPRODUCT(($W$4:$W$30=1)*ISNUMBER($AJ$4:$AJ$30)*($AJ$4:$AJ$30&gt;$AJ19))+SUMPRODUCT(($W$4:$W19=1)*ISNUMBER($AJ$4:$AJ19)*($AJ$4:$AJ19=$AJ19))))</f>
        <v/>
      </c>
      <c r="AL19" s="185" t="str">
        <f>IF(AND($W19=1,'Storehouse Replenishment Schedu'!$CU19="MISMATCH"),SUMPRODUCT(($W$4:$W19=1)*('Storehouse Replenishment Schedu'!$CU$4:$CU19="MISMATCH")),"")</f>
        <v/>
      </c>
      <c r="AM19" s="143" t="s">
        <v>388</v>
      </c>
      <c r="AN19" s="301" t="s">
        <v>404</v>
      </c>
      <c r="AO19" s="306">
        <f t="shared" si="47"/>
        <v>0.11803260116537943</v>
      </c>
      <c r="AP19" s="305">
        <f>IF($AO19="","",SUMPRODUCT(($AM$4:$AM$30=$AM19)*($C$4:$C$30&gt;$C19))+SUMPRODUCT(($AM$4:$AM19=$AM19)*($C$4:$C19=$C19)))</f>
        <v>4</v>
      </c>
      <c r="AQ19" s="308">
        <f t="shared" si="48"/>
        <v>1.7704890174806915</v>
      </c>
      <c r="AR19" s="332">
        <f t="shared" si="49"/>
        <v>-0.13223140495867769</v>
      </c>
      <c r="AS19" s="307" t="str">
        <f t="shared" si="50"/>
        <v>KEEP</v>
      </c>
      <c r="AT19" s="305">
        <f t="shared" si="51"/>
        <v>1452</v>
      </c>
      <c r="AU19" s="305">
        <f>COUNTIFS('Daily Data'!$E$2:$E$1000,$B19,'Daily Data'!$AJ$2:$AJ$1000,1)</f>
        <v>18</v>
      </c>
      <c r="AV19" s="308">
        <f>SUMPRODUCT(MAX(('Daily Data'!$E$2:$E$1000=$B19)*'Daily Data'!$AH$2:$AH$1000))/2</f>
        <v>11</v>
      </c>
      <c r="AW19" s="308">
        <f>IFERROR(SUMIFS('Daily Data'!$AI$2:$AI$1000,'Daily Data'!$E$2:$E$1000,$B19,'Daily Data'!$AH$2:$AH$1000,"&gt;0",'Daily Data'!$AH$2:$AH$1000,"&lt;="&amp;$AV19,'Daily Data'!$AJ$2:$AJ$1000,1)/COUNTIFS('Daily Data'!$E$2:$E$1000,$B19,'Daily Data'!$AH$2:$AH$1000,"&gt;0",'Daily Data'!$AH$2:$AH$1000,"&lt;="&amp;$AV19,'Daily Data'!$AJ$2:$AJ$1000,1),0)</f>
        <v>25.142857142857142</v>
      </c>
      <c r="AX19" s="308">
        <f>IFERROR(SUMIFS('Daily Data'!$AI$2:$AI$1000,'Daily Data'!$E$2:$E$1000,$B19,'Daily Data'!$AH$2:$AH$1000,"&gt;"&amp;$AV19,'Daily Data'!$AJ$2:$AJ$1000,1)/COUNTIFS('Daily Data'!$E$2:$E$1000,$B19,'Daily Data'!$AH$2:$AH$1000,"&gt;"&amp;$AV19,'Daily Data'!$AJ$2:$AJ$1000,1),0)</f>
        <v>21.818181818181817</v>
      </c>
      <c r="AY19" s="305">
        <f>COUNTIFS('Daily Data'!$E$2:$E$1000,$B19,'Daily Data'!$L$2:$L$1000,1)</f>
        <v>22</v>
      </c>
    </row>
    <row r="20" spans="1:51" x14ac:dyDescent="0.25">
      <c r="A20" s="256">
        <v>24</v>
      </c>
      <c r="B20" s="288" t="s">
        <v>165</v>
      </c>
      <c r="C20" s="231">
        <f>IFERROR(SUMIFS('Daily Data'!$I$2:$I$1000,'Daily Data'!$E$2:$E$1000,$B20)/COUNTIFS('Daily Data'!$E$2:$E$1000,$B20,'Daily Data'!$H$2:$H$1000,"&gt;0"),0)</f>
        <v>0</v>
      </c>
      <c r="D20">
        <f>'Storehouse Replenishment Schedu'!CR20</f>
        <v>72</v>
      </c>
      <c r="E20" s="23">
        <f>SUMIFS('Daily Data'!$H$2:$H$1000,'Daily Data'!$E$2:$E$1000,$B20,'Daily Data'!$A$2:$A$1000,$V20)+SUMIFS('Daily Data'!$G$2:$G$1000,'Daily Data'!$E$2:$E$1000,$B20,'Daily Data'!$A$2:$A$1000,"&gt;"&amp;$V20)</f>
        <v>0</v>
      </c>
      <c r="F20" s="23">
        <f t="shared" si="26"/>
        <v>72</v>
      </c>
      <c r="G20" s="23" t="str">
        <f t="shared" si="27"/>
        <v/>
      </c>
      <c r="H20" s="151" t="str">
        <f t="shared" si="28"/>
        <v/>
      </c>
      <c r="I20" s="151" t="str">
        <f t="shared" si="29"/>
        <v/>
      </c>
      <c r="J20" s="23">
        <f t="shared" si="30"/>
        <v>0</v>
      </c>
      <c r="K20" s="23">
        <f t="shared" si="31"/>
        <v>0</v>
      </c>
      <c r="L20" s="23">
        <f t="shared" si="32"/>
        <v>0</v>
      </c>
      <c r="M20" s="135" t="str">
        <f t="shared" si="33"/>
        <v>NO USAGE</v>
      </c>
      <c r="N20" s="153" t="str">
        <f>IF(OR($G20="",$AN20="Discontinued"),"",RANK($G20,$G$4:$G$30,1)+COUNTIF($G$4:$G20,$G20)-1)</f>
        <v/>
      </c>
      <c r="O20" s="153">
        <f t="shared" si="34"/>
        <v>0</v>
      </c>
      <c r="P20" s="154">
        <f t="shared" si="35"/>
        <v>0</v>
      </c>
      <c r="Q20" s="155">
        <f>IFERROR(INDEX('Pantry Inventory'!$AB$5:$AB$31,MATCH($B20,'Pantry Inventory'!$Z$5:$Z$31,0)),0)</f>
        <v>2.2999999999999998</v>
      </c>
      <c r="R20" s="156">
        <f t="shared" si="36"/>
        <v>0</v>
      </c>
      <c r="S20" s="143" t="s">
        <v>69</v>
      </c>
      <c r="T20" s="154">
        <f>SUMIFS('Daily Data'!$I$2:$I$1000,'Daily Data'!$E$2:$E$1000,$B20)</f>
        <v>0</v>
      </c>
      <c r="U20" s="182" t="str">
        <f>IFERROR(INDEX('Pantry Inventory'!$A$5:$A$161,MATCH($B20,'Pantry Inventory'!$B$5:$B$161,0)),"")</f>
        <v>KARTA</v>
      </c>
      <c r="V20" s="183">
        <f>SUMPRODUCT(MAX(('Daily Data'!$E$2:$E$1000=$B20)*'Daily Data'!$L$2:$L$1000*'Daily Data'!$A$2:$A$1000))</f>
        <v>46295</v>
      </c>
      <c r="W20" s="182">
        <f>IF(AND(OR(OR(Dashboard!$E$5="All",Dashboard!$E$5=""),$AM20=Dashboard!$E$5),OR(OR(Dashboard!$H$5="All",Dashboard!$H$5=""),$S20=Dashboard!$H$5),OR(OR(Dashboard!$Q$5="All",Dashboard!$Q$5=""),$U20=Dashboard!$Q$5),OR(OR(Dashboard!$U$5="All",Dashboard!$U$5=""),$B20=Dashboard!$U$5),OR(AND(OR(OR(Dashboard!$B$5="All",Dashboard!$B$5="")),OR(OR(Dashboard!$K$5="All",Dashboard!$K$5="")),OR(OR(Dashboard!$N$5="All",Dashboard!$N$5=""))),SUMIFS('Daily Data'!$I$2:$I$1000,'Daily Data'!$E$2:$E$1000,$B20,'Daily Data'!$M$2:$M$1000,1)&gt;0)),1,0)</f>
        <v>1</v>
      </c>
      <c r="X20" s="182" t="str">
        <f>IF(OR($W20&lt;&gt;1,$G20="",$AN20="Discontinued"),"",SUMPRODUCT(($W$4:$W$30=1)*($AN$4:$AN$30&lt;&gt;"Discontinued")*ISNUMBER($G$4:$G$30)*($G$4:$G$30&lt;$G20))+SUMPRODUCT(($W$4:$W20=1)*($AN$4:$AN20&lt;&gt;"Discontinued")*ISNUMBER($G$4:$G20)*($G$4:$G20=$G20)))</f>
        <v/>
      </c>
      <c r="Y20" s="182" t="str">
        <f t="shared" si="37"/>
        <v/>
      </c>
      <c r="Z20" s="184">
        <f t="shared" si="38"/>
        <v>0</v>
      </c>
      <c r="AA20" s="185" t="str">
        <f>IF($Z20&lt;=0,"",SUMPRODUCT(ISNUMBER($Z$4:$Z$30)*($Z$4:$Z$30&gt;$Z20))+SUMPRODUCT(ISNUMBER($Z$4:$Z20)*($Z$4:$Z20=$Z20)))</f>
        <v/>
      </c>
      <c r="AB20" s="186" t="str">
        <f t="shared" si="39"/>
        <v/>
      </c>
      <c r="AC20" s="187" t="str">
        <f t="shared" si="40"/>
        <v>-</v>
      </c>
      <c r="AD20" s="188">
        <f>IF(OR($C20&lt;=0,COUNTIFS('Daily Data'!$E$2:$E$1000,$B20,'Daily Data'!$H$2:$H$1000,"&gt;0")&lt;2),0,SQRT(MAX(0,(SUMIFS('Daily Data'!$O$2:$O$1000,'Daily Data'!$E$2:$E$1000,$B20)-SUMIFS('Daily Data'!$I$2:$I$1000,'Daily Data'!$E$2:$E$1000,$B20,'Daily Data'!$H$2:$H$1000,"&gt;0")^2/COUNTIFS('Daily Data'!$E$2:$E$1000,$B20,'Daily Data'!$H$2:$H$1000,"&gt;0"))/(COUNTIFS('Daily Data'!$E$2:$E$1000,$B20,'Daily Data'!$H$2:$H$1000,"&gt;0")-1))))</f>
        <v>0</v>
      </c>
      <c r="AE20" s="188" t="str">
        <f t="shared" si="41"/>
        <v/>
      </c>
      <c r="AF20" s="187" t="str">
        <f t="shared" si="42"/>
        <v>-</v>
      </c>
      <c r="AG20" s="185">
        <f t="shared" si="43"/>
        <v>0</v>
      </c>
      <c r="AH20" s="185">
        <f t="shared" si="44"/>
        <v>0</v>
      </c>
      <c r="AI20" s="187" t="str">
        <f t="shared" si="45"/>
        <v>-</v>
      </c>
      <c r="AJ20" s="185" t="str">
        <f t="shared" si="46"/>
        <v/>
      </c>
      <c r="AK20" s="185" t="str">
        <f>IF(OR($W20&lt;&gt;1,NOT(ISNUMBER($AJ20))),"",IF($AJ20&lt;=0,"",SUMPRODUCT(($W$4:$W$30=1)*ISNUMBER($AJ$4:$AJ$30)*($AJ$4:$AJ$30&gt;$AJ20))+SUMPRODUCT(($W$4:$W20=1)*ISNUMBER($AJ$4:$AJ20)*($AJ$4:$AJ20=$AJ20))))</f>
        <v/>
      </c>
      <c r="AL20" s="185" t="str">
        <f>IF(AND($W20=1,'Storehouse Replenishment Schedu'!$CU20="MISMATCH"),SUMPRODUCT(($W$4:$W20=1)*('Storehouse Replenishment Schedu'!$CU$4:$CU20="MISMATCH")),"")</f>
        <v/>
      </c>
      <c r="AM20" s="143" t="s">
        <v>388</v>
      </c>
      <c r="AN20" s="301" t="s">
        <v>404</v>
      </c>
      <c r="AO20" s="306">
        <f t="shared" si="47"/>
        <v>0</v>
      </c>
      <c r="AP20" s="305">
        <f>IF($AO20="","",SUMPRODUCT(($AM$4:$AM$30=$AM20)*($C$4:$C$30&gt;$C20))+SUMPRODUCT(($AM$4:$AM20=$AM20)*($C$4:$C20=$C20)))</f>
        <v>14</v>
      </c>
      <c r="AQ20" s="308">
        <f t="shared" si="48"/>
        <v>0</v>
      </c>
      <c r="AR20" s="332" t="str">
        <f t="shared" si="49"/>
        <v/>
      </c>
      <c r="AS20" s="307" t="str">
        <f t="shared" si="50"/>
        <v>PHASE OUT</v>
      </c>
      <c r="AT20" s="305">
        <f t="shared" si="51"/>
        <v>165.6</v>
      </c>
      <c r="AU20" s="305">
        <f>COUNTIFS('Daily Data'!$E$2:$E$1000,$B20,'Daily Data'!$AJ$2:$AJ$1000,1)</f>
        <v>0</v>
      </c>
      <c r="AV20" s="308">
        <f>SUMPRODUCT(MAX(('Daily Data'!$E$2:$E$1000=$B20)*'Daily Data'!$AH$2:$AH$1000))/2</f>
        <v>3</v>
      </c>
      <c r="AW20" s="308">
        <f>IFERROR(SUMIFS('Daily Data'!$AI$2:$AI$1000,'Daily Data'!$E$2:$E$1000,$B20,'Daily Data'!$AH$2:$AH$1000,"&gt;0",'Daily Data'!$AH$2:$AH$1000,"&lt;="&amp;$AV20,'Daily Data'!$AJ$2:$AJ$1000,1)/COUNTIFS('Daily Data'!$E$2:$E$1000,$B20,'Daily Data'!$AH$2:$AH$1000,"&gt;0",'Daily Data'!$AH$2:$AH$1000,"&lt;="&amp;$AV20,'Daily Data'!$AJ$2:$AJ$1000,1),0)</f>
        <v>0</v>
      </c>
      <c r="AX20" s="308">
        <f>IFERROR(SUMIFS('Daily Data'!$AI$2:$AI$1000,'Daily Data'!$E$2:$E$1000,$B20,'Daily Data'!$AH$2:$AH$1000,"&gt;"&amp;$AV20,'Daily Data'!$AJ$2:$AJ$1000,1)/COUNTIFS('Daily Data'!$E$2:$E$1000,$B20,'Daily Data'!$AH$2:$AH$1000,"&gt;"&amp;$AV20,'Daily Data'!$AJ$2:$AJ$1000,1),0)</f>
        <v>0</v>
      </c>
      <c r="AY20" s="305">
        <f>COUNTIFS('Daily Data'!$E$2:$E$1000,$B20,'Daily Data'!$L$2:$L$1000,1)</f>
        <v>6</v>
      </c>
    </row>
    <row r="21" spans="1:51" x14ac:dyDescent="0.25">
      <c r="A21" s="256">
        <v>12</v>
      </c>
      <c r="B21" s="288" t="s">
        <v>164</v>
      </c>
      <c r="C21" s="231">
        <f>IFERROR(SUMIFS('Daily Data'!$I$2:$I$1000,'Daily Data'!$E$2:$E$1000,$B21)/COUNTIFS('Daily Data'!$E$2:$E$1000,$B21,'Daily Data'!$H$2:$H$1000,"&gt;0"),0)</f>
        <v>8.4090909090909083</v>
      </c>
      <c r="D21">
        <f>'Storehouse Replenishment Schedu'!CR21</f>
        <v>24</v>
      </c>
      <c r="E21" s="23">
        <f>SUMIFS('Daily Data'!$H$2:$H$1000,'Daily Data'!$E$2:$E$1000,$B21,'Daily Data'!$A$2:$A$1000,$V21)+SUMIFS('Daily Data'!$G$2:$G$1000,'Daily Data'!$E$2:$E$1000,$B21,'Daily Data'!$A$2:$A$1000,"&gt;"&amp;$V21)</f>
        <v>38</v>
      </c>
      <c r="F21" s="23">
        <f t="shared" si="26"/>
        <v>62</v>
      </c>
      <c r="G21" s="23">
        <f t="shared" si="27"/>
        <v>7.372972972972974</v>
      </c>
      <c r="H21" s="151">
        <f t="shared" si="28"/>
        <v>46302.372972972975</v>
      </c>
      <c r="I21" s="151">
        <f t="shared" si="29"/>
        <v>46304</v>
      </c>
      <c r="J21" s="23">
        <f t="shared" ca="1" si="30"/>
        <v>16</v>
      </c>
      <c r="K21" s="23">
        <f t="shared" ca="1" si="31"/>
        <v>134.54545454545453</v>
      </c>
      <c r="L21" s="23">
        <f t="shared" ca="1" si="32"/>
        <v>11.212121212121211</v>
      </c>
      <c r="M21" s="135" t="str">
        <f t="shared" si="33"/>
        <v>WATCH</v>
      </c>
      <c r="N21" s="153">
        <f>IF(OR($G21="",$AN21="Discontinued"),"",RANK($G21,$G$4:$G$30,1)+COUNTIF($G$4:$G21,$G21)-1)</f>
        <v>14</v>
      </c>
      <c r="O21" s="153">
        <f t="shared" ca="1" si="34"/>
        <v>12</v>
      </c>
      <c r="P21" s="154">
        <f t="shared" ca="1" si="35"/>
        <v>144</v>
      </c>
      <c r="Q21" s="155">
        <f>IFERROR(INDEX('Pantry Inventory'!$AB$5:$AB$31,MATCH($B21,'Pantry Inventory'!$Z$5:$Z$31,0)),0)</f>
        <v>1.83</v>
      </c>
      <c r="R21" s="156">
        <f t="shared" ca="1" si="36"/>
        <v>263.52</v>
      </c>
      <c r="S21" s="143" t="s">
        <v>69</v>
      </c>
      <c r="T21" s="154">
        <f>SUMIFS('Daily Data'!$I$2:$I$1000,'Daily Data'!$E$2:$E$1000,$B21)</f>
        <v>185</v>
      </c>
      <c r="U21" s="182" t="str">
        <f>IFERROR(INDEX('Pantry Inventory'!$A$5:$A$161,MATCH($B21,'Pantry Inventory'!$B$5:$B$161,0)),"")</f>
        <v>Coca Cola</v>
      </c>
      <c r="V21" s="183">
        <f>SUMPRODUCT(MAX(('Daily Data'!$E$2:$E$1000=$B21)*'Daily Data'!$L$2:$L$1000*'Daily Data'!$A$2:$A$1000))</f>
        <v>46295</v>
      </c>
      <c r="W21" s="182">
        <f>IF(AND(OR(OR(Dashboard!$E$5="All",Dashboard!$E$5=""),$AM21=Dashboard!$E$5),OR(OR(Dashboard!$H$5="All",Dashboard!$H$5=""),$S21=Dashboard!$H$5),OR(OR(Dashboard!$Q$5="All",Dashboard!$Q$5=""),$U21=Dashboard!$Q$5),OR(OR(Dashboard!$U$5="All",Dashboard!$U$5=""),$B21=Dashboard!$U$5),OR(AND(OR(OR(Dashboard!$B$5="All",Dashboard!$B$5="")),OR(OR(Dashboard!$K$5="All",Dashboard!$K$5="")),OR(OR(Dashboard!$N$5="All",Dashboard!$N$5=""))),SUMIFS('Daily Data'!$I$2:$I$1000,'Daily Data'!$E$2:$E$1000,$B21,'Daily Data'!$M$2:$M$1000,1)&gt;0)),1,0)</f>
        <v>1</v>
      </c>
      <c r="X21" s="182">
        <f>IF(OR($W21&lt;&gt;1,$G21="",$AN21="Discontinued"),"",SUMPRODUCT(($W$4:$W$30=1)*($AN$4:$AN$30&lt;&gt;"Discontinued")*ISNUMBER($G$4:$G$30)*($G$4:$G$30&lt;$G21))+SUMPRODUCT(($W$4:$W21=1)*($AN$4:$AN21&lt;&gt;"Discontinued")*ISNUMBER($G$4:$G21)*($G$4:$G21=$G21)))</f>
        <v>14</v>
      </c>
      <c r="Y21" s="182">
        <f t="shared" ca="1" si="37"/>
        <v>14</v>
      </c>
      <c r="Z21" s="184">
        <f t="shared" si="38"/>
        <v>338.55</v>
      </c>
      <c r="AA21" s="185">
        <f>IF($Z21&lt;=0,"",SUMPRODUCT(ISNUMBER($Z$4:$Z$30)*($Z$4:$Z$30&gt;$Z21))+SUMPRODUCT(ISNUMBER($Z$4:$Z21)*($Z$4:$Z21=$Z21)))</f>
        <v>11</v>
      </c>
      <c r="AB21" s="186">
        <f t="shared" si="39"/>
        <v>0.80748285866580649</v>
      </c>
      <c r="AC21" s="187" t="str">
        <f t="shared" si="40"/>
        <v>A</v>
      </c>
      <c r="AD21" s="188">
        <f>IF(OR($C21&lt;=0,COUNTIFS('Daily Data'!$E$2:$E$1000,$B21,'Daily Data'!$H$2:$H$1000,"&gt;0")&lt;2),0,SQRT(MAX(0,(SUMIFS('Daily Data'!$O$2:$O$1000,'Daily Data'!$E$2:$E$1000,$B21)-SUMIFS('Daily Data'!$I$2:$I$1000,'Daily Data'!$E$2:$E$1000,$B21,'Daily Data'!$H$2:$H$1000,"&gt;0")^2/COUNTIFS('Daily Data'!$E$2:$E$1000,$B21,'Daily Data'!$H$2:$H$1000,"&gt;0"))/(COUNTIFS('Daily Data'!$E$2:$E$1000,$B21,'Daily Data'!$H$2:$H$1000,"&gt;0")-1))))</f>
        <v>3.3898881974693484</v>
      </c>
      <c r="AE21" s="188">
        <f t="shared" si="41"/>
        <v>0.40312183969905768</v>
      </c>
      <c r="AF21" s="187" t="str">
        <f t="shared" si="42"/>
        <v>X</v>
      </c>
      <c r="AG21" s="185">
        <f t="shared" si="43"/>
        <v>12.468024122419527</v>
      </c>
      <c r="AH21" s="185">
        <f t="shared" si="44"/>
        <v>54.513478667874068</v>
      </c>
      <c r="AI21" s="187" t="str">
        <f t="shared" si="45"/>
        <v>OK</v>
      </c>
      <c r="AJ21" s="185">
        <f t="shared" si="46"/>
        <v>-7.4865213321259318</v>
      </c>
      <c r="AK21" s="185" t="str">
        <f>IF(OR($W21&lt;&gt;1,NOT(ISNUMBER($AJ21))),"",IF($AJ21&lt;=0,"",SUMPRODUCT(($W$4:$W$30=1)*ISNUMBER($AJ$4:$AJ$30)*($AJ$4:$AJ$30&gt;$AJ21))+SUMPRODUCT(($W$4:$W21=1)*ISNUMBER($AJ$4:$AJ21)*($AJ$4:$AJ21=$AJ21))))</f>
        <v/>
      </c>
      <c r="AL21" s="185" t="str">
        <f>IF(AND($W21=1,'Storehouse Replenishment Schedu'!$CU21="MISMATCH"),SUMPRODUCT(($W$4:$W21=1)*('Storehouse Replenishment Schedu'!$CU$4:$CU21="MISMATCH")),"")</f>
        <v/>
      </c>
      <c r="AM21" s="143" t="s">
        <v>388</v>
      </c>
      <c r="AN21" s="301" t="s">
        <v>404</v>
      </c>
      <c r="AO21" s="306">
        <f t="shared" si="47"/>
        <v>4.2946739715987052E-2</v>
      </c>
      <c r="AP21" s="305">
        <f>IF($AO21="","",SUMPRODUCT(($AM$4:$AM$30=$AM21)*($C$4:$C$30&gt;$C21))+SUMPRODUCT(($AM$4:$AM21=$AM21)*($C$4:$C21=$C21)))</f>
        <v>10</v>
      </c>
      <c r="AQ21" s="308">
        <f t="shared" si="48"/>
        <v>0.64420109573980577</v>
      </c>
      <c r="AR21" s="332">
        <f t="shared" si="49"/>
        <v>-5.2631578947368474E-2</v>
      </c>
      <c r="AS21" s="307" t="str">
        <f t="shared" si="50"/>
        <v>KEEP</v>
      </c>
      <c r="AT21" s="305">
        <f t="shared" si="51"/>
        <v>113.46000000000001</v>
      </c>
      <c r="AU21" s="305">
        <f>COUNTIFS('Daily Data'!$E$2:$E$1000,$B21,'Daily Data'!$AJ$2:$AJ$1000,1)</f>
        <v>22</v>
      </c>
      <c r="AV21" s="308">
        <f>SUMPRODUCT(MAX(('Daily Data'!$E$2:$E$1000=$B21)*'Daily Data'!$AH$2:$AH$1000))/2</f>
        <v>11</v>
      </c>
      <c r="AW21" s="308">
        <f>IFERROR(SUMIFS('Daily Data'!$AI$2:$AI$1000,'Daily Data'!$E$2:$E$1000,$B21,'Daily Data'!$AH$2:$AH$1000,"&gt;0",'Daily Data'!$AH$2:$AH$1000,"&lt;="&amp;$AV21,'Daily Data'!$AJ$2:$AJ$1000,1)/COUNTIFS('Daily Data'!$E$2:$E$1000,$B21,'Daily Data'!$AH$2:$AH$1000,"&gt;0",'Daily Data'!$AH$2:$AH$1000,"&lt;="&amp;$AV21,'Daily Data'!$AJ$2:$AJ$1000,1),0)</f>
        <v>8.6363636363636367</v>
      </c>
      <c r="AX21" s="308">
        <f>IFERROR(SUMIFS('Daily Data'!$AI$2:$AI$1000,'Daily Data'!$E$2:$E$1000,$B21,'Daily Data'!$AH$2:$AH$1000,"&gt;"&amp;$AV21,'Daily Data'!$AJ$2:$AJ$1000,1)/COUNTIFS('Daily Data'!$E$2:$E$1000,$B21,'Daily Data'!$AH$2:$AH$1000,"&gt;"&amp;$AV21,'Daily Data'!$AJ$2:$AJ$1000,1),0)</f>
        <v>8.1818181818181817</v>
      </c>
      <c r="AY21" s="305">
        <f>COUNTIFS('Daily Data'!$E$2:$E$1000,$B21,'Daily Data'!$L$2:$L$1000,1)</f>
        <v>22</v>
      </c>
    </row>
    <row r="22" spans="1:51" x14ac:dyDescent="0.25">
      <c r="A22" s="256">
        <v>12</v>
      </c>
      <c r="B22" s="288" t="s">
        <v>166</v>
      </c>
      <c r="C22" s="231">
        <f>IFERROR(SUMIFS('Daily Data'!$I$2:$I$1000,'Daily Data'!$E$2:$E$1000,$B22)/COUNTIFS('Daily Data'!$E$2:$E$1000,$B22,'Daily Data'!$H$2:$H$1000,"&gt;0"),0)</f>
        <v>31.307692307692307</v>
      </c>
      <c r="D22">
        <f>'Storehouse Replenishment Schedu'!CR22</f>
        <v>48</v>
      </c>
      <c r="E22" s="23">
        <f>SUMIFS('Daily Data'!$H$2:$H$1000,'Daily Data'!$E$2:$E$1000,$B22,'Daily Data'!$A$2:$A$1000,$V22)+SUMIFS('Daily Data'!$G$2:$G$1000,'Daily Data'!$E$2:$E$1000,$B22,'Daily Data'!$A$2:$A$1000,"&gt;"&amp;$V22)</f>
        <v>37</v>
      </c>
      <c r="F22" s="23">
        <f t="shared" si="26"/>
        <v>85</v>
      </c>
      <c r="G22" s="23">
        <f t="shared" si="27"/>
        <v>2.7149877149877151</v>
      </c>
      <c r="H22" s="151">
        <f t="shared" si="28"/>
        <v>46297.714987714986</v>
      </c>
      <c r="I22" s="151">
        <f t="shared" si="29"/>
        <v>46297</v>
      </c>
      <c r="J22" s="23">
        <f t="shared" ca="1" si="30"/>
        <v>21</v>
      </c>
      <c r="K22" s="23">
        <f t="shared" ca="1" si="31"/>
        <v>657.46153846153845</v>
      </c>
      <c r="L22" s="233">
        <f t="shared" ca="1" si="32"/>
        <v>54.78846153846154</v>
      </c>
      <c r="M22" s="135" t="str">
        <f t="shared" si="33"/>
        <v>CRITICAL</v>
      </c>
      <c r="N22" s="153">
        <f>IF(OR($G22="",$AN22="Discontinued"),"",RANK($G22,$G$4:$G$30,1)+COUNTIF($G$4:$G22,$G22)-1)</f>
        <v>5</v>
      </c>
      <c r="O22" s="153">
        <f t="shared" ca="1" si="34"/>
        <v>55</v>
      </c>
      <c r="P22" s="154">
        <f t="shared" ca="1" si="35"/>
        <v>660</v>
      </c>
      <c r="Q22" s="155">
        <f>IFERROR(INDEX('Pantry Inventory'!$AB$5:$AB$31,MATCH($B22,'Pantry Inventory'!$Z$5:$Z$31,0)),0)</f>
        <v>1.75</v>
      </c>
      <c r="R22" s="156">
        <f t="shared" ca="1" si="36"/>
        <v>1155</v>
      </c>
      <c r="S22" s="143" t="s">
        <v>68</v>
      </c>
      <c r="T22" s="154">
        <f>SUMIFS('Daily Data'!$I$2:$I$1000,'Daily Data'!$E$2:$E$1000,$B22)</f>
        <v>407</v>
      </c>
      <c r="U22" s="182" t="str">
        <f>IFERROR(INDEX('Pantry Inventory'!$A$5:$A$161,MATCH($B22,'Pantry Inventory'!$B$5:$B$161,0)),"")</f>
        <v>Coca Cola</v>
      </c>
      <c r="V22" s="183">
        <f>SUMPRODUCT(MAX(('Daily Data'!$E$2:$E$1000=$B22)*'Daily Data'!$L$2:$L$1000*'Daily Data'!$A$2:$A$1000))</f>
        <v>46295</v>
      </c>
      <c r="W22" s="182">
        <f>IF(AND(OR(OR(Dashboard!$E$5="All",Dashboard!$E$5=""),$AM22=Dashboard!$E$5),OR(OR(Dashboard!$H$5="All",Dashboard!$H$5=""),$S22=Dashboard!$H$5),OR(OR(Dashboard!$Q$5="All",Dashboard!$Q$5=""),$U22=Dashboard!$Q$5),OR(OR(Dashboard!$U$5="All",Dashboard!$U$5=""),$B22=Dashboard!$U$5),OR(AND(OR(OR(Dashboard!$B$5="All",Dashboard!$B$5="")),OR(OR(Dashboard!$K$5="All",Dashboard!$K$5="")),OR(OR(Dashboard!$N$5="All",Dashboard!$N$5=""))),SUMIFS('Daily Data'!$I$2:$I$1000,'Daily Data'!$E$2:$E$1000,$B22,'Daily Data'!$M$2:$M$1000,1)&gt;0)),1,0)</f>
        <v>1</v>
      </c>
      <c r="X22" s="182">
        <f>IF(OR($W22&lt;&gt;1,$G22="",$AN22="Discontinued"),"",SUMPRODUCT(($W$4:$W$30=1)*($AN$4:$AN$30&lt;&gt;"Discontinued")*ISNUMBER($G$4:$G$30)*($G$4:$G$30&lt;$G22))+SUMPRODUCT(($W$4:$W22=1)*($AN$4:$AN22&lt;&gt;"Discontinued")*ISNUMBER($G$4:$G22)*($G$4:$G22=$G22)))</f>
        <v>5</v>
      </c>
      <c r="Y22" s="182">
        <f t="shared" ca="1" si="37"/>
        <v>5</v>
      </c>
      <c r="Z22" s="184">
        <f t="shared" si="38"/>
        <v>712.25</v>
      </c>
      <c r="AA22" s="185">
        <f>IF($Z22&lt;=0,"",SUMPRODUCT(ISNUMBER($Z$4:$Z$30)*($Z$4:$Z$30&gt;$Z22))+SUMPRODUCT(ISNUMBER($Z$4:$Z22)*($Z$4:$Z22=$Z22)))</f>
        <v>6</v>
      </c>
      <c r="AB22" s="186">
        <f t="shared" si="39"/>
        <v>0.59414383706415386</v>
      </c>
      <c r="AC22" s="187" t="str">
        <f t="shared" si="40"/>
        <v>A</v>
      </c>
      <c r="AD22" s="188">
        <f>IF(OR($C22&lt;=0,COUNTIFS('Daily Data'!$E$2:$E$1000,$B22,'Daily Data'!$H$2:$H$1000,"&gt;0")&lt;2),0,SQRT(MAX(0,(SUMIFS('Daily Data'!$O$2:$O$1000,'Daily Data'!$E$2:$E$1000,$B22)-SUMIFS('Daily Data'!$I$2:$I$1000,'Daily Data'!$E$2:$E$1000,$B22,'Daily Data'!$H$2:$H$1000,"&gt;0")^2/COUNTIFS('Daily Data'!$E$2:$E$1000,$B22,'Daily Data'!$H$2:$H$1000,"&gt;0"))/(COUNTIFS('Daily Data'!$E$2:$E$1000,$B22,'Daily Data'!$H$2:$H$1000,"&gt;0")-1))))</f>
        <v>14.177446878757825</v>
      </c>
      <c r="AE22" s="188">
        <f t="shared" si="41"/>
        <v>0.45284228359668732</v>
      </c>
      <c r="AF22" s="187" t="str">
        <f t="shared" si="42"/>
        <v>X</v>
      </c>
      <c r="AG22" s="185">
        <f t="shared" si="43"/>
        <v>52.14471374325386</v>
      </c>
      <c r="AH22" s="185">
        <f t="shared" si="44"/>
        <v>208.68317528171542</v>
      </c>
      <c r="AI22" s="187" t="str">
        <f t="shared" si="45"/>
        <v>BELOW ROP</v>
      </c>
      <c r="AJ22" s="185">
        <f t="shared" si="46"/>
        <v>123.68317528171542</v>
      </c>
      <c r="AK22" s="185">
        <f>IF(OR($W22&lt;&gt;1,NOT(ISNUMBER($AJ22))),"",IF($AJ22&lt;=0,"",SUMPRODUCT(($W$4:$W$30=1)*ISNUMBER($AJ$4:$AJ$30)*($AJ$4:$AJ$30&gt;$AJ22))+SUMPRODUCT(($W$4:$W22=1)*ISNUMBER($AJ$4:$AJ22)*($AJ$4:$AJ22=$AJ22))))</f>
        <v>2</v>
      </c>
      <c r="AL22" s="185" t="str">
        <f>IF(AND($W22=1,'Storehouse Replenishment Schedu'!$CU22="MISMATCH"),SUMPRODUCT(($W$4:$W22=1)*('Storehouse Replenishment Schedu'!$CU$4:$CU22="MISMATCH")),"")</f>
        <v/>
      </c>
      <c r="AM22" s="143" t="s">
        <v>388</v>
      </c>
      <c r="AN22" s="301" t="s">
        <v>404</v>
      </c>
      <c r="AO22" s="306">
        <f t="shared" si="47"/>
        <v>0.15989401555798258</v>
      </c>
      <c r="AP22" s="305">
        <f>IF($AO22="","",SUMPRODUCT(($AM$4:$AM$30=$AM22)*($C$4:$C$30&gt;$C22))+SUMPRODUCT(($AM$4:$AM22=$AM22)*($C$4:$C22=$C22)))</f>
        <v>1</v>
      </c>
      <c r="AQ22" s="308">
        <f t="shared" si="48"/>
        <v>2.3984102333697384</v>
      </c>
      <c r="AR22" s="332">
        <f t="shared" si="49"/>
        <v>-7.7380952380952439E-2</v>
      </c>
      <c r="AS22" s="307" t="str">
        <f t="shared" si="50"/>
        <v>KEEP</v>
      </c>
      <c r="AT22" s="305">
        <f t="shared" si="51"/>
        <v>148.75</v>
      </c>
      <c r="AU22" s="305">
        <f>COUNTIFS('Daily Data'!$E$2:$E$1000,$B22,'Daily Data'!$AJ$2:$AJ$1000,1)</f>
        <v>13</v>
      </c>
      <c r="AV22" s="308">
        <f>SUMPRODUCT(MAX(('Daily Data'!$E$2:$E$1000=$B22)*'Daily Data'!$AH$2:$AH$1000))/2</f>
        <v>11</v>
      </c>
      <c r="AW22" s="308">
        <f>IFERROR(SUMIFS('Daily Data'!$AI$2:$AI$1000,'Daily Data'!$E$2:$E$1000,$B22,'Daily Data'!$AH$2:$AH$1000,"&gt;0",'Daily Data'!$AH$2:$AH$1000,"&lt;="&amp;$AV22,'Daily Data'!$AJ$2:$AJ$1000,1)/COUNTIFS('Daily Data'!$E$2:$E$1000,$B22,'Daily Data'!$AH$2:$AH$1000,"&gt;0",'Daily Data'!$AH$2:$AH$1000,"&lt;="&amp;$AV22,'Daily Data'!$AJ$2:$AJ$1000,1),0)</f>
        <v>24</v>
      </c>
      <c r="AX22" s="308">
        <f>IFERROR(SUMIFS('Daily Data'!$AI$2:$AI$1000,'Daily Data'!$E$2:$E$1000,$B22,'Daily Data'!$AH$2:$AH$1000,"&gt;"&amp;$AV22,'Daily Data'!$AJ$2:$AJ$1000,1)/COUNTIFS('Daily Data'!$E$2:$E$1000,$B22,'Daily Data'!$AH$2:$AH$1000,"&gt;"&amp;$AV22,'Daily Data'!$AJ$2:$AJ$1000,1),0)</f>
        <v>22.142857142857142</v>
      </c>
      <c r="AY22" s="305">
        <f>COUNTIFS('Daily Data'!$E$2:$E$1000,$B22,'Daily Data'!$L$2:$L$1000,1)</f>
        <v>22</v>
      </c>
    </row>
    <row r="23" spans="1:51" x14ac:dyDescent="0.25">
      <c r="A23" s="256">
        <v>12</v>
      </c>
      <c r="B23" s="288" t="s">
        <v>167</v>
      </c>
      <c r="C23" s="231">
        <f>IFERROR(SUMIFS('Daily Data'!$I$2:$I$1000,'Daily Data'!$E$2:$E$1000,$B23)/COUNTIFS('Daily Data'!$E$2:$E$1000,$B23,'Daily Data'!$H$2:$H$1000,"&gt;0"),0)</f>
        <v>23.642857142857142</v>
      </c>
      <c r="D23">
        <f>'Storehouse Replenishment Schedu'!CR23</f>
        <v>84</v>
      </c>
      <c r="E23" s="23">
        <f>SUMIFS('Daily Data'!$H$2:$H$1000,'Daily Data'!$E$2:$E$1000,$B23,'Daily Data'!$A$2:$A$1000,$V23)+SUMIFS('Daily Data'!$G$2:$G$1000,'Daily Data'!$E$2:$E$1000,$B23,'Daily Data'!$A$2:$A$1000,"&gt;"&amp;$V23)</f>
        <v>53</v>
      </c>
      <c r="F23" s="23">
        <f t="shared" si="26"/>
        <v>137</v>
      </c>
      <c r="G23" s="23">
        <f t="shared" si="27"/>
        <v>5.7945619335347436</v>
      </c>
      <c r="H23" s="151">
        <f t="shared" si="28"/>
        <v>46300.794561933537</v>
      </c>
      <c r="I23" s="151">
        <f t="shared" si="29"/>
        <v>46302</v>
      </c>
      <c r="J23" s="23">
        <f t="shared" ca="1" si="30"/>
        <v>18</v>
      </c>
      <c r="K23" s="23">
        <f t="shared" ca="1" si="31"/>
        <v>425.57142857142856</v>
      </c>
      <c r="L23" s="233">
        <f t="shared" ca="1" si="32"/>
        <v>35.464285714285715</v>
      </c>
      <c r="M23" s="135" t="str">
        <f t="shared" si="33"/>
        <v>LOW</v>
      </c>
      <c r="N23" s="153">
        <f>IF(OR($G23="",$AN23="Discontinued"),"",RANK($G23,$G$4:$G$30,1)+COUNTIF($G$4:$G23,$G23)-1)</f>
        <v>12</v>
      </c>
      <c r="O23" s="153">
        <f t="shared" ca="1" si="34"/>
        <v>36</v>
      </c>
      <c r="P23" s="154">
        <f t="shared" ca="1" si="35"/>
        <v>432</v>
      </c>
      <c r="Q23" s="155">
        <f>IFERROR(INDEX('Pantry Inventory'!$AB$5:$AB$31,MATCH($B23,'Pantry Inventory'!$Z$5:$Z$31,0)),0)</f>
        <v>1.75</v>
      </c>
      <c r="R23" s="156">
        <f t="shared" ca="1" si="36"/>
        <v>756</v>
      </c>
      <c r="S23" s="143" t="s">
        <v>68</v>
      </c>
      <c r="T23" s="154">
        <f>SUMIFS('Daily Data'!$I$2:$I$1000,'Daily Data'!$E$2:$E$1000,$B23)</f>
        <v>331</v>
      </c>
      <c r="U23" s="182" t="str">
        <f>IFERROR(INDEX('Pantry Inventory'!$A$5:$A$161,MATCH($B23,'Pantry Inventory'!$B$5:$B$161,0)),"")</f>
        <v>Coca Cola</v>
      </c>
      <c r="V23" s="183">
        <f>SUMPRODUCT(MAX(('Daily Data'!$E$2:$E$1000=$B23)*'Daily Data'!$L$2:$L$1000*'Daily Data'!$A$2:$A$1000))</f>
        <v>46295</v>
      </c>
      <c r="W23" s="182">
        <f>IF(AND(OR(OR(Dashboard!$E$5="All",Dashboard!$E$5=""),$AM23=Dashboard!$E$5),OR(OR(Dashboard!$H$5="All",Dashboard!$H$5=""),$S23=Dashboard!$H$5),OR(OR(Dashboard!$Q$5="All",Dashboard!$Q$5=""),$U23=Dashboard!$Q$5),OR(OR(Dashboard!$U$5="All",Dashboard!$U$5=""),$B23=Dashboard!$U$5),OR(AND(OR(OR(Dashboard!$B$5="All",Dashboard!$B$5="")),OR(OR(Dashboard!$K$5="All",Dashboard!$K$5="")),OR(OR(Dashboard!$N$5="All",Dashboard!$N$5=""))),SUMIFS('Daily Data'!$I$2:$I$1000,'Daily Data'!$E$2:$E$1000,$B23,'Daily Data'!$M$2:$M$1000,1)&gt;0)),1,0)</f>
        <v>1</v>
      </c>
      <c r="X23" s="182">
        <f>IF(OR($W23&lt;&gt;1,$G23="",$AN23="Discontinued"),"",SUMPRODUCT(($W$4:$W$30=1)*($AN$4:$AN$30&lt;&gt;"Discontinued")*ISNUMBER($G$4:$G$30)*($G$4:$G$30&lt;$G23))+SUMPRODUCT(($W$4:$W23=1)*($AN$4:$AN23&lt;&gt;"Discontinued")*ISNUMBER($G$4:$G23)*($G$4:$G23=$G23)))</f>
        <v>12</v>
      </c>
      <c r="Y23" s="182">
        <f t="shared" ca="1" si="37"/>
        <v>12</v>
      </c>
      <c r="Z23" s="184">
        <f t="shared" si="38"/>
        <v>579.25</v>
      </c>
      <c r="AA23" s="185">
        <f>IF($Z23&lt;=0,"",SUMPRODUCT(ISNUMBER($Z$4:$Z$30)*($Z$4:$Z$30&gt;$Z23))+SUMPRODUCT(ISNUMBER($Z$4:$Z23)*($Z$4:$Z23=$Z23)))</f>
        <v>7</v>
      </c>
      <c r="AB23" s="186">
        <f t="shared" si="39"/>
        <v>0.65043534202737852</v>
      </c>
      <c r="AC23" s="187" t="str">
        <f t="shared" si="40"/>
        <v>A</v>
      </c>
      <c r="AD23" s="188">
        <f>IF(OR($C23&lt;=0,COUNTIFS('Daily Data'!$E$2:$E$1000,$B23,'Daily Data'!$H$2:$H$1000,"&gt;0")&lt;2),0,SQRT(MAX(0,(SUMIFS('Daily Data'!$O$2:$O$1000,'Daily Data'!$E$2:$E$1000,$B23)-SUMIFS('Daily Data'!$I$2:$I$1000,'Daily Data'!$E$2:$E$1000,$B23,'Daily Data'!$H$2:$H$1000,"&gt;0")^2/COUNTIFS('Daily Data'!$E$2:$E$1000,$B23,'Daily Data'!$H$2:$H$1000,"&gt;0"))/(COUNTIFS('Daily Data'!$E$2:$E$1000,$B23,'Daily Data'!$H$2:$H$1000,"&gt;0")-1))))</f>
        <v>10.209078054617603</v>
      </c>
      <c r="AE23" s="188">
        <f t="shared" si="41"/>
        <v>0.43180390563337295</v>
      </c>
      <c r="AF23" s="187" t="str">
        <f t="shared" si="42"/>
        <v>X</v>
      </c>
      <c r="AG23" s="185">
        <f t="shared" si="43"/>
        <v>37.549035259528502</v>
      </c>
      <c r="AH23" s="185">
        <f t="shared" si="44"/>
        <v>155.76332097381422</v>
      </c>
      <c r="AI23" s="187" t="str">
        <f t="shared" si="45"/>
        <v>BELOW ROP</v>
      </c>
      <c r="AJ23" s="185">
        <f t="shared" si="46"/>
        <v>18.763320973814217</v>
      </c>
      <c r="AK23" s="185">
        <f>IF(OR($W23&lt;&gt;1,NOT(ISNUMBER($AJ23))),"",IF($AJ23&lt;=0,"",SUMPRODUCT(($W$4:$W$30=1)*ISNUMBER($AJ$4:$AJ$30)*($AJ$4:$AJ$30&gt;$AJ23))+SUMPRODUCT(($W$4:$W23=1)*ISNUMBER($AJ$4:$AJ23)*($AJ$4:$AJ23=$AJ23))))</f>
        <v>9</v>
      </c>
      <c r="AL23" s="185" t="str">
        <f>IF(AND($W23=1,'Storehouse Replenishment Schedu'!$CU23="MISMATCH"),SUMPRODUCT(($W$4:$W23=1)*('Storehouse Replenishment Schedu'!$CU$4:$CU23="MISMATCH")),"")</f>
        <v/>
      </c>
      <c r="AM23" s="143" t="s">
        <v>388</v>
      </c>
      <c r="AN23" s="301" t="s">
        <v>404</v>
      </c>
      <c r="AO23" s="306">
        <f t="shared" si="47"/>
        <v>0.12074832378834661</v>
      </c>
      <c r="AP23" s="305">
        <f>IF($AO23="","",SUMPRODUCT(($AM$4:$AM$30=$AM23)*($C$4:$C$30&gt;$C23))+SUMPRODUCT(($AM$4:$AM23=$AM23)*($C$4:$C23=$C23)))</f>
        <v>3</v>
      </c>
      <c r="AQ23" s="308">
        <f t="shared" si="48"/>
        <v>1.8112248568251992</v>
      </c>
      <c r="AR23" s="332">
        <f t="shared" si="49"/>
        <v>-0.115234375</v>
      </c>
      <c r="AS23" s="307" t="str">
        <f t="shared" si="50"/>
        <v>KEEP</v>
      </c>
      <c r="AT23" s="305">
        <f t="shared" si="51"/>
        <v>239.75</v>
      </c>
      <c r="AU23" s="305">
        <f>COUNTIFS('Daily Data'!$E$2:$E$1000,$B23,'Daily Data'!$AJ$2:$AJ$1000,1)</f>
        <v>14</v>
      </c>
      <c r="AV23" s="308">
        <f>SUMPRODUCT(MAX(('Daily Data'!$E$2:$E$1000=$B23)*'Daily Data'!$AH$2:$AH$1000))/2</f>
        <v>11</v>
      </c>
      <c r="AW23" s="308">
        <f>IFERROR(SUMIFS('Daily Data'!$AI$2:$AI$1000,'Daily Data'!$E$2:$E$1000,$B23,'Daily Data'!$AH$2:$AH$1000,"&gt;0",'Daily Data'!$AH$2:$AH$1000,"&lt;="&amp;$AV23,'Daily Data'!$AJ$2:$AJ$1000,1)/COUNTIFS('Daily Data'!$E$2:$E$1000,$B23,'Daily Data'!$AH$2:$AH$1000,"&gt;0",'Daily Data'!$AH$2:$AH$1000,"&lt;="&amp;$AV23,'Daily Data'!$AJ$2:$AJ$1000,1),0)</f>
        <v>21.333333333333332</v>
      </c>
      <c r="AX23" s="308">
        <f>IFERROR(SUMIFS('Daily Data'!$AI$2:$AI$1000,'Daily Data'!$E$2:$E$1000,$B23,'Daily Data'!$AH$2:$AH$1000,"&gt;"&amp;$AV23,'Daily Data'!$AJ$2:$AJ$1000,1)/COUNTIFS('Daily Data'!$E$2:$E$1000,$B23,'Daily Data'!$AH$2:$AH$1000,"&gt;"&amp;$AV23,'Daily Data'!$AJ$2:$AJ$1000,1),0)</f>
        <v>18.875</v>
      </c>
      <c r="AY23" s="305">
        <f>COUNTIFS('Daily Data'!$E$2:$E$1000,$B23,'Daily Data'!$L$2:$L$1000,1)</f>
        <v>22</v>
      </c>
    </row>
    <row r="24" spans="1:51" x14ac:dyDescent="0.25">
      <c r="A24" s="256">
        <v>48</v>
      </c>
      <c r="B24" s="288" t="s">
        <v>169</v>
      </c>
      <c r="C24" s="231">
        <f>IFERROR(SUMIFS('Daily Data'!$I$2:$I$1000,'Daily Data'!$E$2:$E$1000,$B24)/COUNTIFS('Daily Data'!$E$2:$E$1000,$B24,'Daily Data'!$H$2:$H$1000,"&gt;0"),0)</f>
        <v>15.941176470588236</v>
      </c>
      <c r="D24">
        <f>'Storehouse Replenishment Schedu'!CR24</f>
        <v>0</v>
      </c>
      <c r="E24" s="23">
        <f>SUMIFS('Daily Data'!$H$2:$H$1000,'Daily Data'!$E$2:$E$1000,$B24,'Daily Data'!$A$2:$A$1000,$V24)+SUMIFS('Daily Data'!$G$2:$G$1000,'Daily Data'!$E$2:$E$1000,$B24,'Daily Data'!$A$2:$A$1000,"&gt;"&amp;$V24)</f>
        <v>27</v>
      </c>
      <c r="F24" s="23">
        <f t="shared" si="26"/>
        <v>27</v>
      </c>
      <c r="G24" s="23">
        <f t="shared" si="27"/>
        <v>1.6937269372693726</v>
      </c>
      <c r="H24" s="151">
        <f t="shared" si="28"/>
        <v>46296.693726937272</v>
      </c>
      <c r="I24" s="151">
        <f t="shared" si="29"/>
        <v>46296</v>
      </c>
      <c r="J24" s="23">
        <f t="shared" ca="1" si="30"/>
        <v>22</v>
      </c>
      <c r="K24" s="23">
        <f t="shared" ca="1" si="31"/>
        <v>350.70588235294116</v>
      </c>
      <c r="L24" s="23">
        <f t="shared" ca="1" si="32"/>
        <v>7.3063725490196072</v>
      </c>
      <c r="M24" s="135" t="str">
        <f t="shared" si="33"/>
        <v>CRITICAL</v>
      </c>
      <c r="N24" s="153">
        <f>IF(OR($G24="",$AN24="Discontinued"),"",RANK($G24,$G$4:$G$30,1)+COUNTIF($G$4:$G24,$G24)-1)</f>
        <v>4</v>
      </c>
      <c r="O24" s="153">
        <f t="shared" ca="1" si="34"/>
        <v>8</v>
      </c>
      <c r="P24" s="154">
        <f t="shared" ca="1" si="35"/>
        <v>384</v>
      </c>
      <c r="Q24" s="155">
        <f>IFERROR(INDEX('Pantry Inventory'!$AB$5:$AB$31,MATCH($B24,'Pantry Inventory'!$Z$5:$Z$31,0)),0)</f>
        <v>1.25</v>
      </c>
      <c r="R24" s="156">
        <f t="shared" ca="1" si="36"/>
        <v>480</v>
      </c>
      <c r="S24" s="143" t="s">
        <v>69</v>
      </c>
      <c r="T24" s="154">
        <f>SUMIFS('Daily Data'!$I$2:$I$1000,'Daily Data'!$E$2:$E$1000,$B24)</f>
        <v>271</v>
      </c>
      <c r="U24" s="182" t="str">
        <f>IFERROR(INDEX('Pantry Inventory'!$A$5:$A$161,MATCH($B24,'Pantry Inventory'!$B$5:$B$161,0)),"")</f>
        <v>Vsoy</v>
      </c>
      <c r="V24" s="183">
        <f>SUMPRODUCT(MAX(('Daily Data'!$E$2:$E$1000=$B24)*'Daily Data'!$L$2:$L$1000*'Daily Data'!$A$2:$A$1000))</f>
        <v>46295</v>
      </c>
      <c r="W24" s="182">
        <f>IF(AND(OR(OR(Dashboard!$E$5="All",Dashboard!$E$5=""),$AM24=Dashboard!$E$5),OR(OR(Dashboard!$H$5="All",Dashboard!$H$5=""),$S24=Dashboard!$H$5),OR(OR(Dashboard!$Q$5="All",Dashboard!$Q$5=""),$U24=Dashboard!$Q$5),OR(OR(Dashboard!$U$5="All",Dashboard!$U$5=""),$B24=Dashboard!$U$5),OR(AND(OR(OR(Dashboard!$B$5="All",Dashboard!$B$5="")),OR(OR(Dashboard!$K$5="All",Dashboard!$K$5="")),OR(OR(Dashboard!$N$5="All",Dashboard!$N$5=""))),SUMIFS('Daily Data'!$I$2:$I$1000,'Daily Data'!$E$2:$E$1000,$B24,'Daily Data'!$M$2:$M$1000,1)&gt;0)),1,0)</f>
        <v>1</v>
      </c>
      <c r="X24" s="182">
        <f>IF(OR($W24&lt;&gt;1,$G24="",$AN24="Discontinued"),"",SUMPRODUCT(($W$4:$W$30=1)*($AN$4:$AN$30&lt;&gt;"Discontinued")*ISNUMBER($G$4:$G$30)*($G$4:$G$30&lt;$G24))+SUMPRODUCT(($W$4:$W24=1)*($AN$4:$AN24&lt;&gt;"Discontinued")*ISNUMBER($G$4:$G24)*($G$4:$G24=$G24)))</f>
        <v>4</v>
      </c>
      <c r="Y24" s="182">
        <f t="shared" ca="1" si="37"/>
        <v>4</v>
      </c>
      <c r="Z24" s="184">
        <f t="shared" si="38"/>
        <v>338.75</v>
      </c>
      <c r="AA24" s="185">
        <f>IF($Z24&lt;=0,"",SUMPRODUCT(ISNUMBER($Z$4:$Z$30)*($Z$4:$Z$30&gt;$Z24))+SUMPRODUCT(ISNUMBER($Z$4:$Z24)*($Z$4:$Z24=$Z24)))</f>
        <v>10</v>
      </c>
      <c r="AB24" s="186">
        <f t="shared" si="39"/>
        <v>0.77458257553192678</v>
      </c>
      <c r="AC24" s="187" t="str">
        <f t="shared" si="40"/>
        <v>A</v>
      </c>
      <c r="AD24" s="188">
        <f>IF(OR($C24&lt;=0,COUNTIFS('Daily Data'!$E$2:$E$1000,$B24,'Daily Data'!$H$2:$H$1000,"&gt;0")&lt;2),0,SQRT(MAX(0,(SUMIFS('Daily Data'!$O$2:$O$1000,'Daily Data'!$E$2:$E$1000,$B24)-SUMIFS('Daily Data'!$I$2:$I$1000,'Daily Data'!$E$2:$E$1000,$B24,'Daily Data'!$H$2:$H$1000,"&gt;0")^2/COUNTIFS('Daily Data'!$E$2:$E$1000,$B24,'Daily Data'!$H$2:$H$1000,"&gt;0"))/(COUNTIFS('Daily Data'!$E$2:$E$1000,$B24,'Daily Data'!$H$2:$H$1000,"&gt;0")-1))))</f>
        <v>5.9464522294934037</v>
      </c>
      <c r="AE24" s="188">
        <f t="shared" si="41"/>
        <v>0.37302467860290722</v>
      </c>
      <c r="AF24" s="187" t="str">
        <f t="shared" si="42"/>
        <v>X</v>
      </c>
      <c r="AG24" s="185">
        <f t="shared" si="43"/>
        <v>21.871078195288923</v>
      </c>
      <c r="AH24" s="185">
        <f t="shared" si="44"/>
        <v>101.57696054823009</v>
      </c>
      <c r="AI24" s="187" t="str">
        <f t="shared" si="45"/>
        <v>BELOW ROP</v>
      </c>
      <c r="AJ24" s="185">
        <f t="shared" si="46"/>
        <v>74.57696054823009</v>
      </c>
      <c r="AK24" s="185">
        <f>IF(OR($W24&lt;&gt;1,NOT(ISNUMBER($AJ24))),"",IF($AJ24&lt;=0,"",SUMPRODUCT(($W$4:$W$30=1)*ISNUMBER($AJ$4:$AJ$30)*($AJ$4:$AJ$30&gt;$AJ24))+SUMPRODUCT(($W$4:$W24=1)*ISNUMBER($AJ$4:$AJ24)*($AJ$4:$AJ24=$AJ24))))</f>
        <v>4</v>
      </c>
      <c r="AL24" s="185" t="str">
        <f>IF(AND($W24=1,'Storehouse Replenishment Schedu'!$CU24="MISMATCH"),SUMPRODUCT(($W$4:$W24=1)*('Storehouse Replenishment Schedu'!$CU$4:$CU24="MISMATCH")),"")</f>
        <v/>
      </c>
      <c r="AM24" s="143" t="s">
        <v>388</v>
      </c>
      <c r="AN24" s="301" t="s">
        <v>404</v>
      </c>
      <c r="AO24" s="306">
        <f t="shared" si="47"/>
        <v>8.1414455385282941E-2</v>
      </c>
      <c r="AP24" s="305">
        <f>IF($AO24="","",SUMPRODUCT(($AM$4:$AM$30=$AM24)*($C$4:$C$30&gt;$C24))+SUMPRODUCT(($AM$4:$AM24=$AM24)*($C$4:$C24=$C24)))</f>
        <v>6</v>
      </c>
      <c r="AQ24" s="308">
        <f t="shared" si="48"/>
        <v>1.2212168307792439</v>
      </c>
      <c r="AR24" s="332">
        <f t="shared" si="49"/>
        <v>-0.13970588235294112</v>
      </c>
      <c r="AS24" s="307" t="str">
        <f t="shared" si="50"/>
        <v>KEEP</v>
      </c>
      <c r="AT24" s="305">
        <f t="shared" si="51"/>
        <v>33.75</v>
      </c>
      <c r="AU24" s="305">
        <f>COUNTIFS('Daily Data'!$E$2:$E$1000,$B24,'Daily Data'!$AJ$2:$AJ$1000,1)</f>
        <v>17</v>
      </c>
      <c r="AV24" s="308">
        <f>SUMPRODUCT(MAX(('Daily Data'!$E$2:$E$1000=$B24)*'Daily Data'!$AH$2:$AH$1000))/2</f>
        <v>11</v>
      </c>
      <c r="AW24" s="308">
        <f>IFERROR(SUMIFS('Daily Data'!$AI$2:$AI$1000,'Daily Data'!$E$2:$E$1000,$B24,'Daily Data'!$AH$2:$AH$1000,"&gt;0",'Daily Data'!$AH$2:$AH$1000,"&lt;="&amp;$AV24,'Daily Data'!$AJ$2:$AJ$1000,1)/COUNTIFS('Daily Data'!$E$2:$E$1000,$B24,'Daily Data'!$AH$2:$AH$1000,"&gt;0",'Daily Data'!$AH$2:$AH$1000,"&lt;="&amp;$AV24,'Daily Data'!$AJ$2:$AJ$1000,1),0)</f>
        <v>17</v>
      </c>
      <c r="AX24" s="308">
        <f>IFERROR(SUMIFS('Daily Data'!$AI$2:$AI$1000,'Daily Data'!$E$2:$E$1000,$B24,'Daily Data'!$AH$2:$AH$1000,"&gt;"&amp;$AV24,'Daily Data'!$AJ$2:$AJ$1000,1)/COUNTIFS('Daily Data'!$E$2:$E$1000,$B24,'Daily Data'!$AH$2:$AH$1000,"&gt;"&amp;$AV24,'Daily Data'!$AJ$2:$AJ$1000,1),0)</f>
        <v>14.625</v>
      </c>
      <c r="AY24" s="305">
        <f>COUNTIFS('Daily Data'!$E$2:$E$1000,$B24,'Daily Data'!$L$2:$L$1000,1)</f>
        <v>22</v>
      </c>
    </row>
    <row r="25" spans="1:51" x14ac:dyDescent="0.25">
      <c r="A25" s="256">
        <v>24</v>
      </c>
      <c r="B25" s="288" t="s">
        <v>171</v>
      </c>
      <c r="C25" s="231">
        <f>IFERROR(SUMIFS('Daily Data'!$I$2:$I$1000,'Daily Data'!$E$2:$E$1000,$B25)/COUNTIFS('Daily Data'!$E$2:$E$1000,$B25,'Daily Data'!$H$2:$H$1000,"&gt;0"),0)</f>
        <v>7.6875</v>
      </c>
      <c r="D25">
        <f>'Storehouse Replenishment Schedu'!CR25</f>
        <v>0</v>
      </c>
      <c r="E25" s="23">
        <f>SUMIFS('Daily Data'!$H$2:$H$1000,'Daily Data'!$E$2:$E$1000,$B25,'Daily Data'!$A$2:$A$1000,$V25)+SUMIFS('Daily Data'!$G$2:$G$1000,'Daily Data'!$E$2:$E$1000,$B25,'Daily Data'!$A$2:$A$1000,"&gt;"&amp;$V25)</f>
        <v>44</v>
      </c>
      <c r="F25" s="23">
        <f t="shared" si="26"/>
        <v>44</v>
      </c>
      <c r="G25" s="23">
        <f t="shared" si="27"/>
        <v>5.7235772357723578</v>
      </c>
      <c r="H25" s="151">
        <f t="shared" si="28"/>
        <v>46300.723577235774</v>
      </c>
      <c r="I25" s="151">
        <f t="shared" si="29"/>
        <v>46302</v>
      </c>
      <c r="J25" s="23">
        <f t="shared" ca="1" si="30"/>
        <v>18</v>
      </c>
      <c r="K25" s="23">
        <f t="shared" ca="1" si="31"/>
        <v>138.375</v>
      </c>
      <c r="L25" s="233">
        <f t="shared" ca="1" si="32"/>
        <v>5.765625</v>
      </c>
      <c r="M25" s="157" t="str">
        <f t="shared" si="33"/>
        <v>LOW</v>
      </c>
      <c r="N25" s="153">
        <f>IF(OR($G25="",$AN25="Discontinued"),"",RANK($G25,$G$4:$G$30,1)+COUNTIF($G$4:$G25,$G25)-1)</f>
        <v>11</v>
      </c>
      <c r="O25" s="153">
        <f t="shared" ca="1" si="34"/>
        <v>6</v>
      </c>
      <c r="P25" s="154">
        <f t="shared" ca="1" si="35"/>
        <v>144</v>
      </c>
      <c r="Q25" s="155">
        <f>IFERROR(INDEX('Pantry Inventory'!$AB$5:$AB$31,MATCH($B25,'Pantry Inventory'!$Z$5:$Z$31,0)),0)</f>
        <v>3.3159999999999998</v>
      </c>
      <c r="R25" s="156">
        <f t="shared" ca="1" si="36"/>
        <v>477.50399999999996</v>
      </c>
      <c r="S25" s="143" t="s">
        <v>69</v>
      </c>
      <c r="T25" s="154">
        <f>SUMIFS('Daily Data'!$I$2:$I$1000,'Daily Data'!$E$2:$E$1000,$B25)</f>
        <v>123</v>
      </c>
      <c r="U25" s="182" t="str">
        <f>IFERROR(INDEX('Pantry Inventory'!$A$5:$A$161,MATCH($B25,'Pantry Inventory'!$B$5:$B$161,0)),"")</f>
        <v>BingRae</v>
      </c>
      <c r="V25" s="183">
        <f>SUMPRODUCT(MAX(('Daily Data'!$E$2:$E$1000=$B25)*'Daily Data'!$L$2:$L$1000*'Daily Data'!$A$2:$A$1000))</f>
        <v>46295</v>
      </c>
      <c r="W25" s="182">
        <f>IF(AND(OR(OR(Dashboard!$E$5="All",Dashboard!$E$5=""),$AM25=Dashboard!$E$5),OR(OR(Dashboard!$H$5="All",Dashboard!$H$5=""),$S25=Dashboard!$H$5),OR(OR(Dashboard!$Q$5="All",Dashboard!$Q$5=""),$U25=Dashboard!$Q$5),OR(OR(Dashboard!$U$5="All",Dashboard!$U$5=""),$B25=Dashboard!$U$5),OR(AND(OR(OR(Dashboard!$B$5="All",Dashboard!$B$5="")),OR(OR(Dashboard!$K$5="All",Dashboard!$K$5="")),OR(OR(Dashboard!$N$5="All",Dashboard!$N$5=""))),SUMIFS('Daily Data'!$I$2:$I$1000,'Daily Data'!$E$2:$E$1000,$B25,'Daily Data'!$M$2:$M$1000,1)&gt;0)),1,0)</f>
        <v>1</v>
      </c>
      <c r="X25" s="182">
        <f>IF(OR($W25&lt;&gt;1,$G25="",$AN25="Discontinued"),"",SUMPRODUCT(($W$4:$W$30=1)*($AN$4:$AN$30&lt;&gt;"Discontinued")*ISNUMBER($G$4:$G$30)*($G$4:$G$30&lt;$G25))+SUMPRODUCT(($W$4:$W25=1)*($AN$4:$AN25&lt;&gt;"Discontinued")*ISNUMBER($G$4:$G25)*($G$4:$G25=$G25)))</f>
        <v>11</v>
      </c>
      <c r="Y25" s="182">
        <f t="shared" ca="1" si="37"/>
        <v>11</v>
      </c>
      <c r="Z25" s="184">
        <f t="shared" si="38"/>
        <v>407.86799999999999</v>
      </c>
      <c r="AA25" s="185">
        <f>IF($Z25&lt;=0,"",SUMPRODUCT(ISNUMBER($Z$4:$Z$30)*($Z$4:$Z$30&gt;$Z25))+SUMPRODUCT(ISNUMBER($Z$4:$Z25)*($Z$4:$Z25=$Z25)))</f>
        <v>9</v>
      </c>
      <c r="AB25" s="186">
        <f t="shared" si="39"/>
        <v>0.74166285640151275</v>
      </c>
      <c r="AC25" s="187" t="str">
        <f t="shared" si="40"/>
        <v>A</v>
      </c>
      <c r="AD25" s="188">
        <f>IF(OR($C25&lt;=0,COUNTIFS('Daily Data'!$E$2:$E$1000,$B25,'Daily Data'!$H$2:$H$1000,"&gt;0")&lt;2),0,SQRT(MAX(0,(SUMIFS('Daily Data'!$O$2:$O$1000,'Daily Data'!$E$2:$E$1000,$B25)-SUMIFS('Daily Data'!$I$2:$I$1000,'Daily Data'!$E$2:$E$1000,$B25,'Daily Data'!$H$2:$H$1000,"&gt;0")^2/COUNTIFS('Daily Data'!$E$2:$E$1000,$B25,'Daily Data'!$H$2:$H$1000,"&gt;0"))/(COUNTIFS('Daily Data'!$E$2:$E$1000,$B25,'Daily Data'!$H$2:$H$1000,"&gt;0")-1))))</f>
        <v>5.3025151264910759</v>
      </c>
      <c r="AE25" s="188">
        <f t="shared" si="41"/>
        <v>0.68975806523461147</v>
      </c>
      <c r="AF25" s="187" t="str">
        <f t="shared" si="42"/>
        <v>Y</v>
      </c>
      <c r="AG25" s="185">
        <f t="shared" si="43"/>
        <v>19.502674617982869</v>
      </c>
      <c r="AH25" s="185">
        <f t="shared" si="44"/>
        <v>57.940174617982869</v>
      </c>
      <c r="AI25" s="187" t="str">
        <f t="shared" si="45"/>
        <v>BELOW ROP</v>
      </c>
      <c r="AJ25" s="185">
        <f t="shared" si="46"/>
        <v>13.940174617982869</v>
      </c>
      <c r="AK25" s="185">
        <f>IF(OR($W25&lt;&gt;1,NOT(ISNUMBER($AJ25))),"",IF($AJ25&lt;=0,"",SUMPRODUCT(($W$4:$W$30=1)*ISNUMBER($AJ$4:$AJ$30)*($AJ$4:$AJ$30&gt;$AJ25))+SUMPRODUCT(($W$4:$W25=1)*ISNUMBER($AJ$4:$AJ25)*($AJ$4:$AJ25=$AJ25))))</f>
        <v>12</v>
      </c>
      <c r="AL25" s="185" t="str">
        <f>IF(AND($W25=1,'Storehouse Replenishment Schedu'!$CU25="MISMATCH"),SUMPRODUCT(($W$4:$W25=1)*('Storehouse Replenishment Schedu'!$CU$4:$CU25="MISMATCH")),"")</f>
        <v/>
      </c>
      <c r="AM25" s="143" t="s">
        <v>388</v>
      </c>
      <c r="AN25" s="301" t="s">
        <v>404</v>
      </c>
      <c r="AO25" s="306">
        <f t="shared" si="47"/>
        <v>3.9261445159277354E-2</v>
      </c>
      <c r="AP25" s="305">
        <f>IF($AO25="","",SUMPRODUCT(($AM$4:$AM$30=$AM25)*($C$4:$C$30&gt;$C25))+SUMPRODUCT(($AM$4:$AM25=$AM25)*($C$4:$C25=$C25)))</f>
        <v>11</v>
      </c>
      <c r="AQ25" s="308">
        <f t="shared" si="48"/>
        <v>0.58892167738916035</v>
      </c>
      <c r="AR25" s="332">
        <f t="shared" si="49"/>
        <v>0.15094339622641506</v>
      </c>
      <c r="AS25" s="307" t="str">
        <f t="shared" si="50"/>
        <v>KEEP</v>
      </c>
      <c r="AT25" s="305">
        <f t="shared" si="51"/>
        <v>145.904</v>
      </c>
      <c r="AU25" s="305">
        <f>COUNTIFS('Daily Data'!$E$2:$E$1000,$B25,'Daily Data'!$AJ$2:$AJ$1000,1)</f>
        <v>16</v>
      </c>
      <c r="AV25" s="308">
        <f>SUMPRODUCT(MAX(('Daily Data'!$E$2:$E$1000=$B25)*'Daily Data'!$AH$2:$AH$1000))/2</f>
        <v>11</v>
      </c>
      <c r="AW25" s="308">
        <f>IFERROR(SUMIFS('Daily Data'!$AI$2:$AI$1000,'Daily Data'!$E$2:$E$1000,$B25,'Daily Data'!$AH$2:$AH$1000,"&gt;0",'Daily Data'!$AH$2:$AH$1000,"&lt;="&amp;$AV25,'Daily Data'!$AJ$2:$AJ$1000,1)/COUNTIFS('Daily Data'!$E$2:$E$1000,$B25,'Daily Data'!$AH$2:$AH$1000,"&gt;0",'Daily Data'!$AH$2:$AH$1000,"&lt;="&amp;$AV25,'Daily Data'!$AJ$2:$AJ$1000,1),0)</f>
        <v>6.625</v>
      </c>
      <c r="AX25" s="308">
        <f>IFERROR(SUMIFS('Daily Data'!$AI$2:$AI$1000,'Daily Data'!$E$2:$E$1000,$B25,'Daily Data'!$AH$2:$AH$1000,"&gt;"&amp;$AV25,'Daily Data'!$AJ$2:$AJ$1000,1)/COUNTIFS('Daily Data'!$E$2:$E$1000,$B25,'Daily Data'!$AH$2:$AH$1000,"&gt;"&amp;$AV25,'Daily Data'!$AJ$2:$AJ$1000,1),0)</f>
        <v>7.625</v>
      </c>
      <c r="AY25" s="305">
        <f>COUNTIFS('Daily Data'!$E$2:$E$1000,$B25,'Daily Data'!$L$2:$L$1000,1)</f>
        <v>22</v>
      </c>
    </row>
    <row r="26" spans="1:51" x14ac:dyDescent="0.25">
      <c r="A26" s="256">
        <v>12</v>
      </c>
      <c r="B26" s="288" t="s">
        <v>173</v>
      </c>
      <c r="C26" s="231">
        <f>IFERROR(SUMIFS('Daily Data'!$I$2:$I$1000,'Daily Data'!$E$2:$E$1000,$B26)/COUNTIFS('Daily Data'!$E$2:$E$1000,$B26,'Daily Data'!$H$2:$H$1000,"&gt;0"),0)</f>
        <v>0</v>
      </c>
      <c r="D26">
        <f>'Storehouse Replenishment Schedu'!CR26</f>
        <v>0</v>
      </c>
      <c r="E26" s="23">
        <f>SUMIFS('Daily Data'!$H$2:$H$1000,'Daily Data'!$E$2:$E$1000,$B26,'Daily Data'!$A$2:$A$1000,$V26)+SUMIFS('Daily Data'!$G$2:$G$1000,'Daily Data'!$E$2:$E$1000,$B26,'Daily Data'!$A$2:$A$1000,"&gt;"&amp;$V26)</f>
        <v>0</v>
      </c>
      <c r="F26" s="23">
        <f t="shared" si="26"/>
        <v>0</v>
      </c>
      <c r="G26" s="23" t="str">
        <f t="shared" si="27"/>
        <v/>
      </c>
      <c r="H26" s="151" t="str">
        <f t="shared" si="28"/>
        <v/>
      </c>
      <c r="I26" s="151" t="str">
        <f t="shared" si="29"/>
        <v/>
      </c>
      <c r="J26" s="23">
        <f t="shared" si="30"/>
        <v>0</v>
      </c>
      <c r="K26" s="23">
        <f t="shared" si="31"/>
        <v>0</v>
      </c>
      <c r="L26" s="23">
        <f t="shared" si="32"/>
        <v>0</v>
      </c>
      <c r="M26" s="135" t="str">
        <f t="shared" si="33"/>
        <v>NO USAGE</v>
      </c>
      <c r="N26" s="153" t="str">
        <f>IF(OR($G26="",$AN26="Discontinued"),"",RANK($G26,$G$4:$G$30,1)+COUNTIF($G$4:$G26,$G26)-1)</f>
        <v/>
      </c>
      <c r="O26" s="153">
        <f t="shared" si="34"/>
        <v>0</v>
      </c>
      <c r="P26" s="154">
        <f t="shared" si="35"/>
        <v>0</v>
      </c>
      <c r="Q26" s="155">
        <f>IFERROR(INDEX('Pantry Inventory'!$AB$5:$AB$31,MATCH($B26,'Pantry Inventory'!$Z$5:$Z$31,0)),0)</f>
        <v>1.167</v>
      </c>
      <c r="R26" s="156">
        <f t="shared" si="36"/>
        <v>0</v>
      </c>
      <c r="S26" s="143" t="s">
        <v>68</v>
      </c>
      <c r="T26" s="154">
        <f>SUMIFS('Daily Data'!$I$2:$I$1000,'Daily Data'!$E$2:$E$1000,$B26)</f>
        <v>0</v>
      </c>
      <c r="U26" s="182" t="str">
        <f>IFERROR(INDEX('Pantry Inventory'!$A$5:$A$161,MATCH($B26,'Pantry Inventory'!$B$5:$B$161,0)),"")</f>
        <v>Fuze Tea</v>
      </c>
      <c r="V26" s="183">
        <f>SUMPRODUCT(MAX(('Daily Data'!$E$2:$E$1000=$B26)*'Daily Data'!$L$2:$L$1000*'Daily Data'!$A$2:$A$1000))</f>
        <v>46295</v>
      </c>
      <c r="W26" s="182">
        <f>IF(AND(OR(OR(Dashboard!$E$5="All",Dashboard!$E$5=""),$AM26=Dashboard!$E$5),OR(OR(Dashboard!$H$5="All",Dashboard!$H$5=""),$S26=Dashboard!$H$5),OR(OR(Dashboard!$Q$5="All",Dashboard!$Q$5=""),$U26=Dashboard!$Q$5),OR(OR(Dashboard!$U$5="All",Dashboard!$U$5=""),$B26=Dashboard!$U$5),OR(AND(OR(OR(Dashboard!$B$5="All",Dashboard!$B$5="")),OR(OR(Dashboard!$K$5="All",Dashboard!$K$5="")),OR(OR(Dashboard!$N$5="All",Dashboard!$N$5=""))),SUMIFS('Daily Data'!$I$2:$I$1000,'Daily Data'!$E$2:$E$1000,$B26,'Daily Data'!$M$2:$M$1000,1)&gt;0)),1,0)</f>
        <v>1</v>
      </c>
      <c r="X26" s="182" t="str">
        <f>IF(OR($W26&lt;&gt;1,$G26="",$AN26="Discontinued"),"",SUMPRODUCT(($W$4:$W$30=1)*($AN$4:$AN$30&lt;&gt;"Discontinued")*ISNUMBER($G$4:$G$30)*($G$4:$G$30&lt;$G26))+SUMPRODUCT(($W$4:$W26=1)*($AN$4:$AN26&lt;&gt;"Discontinued")*ISNUMBER($G$4:$G26)*($G$4:$G26=$G26)))</f>
        <v/>
      </c>
      <c r="Y26" s="182" t="str">
        <f t="shared" si="37"/>
        <v/>
      </c>
      <c r="Z26" s="184">
        <f t="shared" si="38"/>
        <v>0</v>
      </c>
      <c r="AA26" s="185" t="str">
        <f>IF($Z26&lt;=0,"",SUMPRODUCT(ISNUMBER($Z$4:$Z$30)*($Z$4:$Z$30&gt;$Z26))+SUMPRODUCT(ISNUMBER($Z$4:$Z26)*($Z$4:$Z26=$Z26)))</f>
        <v/>
      </c>
      <c r="AB26" s="186" t="str">
        <f t="shared" si="39"/>
        <v/>
      </c>
      <c r="AC26" s="187" t="str">
        <f t="shared" si="40"/>
        <v>-</v>
      </c>
      <c r="AD26" s="188">
        <f>IF(OR($C26&lt;=0,COUNTIFS('Daily Data'!$E$2:$E$1000,$B26,'Daily Data'!$H$2:$H$1000,"&gt;0")&lt;2),0,SQRT(MAX(0,(SUMIFS('Daily Data'!$O$2:$O$1000,'Daily Data'!$E$2:$E$1000,$B26)-SUMIFS('Daily Data'!$I$2:$I$1000,'Daily Data'!$E$2:$E$1000,$B26,'Daily Data'!$H$2:$H$1000,"&gt;0")^2/COUNTIFS('Daily Data'!$E$2:$E$1000,$B26,'Daily Data'!$H$2:$H$1000,"&gt;0"))/(COUNTIFS('Daily Data'!$E$2:$E$1000,$B26,'Daily Data'!$H$2:$H$1000,"&gt;0")-1))))</f>
        <v>0</v>
      </c>
      <c r="AE26" s="188" t="str">
        <f t="shared" si="41"/>
        <v/>
      </c>
      <c r="AF26" s="187" t="str">
        <f t="shared" si="42"/>
        <v>-</v>
      </c>
      <c r="AG26" s="185">
        <f t="shared" si="43"/>
        <v>0</v>
      </c>
      <c r="AH26" s="185">
        <f t="shared" si="44"/>
        <v>0</v>
      </c>
      <c r="AI26" s="187" t="str">
        <f t="shared" si="45"/>
        <v>-</v>
      </c>
      <c r="AJ26" s="185" t="str">
        <f t="shared" si="46"/>
        <v/>
      </c>
      <c r="AK26" s="185" t="str">
        <f>IF(OR($W26&lt;&gt;1,NOT(ISNUMBER($AJ26))),"",IF($AJ26&lt;=0,"",SUMPRODUCT(($W$4:$W$30=1)*ISNUMBER($AJ$4:$AJ$30)*($AJ$4:$AJ$30&gt;$AJ26))+SUMPRODUCT(($W$4:$W26=1)*ISNUMBER($AJ$4:$AJ26)*($AJ$4:$AJ26=$AJ26))))</f>
        <v/>
      </c>
      <c r="AL26" s="185" t="str">
        <f>IF(AND($W26=1,'Storehouse Replenishment Schedu'!$CU26="MISMATCH"),SUMPRODUCT(($W$4:$W26=1)*('Storehouse Replenishment Schedu'!$CU$4:$CU26="MISMATCH")),"")</f>
        <v/>
      </c>
      <c r="AM26" s="143" t="s">
        <v>388</v>
      </c>
      <c r="AN26" s="301" t="s">
        <v>404</v>
      </c>
      <c r="AO26" s="306">
        <f t="shared" si="47"/>
        <v>0</v>
      </c>
      <c r="AP26" s="305">
        <f>IF($AO26="","",SUMPRODUCT(($AM$4:$AM$30=$AM26)*($C$4:$C$30&gt;$C26))+SUMPRODUCT(($AM$4:$AM26=$AM26)*($C$4:$C26=$C26)))</f>
        <v>15</v>
      </c>
      <c r="AQ26" s="308">
        <f t="shared" si="48"/>
        <v>0</v>
      </c>
      <c r="AR26" s="332" t="str">
        <f t="shared" si="49"/>
        <v/>
      </c>
      <c r="AS26" s="307" t="str">
        <f t="shared" si="50"/>
        <v>PHASE OUT</v>
      </c>
      <c r="AT26" s="305">
        <f t="shared" si="51"/>
        <v>0</v>
      </c>
      <c r="AU26" s="305">
        <f>COUNTIFS('Daily Data'!$E$2:$E$1000,$B26,'Daily Data'!$AJ$2:$AJ$1000,1)</f>
        <v>0</v>
      </c>
      <c r="AV26" s="308">
        <f>SUMPRODUCT(MAX(('Daily Data'!$E$2:$E$1000=$B26)*'Daily Data'!$AH$2:$AH$1000))/2</f>
        <v>11</v>
      </c>
      <c r="AW26" s="308">
        <f>IFERROR(SUMIFS('Daily Data'!$AI$2:$AI$1000,'Daily Data'!$E$2:$E$1000,$B26,'Daily Data'!$AH$2:$AH$1000,"&gt;0",'Daily Data'!$AH$2:$AH$1000,"&lt;="&amp;$AV26,'Daily Data'!$AJ$2:$AJ$1000,1)/COUNTIFS('Daily Data'!$E$2:$E$1000,$B26,'Daily Data'!$AH$2:$AH$1000,"&gt;0",'Daily Data'!$AH$2:$AH$1000,"&lt;="&amp;$AV26,'Daily Data'!$AJ$2:$AJ$1000,1),0)</f>
        <v>0</v>
      </c>
      <c r="AX26" s="308">
        <f>IFERROR(SUMIFS('Daily Data'!$AI$2:$AI$1000,'Daily Data'!$E$2:$E$1000,$B26,'Daily Data'!$AH$2:$AH$1000,"&gt;"&amp;$AV26,'Daily Data'!$AJ$2:$AJ$1000,1)/COUNTIFS('Daily Data'!$E$2:$E$1000,$B26,'Daily Data'!$AH$2:$AH$1000,"&gt;"&amp;$AV26,'Daily Data'!$AJ$2:$AJ$1000,1),0)</f>
        <v>0</v>
      </c>
      <c r="AY26" s="305">
        <f>COUNTIFS('Daily Data'!$E$2:$E$1000,$B26,'Daily Data'!$L$2:$L$1000,1)</f>
        <v>22</v>
      </c>
    </row>
    <row r="27" spans="1:51" x14ac:dyDescent="0.25">
      <c r="A27" s="256">
        <v>24</v>
      </c>
      <c r="B27" s="288" t="s">
        <v>175</v>
      </c>
      <c r="C27" s="231">
        <f>IFERROR(SUMIFS('Daily Data'!$I$2:$I$1000,'Daily Data'!$E$2:$E$1000,$B27)/COUNTIFS('Daily Data'!$E$2:$E$1000,$B27,'Daily Data'!$H$2:$H$1000,"&gt;0"),0)</f>
        <v>9.3181818181818183</v>
      </c>
      <c r="D27">
        <f>'Storehouse Replenishment Schedu'!CR27</f>
        <v>72</v>
      </c>
      <c r="E27" s="23">
        <f>SUMIFS('Daily Data'!$H$2:$H$1000,'Daily Data'!$E$2:$E$1000,$B27,'Daily Data'!$A$2:$A$1000,$V27)+SUMIFS('Daily Data'!$G$2:$G$1000,'Daily Data'!$E$2:$E$1000,$B27,'Daily Data'!$A$2:$A$1000,"&gt;"&amp;$V27)</f>
        <v>56</v>
      </c>
      <c r="F27" s="23">
        <f t="shared" si="26"/>
        <v>128</v>
      </c>
      <c r="G27" s="23">
        <f t="shared" si="27"/>
        <v>13.736585365853658</v>
      </c>
      <c r="H27" s="151">
        <f t="shared" si="28"/>
        <v>46308.736585365856</v>
      </c>
      <c r="I27" s="151">
        <f t="shared" si="29"/>
        <v>46314</v>
      </c>
      <c r="J27" s="23">
        <f t="shared" ca="1" si="30"/>
        <v>10</v>
      </c>
      <c r="K27" s="23">
        <f t="shared" ca="1" si="31"/>
        <v>93.181818181818187</v>
      </c>
      <c r="L27" s="23">
        <f t="shared" ca="1" si="32"/>
        <v>3.8825757575757578</v>
      </c>
      <c r="M27" s="135" t="str">
        <f t="shared" si="33"/>
        <v>WATCH</v>
      </c>
      <c r="N27" s="153">
        <f>IF(OR($G27="",$AN27="Discontinued"),"",RANK($G27,$G$4:$G$30,1)+COUNTIF($G$4:$G27,$G27)-1)</f>
        <v>19</v>
      </c>
      <c r="O27" s="153">
        <f t="shared" ca="1" si="34"/>
        <v>4</v>
      </c>
      <c r="P27" s="154">
        <f t="shared" ca="1" si="35"/>
        <v>96</v>
      </c>
      <c r="Q27" s="155">
        <f>IFERROR(INDEX('Pantry Inventory'!$AB$5:$AB$31,MATCH($B27,'Pantry Inventory'!$Z$5:$Z$31,0)),0)</f>
        <v>1.58</v>
      </c>
      <c r="R27" s="156">
        <f t="shared" ca="1" si="36"/>
        <v>151.68</v>
      </c>
      <c r="S27" s="143" t="s">
        <v>69</v>
      </c>
      <c r="T27" s="154">
        <f>SUMIFS('Daily Data'!$I$2:$I$1000,'Daily Data'!$E$2:$E$1000,$B27)</f>
        <v>205</v>
      </c>
      <c r="U27" s="182" t="str">
        <f>IFERROR(INDEX('Pantry Inventory'!$A$5:$A$161,MATCH($B27,'Pantry Inventory'!$B$5:$B$161,0)),"")</f>
        <v>F&amp;N</v>
      </c>
      <c r="V27" s="183">
        <f>SUMPRODUCT(MAX(('Daily Data'!$E$2:$E$1000=$B27)*'Daily Data'!$L$2:$L$1000*'Daily Data'!$A$2:$A$1000))</f>
        <v>46295</v>
      </c>
      <c r="W27" s="182">
        <f>IF(AND(OR(OR(Dashboard!$E$5="All",Dashboard!$E$5=""),$AM27=Dashboard!$E$5),OR(OR(Dashboard!$H$5="All",Dashboard!$H$5=""),$S27=Dashboard!$H$5),OR(OR(Dashboard!$Q$5="All",Dashboard!$Q$5=""),$U27=Dashboard!$Q$5),OR(OR(Dashboard!$U$5="All",Dashboard!$U$5=""),$B27=Dashboard!$U$5),OR(AND(OR(OR(Dashboard!$B$5="All",Dashboard!$B$5="")),OR(OR(Dashboard!$K$5="All",Dashboard!$K$5="")),OR(OR(Dashboard!$N$5="All",Dashboard!$N$5=""))),SUMIFS('Daily Data'!$I$2:$I$1000,'Daily Data'!$E$2:$E$1000,$B27,'Daily Data'!$M$2:$M$1000,1)&gt;0)),1,0)</f>
        <v>1</v>
      </c>
      <c r="X27" s="182">
        <f>IF(OR($W27&lt;&gt;1,$G27="",$AN27="Discontinued"),"",SUMPRODUCT(($W$4:$W$30=1)*($AN$4:$AN$30&lt;&gt;"Discontinued")*ISNUMBER($G$4:$G$30)*($G$4:$G$30&lt;$G27))+SUMPRODUCT(($W$4:$W27=1)*($AN$4:$AN27&lt;&gt;"Discontinued")*ISNUMBER($G$4:$G27)*($G$4:$G27=$G27)))</f>
        <v>19</v>
      </c>
      <c r="Y27" s="182">
        <f t="shared" ca="1" si="37"/>
        <v>19</v>
      </c>
      <c r="Z27" s="184">
        <f t="shared" si="38"/>
        <v>323.90000000000003</v>
      </c>
      <c r="AA27" s="185">
        <f>IF($Z27&lt;=0,"",SUMPRODUCT(ISNUMBER($Z$4:$Z$30)*($Z$4:$Z$30&gt;$Z27))+SUMPRODUCT(ISNUMBER($Z$4:$Z27)*($Z$4:$Z27=$Z27)))</f>
        <v>12</v>
      </c>
      <c r="AB27" s="186">
        <f t="shared" si="39"/>
        <v>0.83895945505352909</v>
      </c>
      <c r="AC27" s="187" t="str">
        <f t="shared" si="40"/>
        <v>B</v>
      </c>
      <c r="AD27" s="188">
        <f>IF(OR($C27&lt;=0,COUNTIFS('Daily Data'!$E$2:$E$1000,$B27,'Daily Data'!$H$2:$H$1000,"&gt;0")&lt;2),0,SQRT(MAX(0,(SUMIFS('Daily Data'!$O$2:$O$1000,'Daily Data'!$E$2:$E$1000,$B27)-SUMIFS('Daily Data'!$I$2:$I$1000,'Daily Data'!$E$2:$E$1000,$B27,'Daily Data'!$H$2:$H$1000,"&gt;0")^2/COUNTIFS('Daily Data'!$E$2:$E$1000,$B27,'Daily Data'!$H$2:$H$1000,"&gt;0"))/(COUNTIFS('Daily Data'!$E$2:$E$1000,$B27,'Daily Data'!$H$2:$H$1000,"&gt;0")-1))))</f>
        <v>4.8832694320834218</v>
      </c>
      <c r="AE27" s="188">
        <f t="shared" si="41"/>
        <v>0.52405818295529405</v>
      </c>
      <c r="AF27" s="187" t="str">
        <f t="shared" si="42"/>
        <v>Y</v>
      </c>
      <c r="AG27" s="185">
        <f t="shared" si="43"/>
        <v>17.960687057744927</v>
      </c>
      <c r="AH27" s="185">
        <f t="shared" si="44"/>
        <v>64.551596148654028</v>
      </c>
      <c r="AI27" s="187" t="str">
        <f t="shared" si="45"/>
        <v>OK</v>
      </c>
      <c r="AJ27" s="185">
        <f t="shared" si="46"/>
        <v>-63.448403851345972</v>
      </c>
      <c r="AK27" s="185" t="str">
        <f>IF(OR($W27&lt;&gt;1,NOT(ISNUMBER($AJ27))),"",IF($AJ27&lt;=0,"",SUMPRODUCT(($W$4:$W$30=1)*ISNUMBER($AJ$4:$AJ$30)*($AJ$4:$AJ$30&gt;$AJ27))+SUMPRODUCT(($W$4:$W27=1)*ISNUMBER($AJ$4:$AJ27)*($AJ$4:$AJ27=$AJ27))))</f>
        <v/>
      </c>
      <c r="AL27" s="185" t="str">
        <f>IF(AND($W27=1,'Storehouse Replenishment Schedu'!$CU27="MISMATCH"),SUMPRODUCT(($W$4:$W27=1)*('Storehouse Replenishment Schedu'!$CU$4:$CU27="MISMATCH")),"")</f>
        <v/>
      </c>
      <c r="AM27" s="143" t="s">
        <v>388</v>
      </c>
      <c r="AN27" s="301" t="s">
        <v>404</v>
      </c>
      <c r="AO27" s="306">
        <f t="shared" si="47"/>
        <v>4.7589630496093764E-2</v>
      </c>
      <c r="AP27" s="305">
        <f>IF($AO27="","",SUMPRODUCT(($AM$4:$AM$30=$AM27)*($C$4:$C$30&gt;$C27))+SUMPRODUCT(($AM$4:$AM27=$AM27)*($C$4:$C27=$C27)))</f>
        <v>9</v>
      </c>
      <c r="AQ27" s="308">
        <f t="shared" si="48"/>
        <v>0.71384445744140645</v>
      </c>
      <c r="AR27" s="332">
        <f t="shared" si="49"/>
        <v>7.0707070707070718E-2</v>
      </c>
      <c r="AS27" s="307" t="str">
        <f t="shared" si="50"/>
        <v>KEEP</v>
      </c>
      <c r="AT27" s="305">
        <f t="shared" si="51"/>
        <v>202.24</v>
      </c>
      <c r="AU27" s="305">
        <f>COUNTIFS('Daily Data'!$E$2:$E$1000,$B27,'Daily Data'!$AJ$2:$AJ$1000,1)</f>
        <v>22</v>
      </c>
      <c r="AV27" s="308">
        <f>SUMPRODUCT(MAX(('Daily Data'!$E$2:$E$1000=$B27)*'Daily Data'!$AH$2:$AH$1000))/2</f>
        <v>11</v>
      </c>
      <c r="AW27" s="308">
        <f>IFERROR(SUMIFS('Daily Data'!$AI$2:$AI$1000,'Daily Data'!$E$2:$E$1000,$B27,'Daily Data'!$AH$2:$AH$1000,"&gt;0",'Daily Data'!$AH$2:$AH$1000,"&lt;="&amp;$AV27,'Daily Data'!$AJ$2:$AJ$1000,1)/COUNTIFS('Daily Data'!$E$2:$E$1000,$B27,'Daily Data'!$AH$2:$AH$1000,"&gt;0",'Daily Data'!$AH$2:$AH$1000,"&lt;="&amp;$AV27,'Daily Data'!$AJ$2:$AJ$1000,1),0)</f>
        <v>9</v>
      </c>
      <c r="AX27" s="308">
        <f>IFERROR(SUMIFS('Daily Data'!$AI$2:$AI$1000,'Daily Data'!$E$2:$E$1000,$B27,'Daily Data'!$AH$2:$AH$1000,"&gt;"&amp;$AV27,'Daily Data'!$AJ$2:$AJ$1000,1)/COUNTIFS('Daily Data'!$E$2:$E$1000,$B27,'Daily Data'!$AH$2:$AH$1000,"&gt;"&amp;$AV27,'Daily Data'!$AJ$2:$AJ$1000,1),0)</f>
        <v>9.6363636363636367</v>
      </c>
      <c r="AY27" s="305">
        <f>COUNTIFS('Daily Data'!$E$2:$E$1000,$B27,'Daily Data'!$L$2:$L$1000,1)</f>
        <v>22</v>
      </c>
    </row>
    <row r="28" spans="1:51" x14ac:dyDescent="0.25">
      <c r="A28" s="256">
        <v>24</v>
      </c>
      <c r="B28" s="288" t="s">
        <v>177</v>
      </c>
      <c r="C28" s="231">
        <f>IFERROR(SUMIFS('Daily Data'!$I$2:$I$1000,'Daily Data'!$E$2:$E$1000,$B28)/COUNTIFS('Daily Data'!$E$2:$E$1000,$B28,'Daily Data'!$H$2:$H$1000,"&gt;0"),0)</f>
        <v>24</v>
      </c>
      <c r="D28">
        <f>'Storehouse Replenishment Schedu'!CR28</f>
        <v>264</v>
      </c>
      <c r="E28" s="23">
        <f>SUMIFS('Daily Data'!$H$2:$H$1000,'Daily Data'!$E$2:$E$1000,$B28,'Daily Data'!$A$2:$A$1000,$V28)+SUMIFS('Daily Data'!$G$2:$G$1000,'Daily Data'!$E$2:$E$1000,$B28,'Daily Data'!$A$2:$A$1000,"&gt;"&amp;$V28)</f>
        <v>48</v>
      </c>
      <c r="F28" s="23">
        <f t="shared" si="26"/>
        <v>312</v>
      </c>
      <c r="G28" s="23">
        <f t="shared" si="27"/>
        <v>13</v>
      </c>
      <c r="H28" s="151">
        <f t="shared" si="28"/>
        <v>46308</v>
      </c>
      <c r="I28" s="151">
        <f t="shared" si="29"/>
        <v>46314</v>
      </c>
      <c r="J28" s="23">
        <f t="shared" ca="1" si="30"/>
        <v>10</v>
      </c>
      <c r="K28" s="23">
        <f t="shared" ca="1" si="31"/>
        <v>240</v>
      </c>
      <c r="L28" s="23">
        <f t="shared" ca="1" si="32"/>
        <v>10</v>
      </c>
      <c r="M28" s="135" t="str">
        <f t="shared" si="33"/>
        <v>WATCH</v>
      </c>
      <c r="N28" s="153">
        <f>IF(OR($G28="",$AN28="Discontinued"),"",RANK($G28,$G$4:$G$30,1)+COUNTIF($G$4:$G28,$G28)-1)</f>
        <v>18</v>
      </c>
      <c r="O28" s="153">
        <f t="shared" ca="1" si="34"/>
        <v>10</v>
      </c>
      <c r="P28" s="154">
        <f t="shared" ca="1" si="35"/>
        <v>240</v>
      </c>
      <c r="Q28" s="155">
        <f>IFERROR(INDEX('Pantry Inventory'!$AB$5:$AB$31,MATCH($B28,'Pantry Inventory'!$Z$5:$Z$31,0)),0)</f>
        <v>1.616666666666666</v>
      </c>
      <c r="R28" s="156">
        <f t="shared" ca="1" si="36"/>
        <v>387.99999999999983</v>
      </c>
      <c r="S28" s="143" t="s">
        <v>69</v>
      </c>
      <c r="T28" s="154">
        <f>SUMIFS('Daily Data'!$I$2:$I$1000,'Daily Data'!$E$2:$E$1000,$B28)</f>
        <v>528</v>
      </c>
      <c r="U28" s="182" t="str">
        <f>IFERROR(INDEX('Pantry Inventory'!$A$5:$A$161,MATCH($B28,'Pantry Inventory'!$B$5:$B$161,0)),"")</f>
        <v>Spritzer</v>
      </c>
      <c r="V28" s="183">
        <f>SUMPRODUCT(MAX(('Daily Data'!$E$2:$E$1000=$B28)*'Daily Data'!$L$2:$L$1000*'Daily Data'!$A$2:$A$1000))</f>
        <v>46295</v>
      </c>
      <c r="W28" s="182">
        <f>IF(AND(OR(OR(Dashboard!$E$5="All",Dashboard!$E$5=""),$AM28=Dashboard!$E$5),OR(OR(Dashboard!$H$5="All",Dashboard!$H$5=""),$S28=Dashboard!$H$5),OR(OR(Dashboard!$Q$5="All",Dashboard!$Q$5=""),$U28=Dashboard!$Q$5),OR(OR(Dashboard!$U$5="All",Dashboard!$U$5=""),$B28=Dashboard!$U$5),OR(AND(OR(OR(Dashboard!$B$5="All",Dashboard!$B$5="")),OR(OR(Dashboard!$K$5="All",Dashboard!$K$5="")),OR(OR(Dashboard!$N$5="All",Dashboard!$N$5=""))),SUMIFS('Daily Data'!$I$2:$I$1000,'Daily Data'!$E$2:$E$1000,$B28,'Daily Data'!$M$2:$M$1000,1)&gt;0)),1,0)</f>
        <v>1</v>
      </c>
      <c r="X28" s="182">
        <f>IF(OR($W28&lt;&gt;1,$G28="",$AN28="Discontinued"),"",SUMPRODUCT(($W$4:$W$30=1)*($AN$4:$AN$30&lt;&gt;"Discontinued")*ISNUMBER($G$4:$G$30)*($G$4:$G$30&lt;$G28))+SUMPRODUCT(($W$4:$W28=1)*($AN$4:$AN28&lt;&gt;"Discontinued")*ISNUMBER($G$4:$G28)*($G$4:$G28=$G28)))</f>
        <v>18</v>
      </c>
      <c r="Y28" s="182">
        <f t="shared" ca="1" si="37"/>
        <v>18</v>
      </c>
      <c r="Z28" s="184">
        <f t="shared" si="38"/>
        <v>853.59999999999968</v>
      </c>
      <c r="AA28" s="185">
        <f>IF($Z28&lt;=0,"",SUMPRODUCT(ISNUMBER($Z$4:$Z$30)*($Z$4:$Z$30&gt;$Z28))+SUMPRODUCT(ISNUMBER($Z$4:$Z28)*($Z$4:$Z28=$Z28)))</f>
        <v>5</v>
      </c>
      <c r="AB28" s="186">
        <f t="shared" si="39"/>
        <v>0.52492739440544556</v>
      </c>
      <c r="AC28" s="187" t="str">
        <f t="shared" si="40"/>
        <v>A</v>
      </c>
      <c r="AD28" s="188">
        <f>IF(OR($C28&lt;=0,COUNTIFS('Daily Data'!$E$2:$E$1000,$B28,'Daily Data'!$H$2:$H$1000,"&gt;0")&lt;2),0,SQRT(MAX(0,(SUMIFS('Daily Data'!$O$2:$O$1000,'Daily Data'!$E$2:$E$1000,$B28)-SUMIFS('Daily Data'!$I$2:$I$1000,'Daily Data'!$E$2:$E$1000,$B28,'Daily Data'!$H$2:$H$1000,"&gt;0")^2/COUNTIFS('Daily Data'!$E$2:$E$1000,$B28,'Daily Data'!$H$2:$H$1000,"&gt;0"))/(COUNTIFS('Daily Data'!$E$2:$E$1000,$B28,'Daily Data'!$H$2:$H$1000,"&gt;0")-1))))</f>
        <v>13.430597618161016</v>
      </c>
      <c r="AE28" s="188">
        <f t="shared" si="41"/>
        <v>0.55960823409004234</v>
      </c>
      <c r="AF28" s="187" t="str">
        <f t="shared" si="42"/>
        <v>Y</v>
      </c>
      <c r="AG28" s="185">
        <f t="shared" si="43"/>
        <v>49.397798784853855</v>
      </c>
      <c r="AH28" s="185">
        <f t="shared" si="44"/>
        <v>169.39779878485385</v>
      </c>
      <c r="AI28" s="187" t="str">
        <f t="shared" si="45"/>
        <v>OK</v>
      </c>
      <c r="AJ28" s="185">
        <f t="shared" si="46"/>
        <v>-142.60220121514615</v>
      </c>
      <c r="AK28" s="185" t="str">
        <f>IF(OR($W28&lt;&gt;1,NOT(ISNUMBER($AJ28))),"",IF($AJ28&lt;=0,"",SUMPRODUCT(($W$4:$W$30=1)*ISNUMBER($AJ$4:$AJ$30)*($AJ$4:$AJ$30&gt;$AJ28))+SUMPRODUCT(($W$4:$W28=1)*ISNUMBER($AJ$4:$AJ28)*($AJ$4:$AJ28=$AJ28))))</f>
        <v/>
      </c>
      <c r="AL28" s="185" t="str">
        <f>IF(AND($W28=1,'Storehouse Replenishment Schedu'!$CU28="MISMATCH"),SUMPRODUCT(($W$4:$W28=1)*('Storehouse Replenishment Schedu'!$CU$4:$CU28="MISMATCH")),"")</f>
        <v/>
      </c>
      <c r="AM28" s="143" t="s">
        <v>388</v>
      </c>
      <c r="AN28" s="301" t="s">
        <v>404</v>
      </c>
      <c r="AO28" s="306">
        <f t="shared" si="47"/>
        <v>0.12257231659481711</v>
      </c>
      <c r="AP28" s="305">
        <f>IF($AO28="","",SUMPRODUCT(($AM$4:$AM$30=$AM28)*($C$4:$C$30&gt;$C28))+SUMPRODUCT(($AM$4:$AM28=$AM28)*($C$4:$C28=$C28)))</f>
        <v>2</v>
      </c>
      <c r="AQ28" s="308">
        <f t="shared" si="48"/>
        <v>1.8385847489222567</v>
      </c>
      <c r="AR28" s="332">
        <f t="shared" si="49"/>
        <v>2.2988505747126409E-2</v>
      </c>
      <c r="AS28" s="307" t="str">
        <f t="shared" si="50"/>
        <v>KEEP</v>
      </c>
      <c r="AT28" s="305">
        <f t="shared" si="51"/>
        <v>504.39999999999981</v>
      </c>
      <c r="AU28" s="305">
        <f>COUNTIFS('Daily Data'!$E$2:$E$1000,$B28,'Daily Data'!$AJ$2:$AJ$1000,1)</f>
        <v>22</v>
      </c>
      <c r="AV28" s="308">
        <f>SUMPRODUCT(MAX(('Daily Data'!$E$2:$E$1000=$B28)*'Daily Data'!$AH$2:$AH$1000))/2</f>
        <v>11</v>
      </c>
      <c r="AW28" s="308">
        <f>IFERROR(SUMIFS('Daily Data'!$AI$2:$AI$1000,'Daily Data'!$E$2:$E$1000,$B28,'Daily Data'!$AH$2:$AH$1000,"&gt;0",'Daily Data'!$AH$2:$AH$1000,"&lt;="&amp;$AV28,'Daily Data'!$AJ$2:$AJ$1000,1)/COUNTIFS('Daily Data'!$E$2:$E$1000,$B28,'Daily Data'!$AH$2:$AH$1000,"&gt;0",'Daily Data'!$AH$2:$AH$1000,"&lt;="&amp;$AV28,'Daily Data'!$AJ$2:$AJ$1000,1),0)</f>
        <v>23.727272727272727</v>
      </c>
      <c r="AX28" s="308">
        <f>IFERROR(SUMIFS('Daily Data'!$AI$2:$AI$1000,'Daily Data'!$E$2:$E$1000,$B28,'Daily Data'!$AH$2:$AH$1000,"&gt;"&amp;$AV28,'Daily Data'!$AJ$2:$AJ$1000,1)/COUNTIFS('Daily Data'!$E$2:$E$1000,$B28,'Daily Data'!$AH$2:$AH$1000,"&gt;"&amp;$AV28,'Daily Data'!$AJ$2:$AJ$1000,1),0)</f>
        <v>24.272727272727273</v>
      </c>
      <c r="AY28" s="305">
        <f>COUNTIFS('Daily Data'!$E$2:$E$1000,$B28,'Daily Data'!$L$2:$L$1000,1)</f>
        <v>22</v>
      </c>
    </row>
    <row r="29" spans="1:51" x14ac:dyDescent="0.25">
      <c r="A29" s="256">
        <v>24</v>
      </c>
      <c r="B29" s="288" t="s">
        <v>179</v>
      </c>
      <c r="C29" s="231">
        <f>IFERROR(SUMIFS('Daily Data'!$I$2:$I$1000,'Daily Data'!$E$2:$E$1000,$B29)/COUNTIFS('Daily Data'!$E$2:$E$1000,$B29,'Daily Data'!$H$2:$H$1000,"&gt;0"),0)</f>
        <v>13.5</v>
      </c>
      <c r="D29">
        <f>'Storehouse Replenishment Schedu'!CR29</f>
        <v>0</v>
      </c>
      <c r="E29" s="23">
        <f>SUMIFS('Daily Data'!$H$2:$H$1000,'Daily Data'!$E$2:$E$1000,$B29,'Daily Data'!$A$2:$A$1000,$V29)+SUMIFS('Daily Data'!$G$2:$G$1000,'Daily Data'!$E$2:$E$1000,$B29,'Daily Data'!$A$2:$A$1000,"&gt;"&amp;$V29)</f>
        <v>63</v>
      </c>
      <c r="F29" s="23">
        <f t="shared" si="26"/>
        <v>63</v>
      </c>
      <c r="G29" s="23">
        <f t="shared" si="27"/>
        <v>4.666666666666667</v>
      </c>
      <c r="H29" s="151">
        <f t="shared" si="28"/>
        <v>46299.666666666664</v>
      </c>
      <c r="I29" s="151">
        <f t="shared" si="29"/>
        <v>46301</v>
      </c>
      <c r="J29" s="23">
        <f t="shared" ca="1" si="30"/>
        <v>19</v>
      </c>
      <c r="K29" s="23">
        <f t="shared" ca="1" si="31"/>
        <v>256.5</v>
      </c>
      <c r="L29" s="23">
        <f t="shared" ca="1" si="32"/>
        <v>10.6875</v>
      </c>
      <c r="M29" s="135" t="str">
        <f t="shared" si="33"/>
        <v>LOW</v>
      </c>
      <c r="N29" s="153">
        <f>IF(OR($G29="",$AN29="Discontinued"),"",RANK($G29,$G$4:$G$30,1)+COUNTIF($G$4:$G29,$G29)-1)</f>
        <v>9</v>
      </c>
      <c r="O29" s="153">
        <f t="shared" ca="1" si="34"/>
        <v>11</v>
      </c>
      <c r="P29" s="154">
        <f t="shared" ca="1" si="35"/>
        <v>264</v>
      </c>
      <c r="Q29" s="155">
        <f>IFERROR(INDEX('Pantry Inventory'!$AB$5:$AB$31,MATCH($B29,'Pantry Inventory'!$Z$5:$Z$31,0)),0)</f>
        <v>3</v>
      </c>
      <c r="R29" s="156">
        <f t="shared" ca="1" si="36"/>
        <v>792</v>
      </c>
      <c r="S29" s="143" t="s">
        <v>69</v>
      </c>
      <c r="T29" s="154">
        <f>SUMIFS('Daily Data'!$I$2:$I$1000,'Daily Data'!$E$2:$E$1000,$B29)</f>
        <v>297</v>
      </c>
      <c r="U29" s="182" t="str">
        <f>IFERROR(INDEX('Pantry Inventory'!$A$5:$A$161,MATCH($B29,'Pantry Inventory'!$B$5:$B$161,0)),"")</f>
        <v>Oat Side</v>
      </c>
      <c r="V29" s="183">
        <f>SUMPRODUCT(MAX(('Daily Data'!$E$2:$E$1000=$B29)*'Daily Data'!$L$2:$L$1000*'Daily Data'!$A$2:$A$1000))</f>
        <v>46295</v>
      </c>
      <c r="W29" s="182">
        <f>IF(AND(OR(OR(Dashboard!$E$5="All",Dashboard!$E$5=""),$AM29=Dashboard!$E$5),OR(OR(Dashboard!$H$5="All",Dashboard!$H$5=""),$S29=Dashboard!$H$5),OR(OR(Dashboard!$Q$5="All",Dashboard!$Q$5=""),$U29=Dashboard!$Q$5),OR(OR(Dashboard!$U$5="All",Dashboard!$U$5=""),$B29=Dashboard!$U$5),OR(AND(OR(OR(Dashboard!$B$5="All",Dashboard!$B$5="")),OR(OR(Dashboard!$K$5="All",Dashboard!$K$5="")),OR(OR(Dashboard!$N$5="All",Dashboard!$N$5=""))),SUMIFS('Daily Data'!$I$2:$I$1000,'Daily Data'!$E$2:$E$1000,$B29,'Daily Data'!$M$2:$M$1000,1)&gt;0)),1,0)</f>
        <v>1</v>
      </c>
      <c r="X29" s="182">
        <f>IF(OR($W29&lt;&gt;1,$G29="",$AN29="Discontinued"),"",SUMPRODUCT(($W$4:$W$30=1)*($AN$4:$AN$30&lt;&gt;"Discontinued")*ISNUMBER($G$4:$G$30)*($G$4:$G$30&lt;$G29))+SUMPRODUCT(($W$4:$W29=1)*($AN$4:$AN29&lt;&gt;"Discontinued")*ISNUMBER($G$4:$G29)*($G$4:$G29=$G29)))</f>
        <v>9</v>
      </c>
      <c r="Y29" s="182">
        <f t="shared" ca="1" si="37"/>
        <v>9</v>
      </c>
      <c r="Z29" s="184">
        <f t="shared" si="38"/>
        <v>891</v>
      </c>
      <c r="AA29" s="185">
        <f>IF($Z29&lt;=0,"",SUMPRODUCT(ISNUMBER($Z$4:$Z$30)*($Z$4:$Z$30&gt;$Z29))+SUMPRODUCT(ISNUMBER($Z$4:$Z29)*($Z$4:$Z29=$Z29)))</f>
        <v>4</v>
      </c>
      <c r="AB29" s="186">
        <f t="shared" si="39"/>
        <v>0.44197456119593576</v>
      </c>
      <c r="AC29" s="187" t="str">
        <f t="shared" si="40"/>
        <v>A</v>
      </c>
      <c r="AD29" s="188">
        <f>IF(OR($C29&lt;=0,COUNTIFS('Daily Data'!$E$2:$E$1000,$B29,'Daily Data'!$H$2:$H$1000,"&gt;0")&lt;2),0,SQRT(MAX(0,(SUMIFS('Daily Data'!$O$2:$O$1000,'Daily Data'!$E$2:$E$1000,$B29)-SUMIFS('Daily Data'!$I$2:$I$1000,'Daily Data'!$E$2:$E$1000,$B29,'Daily Data'!$H$2:$H$1000,"&gt;0")^2/COUNTIFS('Daily Data'!$E$2:$E$1000,$B29,'Daily Data'!$H$2:$H$1000,"&gt;0"))/(COUNTIFS('Daily Data'!$E$2:$E$1000,$B29,'Daily Data'!$H$2:$H$1000,"&gt;0")-1))))</f>
        <v>5.6799564049299498</v>
      </c>
      <c r="AE29" s="188">
        <f t="shared" si="41"/>
        <v>0.42073751147629257</v>
      </c>
      <c r="AF29" s="187" t="str">
        <f t="shared" si="42"/>
        <v>X</v>
      </c>
      <c r="AG29" s="185">
        <f t="shared" si="43"/>
        <v>20.89090534721042</v>
      </c>
      <c r="AH29" s="185">
        <f t="shared" si="44"/>
        <v>88.39090534721042</v>
      </c>
      <c r="AI29" s="187" t="str">
        <f t="shared" si="45"/>
        <v>BELOW ROP</v>
      </c>
      <c r="AJ29" s="185">
        <f t="shared" si="46"/>
        <v>25.39090534721042</v>
      </c>
      <c r="AK29" s="185">
        <f>IF(OR($W29&lt;&gt;1,NOT(ISNUMBER($AJ29))),"",IF($AJ29&lt;=0,"",SUMPRODUCT(($W$4:$W$30=1)*ISNUMBER($AJ$4:$AJ$30)*($AJ$4:$AJ$30&gt;$AJ29))+SUMPRODUCT(($W$4:$W29=1)*ISNUMBER($AJ$4:$AJ29)*($AJ$4:$AJ29=$AJ29))))</f>
        <v>7</v>
      </c>
      <c r="AL29" s="185" t="str">
        <f>IF(AND($W29=1,'Storehouse Replenishment Schedu'!$CU29="MISMATCH"),SUMPRODUCT(($W$4:$W29=1)*('Storehouse Replenishment Schedu'!$CU$4:$CU29="MISMATCH")),"")</f>
        <v/>
      </c>
      <c r="AM29" s="143" t="s">
        <v>388</v>
      </c>
      <c r="AN29" s="301" t="s">
        <v>404</v>
      </c>
      <c r="AO29" s="306">
        <f t="shared" si="47"/>
        <v>6.8946928084584622E-2</v>
      </c>
      <c r="AP29" s="305">
        <f>IF($AO29="","",SUMPRODUCT(($AM$4:$AM$30=$AM29)*($C$4:$C$30&gt;$C29))+SUMPRODUCT(($AM$4:$AM29=$AM29)*($C$4:$C29=$C29)))</f>
        <v>8</v>
      </c>
      <c r="AQ29" s="308">
        <f t="shared" si="48"/>
        <v>1.0342039212687693</v>
      </c>
      <c r="AR29" s="332">
        <f t="shared" si="49"/>
        <v>6.7567567567565767E-3</v>
      </c>
      <c r="AS29" s="307" t="str">
        <f t="shared" si="50"/>
        <v>KEEP</v>
      </c>
      <c r="AT29" s="305">
        <f t="shared" si="51"/>
        <v>189</v>
      </c>
      <c r="AU29" s="305">
        <f>COUNTIFS('Daily Data'!$E$2:$E$1000,$B29,'Daily Data'!$AJ$2:$AJ$1000,1)</f>
        <v>22</v>
      </c>
      <c r="AV29" s="308">
        <f>SUMPRODUCT(MAX(('Daily Data'!$E$2:$E$1000=$B29)*'Daily Data'!$AH$2:$AH$1000))/2</f>
        <v>11</v>
      </c>
      <c r="AW29" s="308">
        <f>IFERROR(SUMIFS('Daily Data'!$AI$2:$AI$1000,'Daily Data'!$E$2:$E$1000,$B29,'Daily Data'!$AH$2:$AH$1000,"&gt;0",'Daily Data'!$AH$2:$AH$1000,"&lt;="&amp;$AV29,'Daily Data'!$AJ$2:$AJ$1000,1)/COUNTIFS('Daily Data'!$E$2:$E$1000,$B29,'Daily Data'!$AH$2:$AH$1000,"&gt;0",'Daily Data'!$AH$2:$AH$1000,"&lt;="&amp;$AV29,'Daily Data'!$AJ$2:$AJ$1000,1),0)</f>
        <v>13.454545454545455</v>
      </c>
      <c r="AX29" s="308">
        <f>IFERROR(SUMIFS('Daily Data'!$AI$2:$AI$1000,'Daily Data'!$E$2:$E$1000,$B29,'Daily Data'!$AH$2:$AH$1000,"&gt;"&amp;$AV29,'Daily Data'!$AJ$2:$AJ$1000,1)/COUNTIFS('Daily Data'!$E$2:$E$1000,$B29,'Daily Data'!$AH$2:$AH$1000,"&gt;"&amp;$AV29,'Daily Data'!$AJ$2:$AJ$1000,1),0)</f>
        <v>13.545454545454545</v>
      </c>
      <c r="AY29" s="305">
        <f>COUNTIFS('Daily Data'!$E$2:$E$1000,$B29,'Daily Data'!$L$2:$L$1000,1)</f>
        <v>22</v>
      </c>
    </row>
    <row r="30" spans="1:51" ht="15.75" thickBot="1" x14ac:dyDescent="0.3">
      <c r="A30" s="257">
        <v>24</v>
      </c>
      <c r="B30" s="289" t="s">
        <v>180</v>
      </c>
      <c r="C30" s="232">
        <f>IFERROR(SUMIFS('Daily Data'!$I$2:$I$1000,'Daily Data'!$E$2:$E$1000,$B30)/COUNTIFS('Daily Data'!$E$2:$E$1000,$B30,'Daily Data'!$H$2:$H$1000,"&gt;0"),0)</f>
        <v>20.157894736842106</v>
      </c>
      <c r="D30">
        <f>'Storehouse Replenishment Schedu'!CR30</f>
        <v>0</v>
      </c>
      <c r="E30" s="23">
        <f>SUMIFS('Daily Data'!$H$2:$H$1000,'Daily Data'!$E$2:$E$1000,$B30,'Daily Data'!$A$2:$A$1000,$V30)+SUMIFS('Daily Data'!$G$2:$G$1000,'Daily Data'!$E$2:$E$1000,$B30,'Daily Data'!$A$2:$A$1000,"&gt;"&amp;$V30)</f>
        <v>19</v>
      </c>
      <c r="F30" s="23">
        <f t="shared" si="26"/>
        <v>19</v>
      </c>
      <c r="G30" s="23">
        <f t="shared" si="27"/>
        <v>0.94255874673629236</v>
      </c>
      <c r="H30" s="151">
        <f t="shared" si="28"/>
        <v>46295.942558746734</v>
      </c>
      <c r="I30" s="151">
        <f t="shared" si="29"/>
        <v>46295</v>
      </c>
      <c r="J30" s="23">
        <f t="shared" ca="1" si="30"/>
        <v>23</v>
      </c>
      <c r="K30" s="23">
        <f t="shared" ca="1" si="31"/>
        <v>463.63157894736844</v>
      </c>
      <c r="L30" s="233">
        <f t="shared" ca="1" si="32"/>
        <v>19.317982456140353</v>
      </c>
      <c r="M30" s="135" t="str">
        <f t="shared" si="33"/>
        <v>CRITICAL</v>
      </c>
      <c r="N30" s="153">
        <f>IF(OR($G30="",$AN30="Discontinued"),"",RANK($G30,$G$4:$G$30,1)+COUNTIF($G$4:$G30,$G30)-1)</f>
        <v>3</v>
      </c>
      <c r="O30" s="153">
        <f t="shared" ca="1" si="34"/>
        <v>20</v>
      </c>
      <c r="P30" s="154">
        <f t="shared" ca="1" si="35"/>
        <v>480</v>
      </c>
      <c r="Q30" s="155">
        <f>IFERROR(INDEX('Pantry Inventory'!$AB$5:$AB$31,MATCH($B30,'Pantry Inventory'!$Z$5:$Z$31,0)),0)</f>
        <v>3</v>
      </c>
      <c r="R30" s="156">
        <f t="shared" ca="1" si="36"/>
        <v>1440</v>
      </c>
      <c r="S30" s="143" t="s">
        <v>69</v>
      </c>
      <c r="T30" s="154">
        <f>SUMIFS('Daily Data'!$I$2:$I$1000,'Daily Data'!$E$2:$E$1000,$B30)</f>
        <v>383</v>
      </c>
      <c r="U30" s="182" t="str">
        <f>IFERROR(INDEX('Pantry Inventory'!$A$5:$A$161,MATCH($B30,'Pantry Inventory'!$B$5:$B$161,0)),"")</f>
        <v>Oat Side</v>
      </c>
      <c r="V30" s="183">
        <f>SUMPRODUCT(MAX(('Daily Data'!$E$2:$E$1000=$B30)*'Daily Data'!$L$2:$L$1000*'Daily Data'!$A$2:$A$1000))</f>
        <v>46295</v>
      </c>
      <c r="W30" s="182">
        <f>IF(AND(OR(OR(Dashboard!$E$5="All",Dashboard!$E$5=""),$AM30=Dashboard!$E$5),OR(OR(Dashboard!$H$5="All",Dashboard!$H$5=""),$S30=Dashboard!$H$5),OR(OR(Dashboard!$Q$5="All",Dashboard!$Q$5=""),$U30=Dashboard!$Q$5),OR(OR(Dashboard!$U$5="All",Dashboard!$U$5=""),$B30=Dashboard!$U$5),OR(AND(OR(OR(Dashboard!$B$5="All",Dashboard!$B$5="")),OR(OR(Dashboard!$K$5="All",Dashboard!$K$5="")),OR(OR(Dashboard!$N$5="All",Dashboard!$N$5=""))),SUMIFS('Daily Data'!$I$2:$I$1000,'Daily Data'!$E$2:$E$1000,$B30,'Daily Data'!$M$2:$M$1000,1)&gt;0)),1,0)</f>
        <v>1</v>
      </c>
      <c r="X30" s="182">
        <f>IF(OR($W30&lt;&gt;1,$G30="",$AN30="Discontinued"),"",SUMPRODUCT(($W$4:$W$30=1)*($AN$4:$AN$30&lt;&gt;"Discontinued")*ISNUMBER($G$4:$G$30)*($G$4:$G$30&lt;$G30))+SUMPRODUCT(($W$4:$W30=1)*($AN$4:$AN30&lt;&gt;"Discontinued")*ISNUMBER($G$4:$G30)*($G$4:$G30=$G30)))</f>
        <v>3</v>
      </c>
      <c r="Y30" s="182">
        <f t="shared" ca="1" si="37"/>
        <v>3</v>
      </c>
      <c r="Z30" s="184">
        <f t="shared" si="38"/>
        <v>1149</v>
      </c>
      <c r="AA30" s="185">
        <f>IF($Z30&lt;=0,"",SUMPRODUCT(ISNUMBER($Z$4:$Z$30)*($Z$4:$Z$30&gt;$Z30))+SUMPRODUCT(ISNUMBER($Z$4:$Z30)*($Z$4:$Z30=$Z30)))</f>
        <v>3</v>
      </c>
      <c r="AB30" s="186">
        <f t="shared" si="39"/>
        <v>0.35538719663446283</v>
      </c>
      <c r="AC30" s="187" t="str">
        <f t="shared" si="40"/>
        <v>A</v>
      </c>
      <c r="AD30" s="188">
        <f>IF(OR($C30&lt;=0,COUNTIFS('Daily Data'!$E$2:$E$1000,$B30,'Daily Data'!$H$2:$H$1000,"&gt;0")&lt;2),0,SQRT(MAX(0,(SUMIFS('Daily Data'!$O$2:$O$1000,'Daily Data'!$E$2:$E$1000,$B30)-SUMIFS('Daily Data'!$I$2:$I$1000,'Daily Data'!$E$2:$E$1000,$B30,'Daily Data'!$H$2:$H$1000,"&gt;0")^2/COUNTIFS('Daily Data'!$E$2:$E$1000,$B30,'Daily Data'!$H$2:$H$1000,"&gt;0"))/(COUNTIFS('Daily Data'!$E$2:$E$1000,$B30,'Daily Data'!$H$2:$H$1000,"&gt;0")-1))))</f>
        <v>11.807916860513345</v>
      </c>
      <c r="AE30" s="188">
        <f t="shared" si="41"/>
        <v>0.58577133250588387</v>
      </c>
      <c r="AF30" s="187" t="str">
        <f t="shared" si="42"/>
        <v>Y</v>
      </c>
      <c r="AG30" s="185">
        <f t="shared" si="43"/>
        <v>43.42957161900199</v>
      </c>
      <c r="AH30" s="185">
        <f t="shared" si="44"/>
        <v>144.21904530321251</v>
      </c>
      <c r="AI30" s="187" t="str">
        <f t="shared" si="45"/>
        <v>BELOW ROP</v>
      </c>
      <c r="AJ30" s="185">
        <f t="shared" si="46"/>
        <v>125.21904530321251</v>
      </c>
      <c r="AK30" s="185">
        <f>IF(OR($W30&lt;&gt;1,NOT(ISNUMBER($AJ30))),"",IF($AJ30&lt;=0,"",SUMPRODUCT(($W$4:$W$30=1)*ISNUMBER($AJ$4:$AJ$30)*($AJ$4:$AJ$30&gt;$AJ30))+SUMPRODUCT(($W$4:$W30=1)*ISNUMBER($AJ$4:$AJ30)*($AJ$4:$AJ30=$AJ30))))</f>
        <v>1</v>
      </c>
      <c r="AL30" s="185" t="str">
        <f>IF(AND($W30=1,'Storehouse Replenishment Schedu'!$CU30="MISMATCH"),SUMPRODUCT(($W$4:$W30=1)*('Storehouse Replenishment Schedu'!$CU$4:$CU30="MISMATCH")),"")</f>
        <v/>
      </c>
      <c r="AM30" s="143" t="s">
        <v>388</v>
      </c>
      <c r="AN30" s="301" t="s">
        <v>404</v>
      </c>
      <c r="AO30" s="306">
        <f t="shared" si="47"/>
        <v>0.10294999398205035</v>
      </c>
      <c r="AP30" s="305">
        <f>IF($AO30="","",SUMPRODUCT(($AM$4:$AM$30=$AM30)*($C$4:$C$30&gt;$C30))+SUMPRODUCT(($AM$4:$AM30=$AM30)*($C$4:$C30=$C30)))</f>
        <v>5</v>
      </c>
      <c r="AQ30" s="308">
        <f t="shared" si="48"/>
        <v>1.5442499097307552</v>
      </c>
      <c r="AR30" s="332">
        <f t="shared" si="49"/>
        <v>-0.23068838675775094</v>
      </c>
      <c r="AS30" s="307" t="str">
        <f t="shared" si="50"/>
        <v>KEEP</v>
      </c>
      <c r="AT30" s="305">
        <f t="shared" si="51"/>
        <v>57</v>
      </c>
      <c r="AU30" s="305">
        <f>COUNTIFS('Daily Data'!$E$2:$E$1000,$B30,'Daily Data'!$AJ$2:$AJ$1000,1)</f>
        <v>19</v>
      </c>
      <c r="AV30" s="308">
        <f>SUMPRODUCT(MAX(('Daily Data'!$E$2:$E$1000=$B30)*'Daily Data'!$AH$2:$AH$1000))/2</f>
        <v>11</v>
      </c>
      <c r="AW30" s="308">
        <f>IFERROR(SUMIFS('Daily Data'!$AI$2:$AI$1000,'Daily Data'!$E$2:$E$1000,$B30,'Daily Data'!$AH$2:$AH$1000,"&gt;0",'Daily Data'!$AH$2:$AH$1000,"&lt;="&amp;$AV30,'Daily Data'!$AJ$2:$AJ$1000,1)/COUNTIFS('Daily Data'!$E$2:$E$1000,$B30,'Daily Data'!$AH$2:$AH$1000,"&gt;0",'Daily Data'!$AH$2:$AH$1000,"&lt;="&amp;$AV30,'Daily Data'!$AJ$2:$AJ$1000,1),0)</f>
        <v>21.625</v>
      </c>
      <c r="AX30" s="308">
        <f>IFERROR(SUMIFS('Daily Data'!$AI$2:$AI$1000,'Daily Data'!$E$2:$E$1000,$B30,'Daily Data'!$AH$2:$AH$1000,"&gt;"&amp;$AV30,'Daily Data'!$AJ$2:$AJ$1000,1)/COUNTIFS('Daily Data'!$E$2:$E$1000,$B30,'Daily Data'!$AH$2:$AH$1000,"&gt;"&amp;$AV30,'Daily Data'!$AJ$2:$AJ$1000,1),0)</f>
        <v>16.636363636363637</v>
      </c>
      <c r="AY30" s="305">
        <f>COUNTIFS('Daily Data'!$E$2:$E$1000,$B30,'Daily Data'!$L$2:$L$1000,1)</f>
        <v>22</v>
      </c>
    </row>
    <row r="31" spans="1:51" ht="15.75" thickBot="1" x14ac:dyDescent="0.3">
      <c r="B31" s="147" t="s">
        <v>266</v>
      </c>
      <c r="C31" s="147"/>
      <c r="D31" s="147"/>
      <c r="E31" s="147"/>
      <c r="F31" s="147"/>
      <c r="G31" s="147"/>
      <c r="H31" s="147"/>
      <c r="I31" s="147"/>
      <c r="J31" s="147"/>
      <c r="K31" s="147"/>
      <c r="L31" s="159">
        <f ca="1">SUM(L4:L30)</f>
        <v>343.27193047428142</v>
      </c>
      <c r="M31" s="158" t="str">
        <f>(COUNTIF(M4:M30,"OUT OF STOCK")+COUNTIF(M4:M30,"CRITICAL"))&amp;" need action"</f>
        <v>6 need action</v>
      </c>
      <c r="N31" s="147"/>
      <c r="O31" s="159">
        <f ca="1">SUM(O4:O30)</f>
        <v>354</v>
      </c>
      <c r="P31" s="160">
        <f ca="1">SUM(P4:P30)</f>
        <v>4939</v>
      </c>
      <c r="Q31" s="147"/>
      <c r="R31" s="161">
        <f ca="1">SUM(R4:R30)</f>
        <v>9575.518</v>
      </c>
      <c r="S31" s="147"/>
      <c r="T31" s="160">
        <f>SUM(T4:T30)</f>
        <v>5172</v>
      </c>
      <c r="AM31" s="147"/>
    </row>
    <row r="33" spans="2:6" x14ac:dyDescent="0.25">
      <c r="F33" s="23"/>
    </row>
    <row r="34" spans="2:6" ht="15.75" customHeight="1" x14ac:dyDescent="0.25">
      <c r="B34" t="s">
        <v>267</v>
      </c>
      <c r="D34" s="148" t="s">
        <v>268</v>
      </c>
    </row>
    <row r="35" spans="2:6" ht="30" customHeight="1" x14ac:dyDescent="0.25">
      <c r="B35" s="69"/>
      <c r="D35" s="152" t="s">
        <v>74</v>
      </c>
      <c r="E35" s="152" t="s">
        <v>269</v>
      </c>
      <c r="F35" s="162" t="s">
        <v>270</v>
      </c>
    </row>
    <row r="36" spans="2:6" x14ac:dyDescent="0.25">
      <c r="B36" s="69"/>
      <c r="D36" s="145" t="s">
        <v>10</v>
      </c>
      <c r="E36" s="163" t="s">
        <v>271</v>
      </c>
      <c r="F36" s="140" t="s">
        <v>272</v>
      </c>
    </row>
    <row r="37" spans="2:6" x14ac:dyDescent="0.25">
      <c r="B37" s="69"/>
      <c r="D37" s="145" t="s">
        <v>11</v>
      </c>
      <c r="E37" s="143">
        <v>3</v>
      </c>
      <c r="F37" s="140" t="s">
        <v>273</v>
      </c>
    </row>
    <row r="38" spans="2:6" x14ac:dyDescent="0.25">
      <c r="B38" s="69"/>
      <c r="D38" s="145" t="s">
        <v>12</v>
      </c>
      <c r="E38" s="143">
        <v>7</v>
      </c>
      <c r="F38" s="140" t="s">
        <v>274</v>
      </c>
    </row>
    <row r="39" spans="2:6" x14ac:dyDescent="0.25">
      <c r="B39" s="69"/>
      <c r="D39" s="145" t="s">
        <v>13</v>
      </c>
      <c r="E39" s="143">
        <v>14</v>
      </c>
      <c r="F39" s="140" t="s">
        <v>275</v>
      </c>
    </row>
    <row r="40" spans="2:6" x14ac:dyDescent="0.25">
      <c r="B40" s="69"/>
      <c r="D40" s="145" t="s">
        <v>14</v>
      </c>
      <c r="E40" s="163" t="s">
        <v>276</v>
      </c>
      <c r="F40" s="140" t="s">
        <v>277</v>
      </c>
    </row>
    <row r="41" spans="2:6" x14ac:dyDescent="0.25">
      <c r="B41" s="69"/>
      <c r="D41" s="145" t="s">
        <v>15</v>
      </c>
      <c r="E41" s="163" t="s">
        <v>278</v>
      </c>
      <c r="F41" s="140" t="s">
        <v>279</v>
      </c>
    </row>
    <row r="42" spans="2:6" x14ac:dyDescent="0.25">
      <c r="B42" s="69">
        <v>46291</v>
      </c>
      <c r="D42" s="150" t="s">
        <v>280</v>
      </c>
    </row>
    <row r="43" spans="2:6" x14ac:dyDescent="0.25">
      <c r="B43" s="69">
        <v>46292</v>
      </c>
    </row>
    <row r="44" spans="2:6" x14ac:dyDescent="0.25">
      <c r="B44" s="69"/>
    </row>
    <row r="45" spans="2:6" ht="15.75" x14ac:dyDescent="0.25">
      <c r="B45" s="69"/>
      <c r="D45" s="148" t="s">
        <v>281</v>
      </c>
    </row>
    <row r="46" spans="2:6" x14ac:dyDescent="0.25">
      <c r="B46" s="69"/>
      <c r="D46" s="189" t="s">
        <v>282</v>
      </c>
      <c r="E46" s="189" t="s">
        <v>283</v>
      </c>
      <c r="F46" s="189" t="s">
        <v>284</v>
      </c>
    </row>
    <row r="47" spans="2:6" x14ac:dyDescent="0.25">
      <c r="B47" s="69"/>
      <c r="D47" s="190" t="s">
        <v>285</v>
      </c>
      <c r="E47" s="191"/>
      <c r="F47" s="192" t="s">
        <v>286</v>
      </c>
    </row>
    <row r="48" spans="2:6" x14ac:dyDescent="0.25">
      <c r="B48" s="69"/>
      <c r="D48" s="190" t="s">
        <v>287</v>
      </c>
      <c r="E48" s="191"/>
      <c r="F48" s="192" t="s">
        <v>288</v>
      </c>
    </row>
    <row r="49" spans="2:6" x14ac:dyDescent="0.25">
      <c r="B49" s="69"/>
      <c r="D49" s="190" t="s">
        <v>289</v>
      </c>
      <c r="E49" s="193">
        <v>0.8</v>
      </c>
      <c r="F49" s="192" t="s">
        <v>290</v>
      </c>
    </row>
    <row r="50" spans="2:6" x14ac:dyDescent="0.25">
      <c r="B50" s="69"/>
      <c r="D50" s="190" t="s">
        <v>291</v>
      </c>
      <c r="E50" s="193">
        <v>0.95</v>
      </c>
      <c r="F50" s="192" t="s">
        <v>292</v>
      </c>
    </row>
    <row r="51" spans="2:6" ht="30" x14ac:dyDescent="0.25">
      <c r="B51" s="69"/>
      <c r="D51" s="194" t="s">
        <v>293</v>
      </c>
      <c r="E51" s="195">
        <v>5</v>
      </c>
      <c r="F51" s="192" t="s">
        <v>294</v>
      </c>
    </row>
    <row r="52" spans="2:6" x14ac:dyDescent="0.25">
      <c r="D52" s="194" t="s">
        <v>295</v>
      </c>
      <c r="E52" s="193">
        <v>0.95</v>
      </c>
      <c r="F52" s="192" t="s">
        <v>296</v>
      </c>
    </row>
    <row r="53" spans="2:6" ht="30" x14ac:dyDescent="0.25">
      <c r="D53" s="194" t="s">
        <v>297</v>
      </c>
      <c r="E53" s="196">
        <v>0.5</v>
      </c>
      <c r="F53" s="192" t="s">
        <v>298</v>
      </c>
    </row>
    <row r="54" spans="2:6" ht="30" x14ac:dyDescent="0.25">
      <c r="D54" s="194" t="s">
        <v>299</v>
      </c>
      <c r="E54" s="196">
        <v>1</v>
      </c>
      <c r="F54" s="192" t="s">
        <v>300</v>
      </c>
    </row>
    <row r="55" spans="2:6" ht="45" x14ac:dyDescent="0.25">
      <c r="D55" s="194" t="s">
        <v>301</v>
      </c>
      <c r="E55" s="197" t="s">
        <v>302</v>
      </c>
      <c r="F55" s="192" t="s">
        <v>303</v>
      </c>
    </row>
    <row r="58" spans="2:6" x14ac:dyDescent="0.25">
      <c r="D58" s="165" t="s">
        <v>304</v>
      </c>
    </row>
    <row r="60" spans="2:6" ht="15.75" x14ac:dyDescent="0.25">
      <c r="D60" s="148" t="s">
        <v>405</v>
      </c>
    </row>
    <row r="61" spans="2:6" x14ac:dyDescent="0.25">
      <c r="D61" s="189" t="s">
        <v>282</v>
      </c>
      <c r="E61" s="189" t="s">
        <v>39</v>
      </c>
      <c r="F61" s="189" t="s">
        <v>284</v>
      </c>
    </row>
    <row r="62" spans="2:6" ht="60" x14ac:dyDescent="0.25">
      <c r="D62" s="194" t="s">
        <v>406</v>
      </c>
      <c r="E62" s="196">
        <v>0.5</v>
      </c>
      <c r="F62" s="192" t="s">
        <v>407</v>
      </c>
    </row>
    <row r="63" spans="2:6" ht="45" x14ac:dyDescent="0.25">
      <c r="D63" s="194" t="s">
        <v>408</v>
      </c>
      <c r="E63" s="193">
        <v>-0.2</v>
      </c>
      <c r="F63" s="192" t="s">
        <v>409</v>
      </c>
    </row>
    <row r="64" spans="2:6" ht="30" x14ac:dyDescent="0.25">
      <c r="D64" s="194" t="s">
        <v>410</v>
      </c>
      <c r="E64" s="195">
        <v>6</v>
      </c>
      <c r="F64" s="192" t="s">
        <v>411</v>
      </c>
    </row>
    <row r="65" spans="4:6" x14ac:dyDescent="0.25">
      <c r="D65" s="190" t="s">
        <v>412</v>
      </c>
      <c r="F65" s="192" t="s">
        <v>413</v>
      </c>
    </row>
  </sheetData>
  <mergeCells count="1">
    <mergeCell ref="D2:E2"/>
  </mergeCells>
  <conditionalFormatting sqref="D36:D41">
    <cfRule type="expression" dxfId="39" priority="1" stopIfTrue="1">
      <formula>$D36="OUT OF STOCK"</formula>
    </cfRule>
    <cfRule type="expression" dxfId="38" priority="2" stopIfTrue="1">
      <formula>$D36="CRITICAL"</formula>
    </cfRule>
    <cfRule type="expression" dxfId="37" priority="3" stopIfTrue="1">
      <formula>$D36="LOW"</formula>
    </cfRule>
    <cfRule type="expression" dxfId="36" priority="4" stopIfTrue="1">
      <formula>$D36="WATCH"</formula>
    </cfRule>
    <cfRule type="expression" dxfId="35" priority="5" stopIfTrue="1">
      <formula>$D36="HEALTHY"</formula>
    </cfRule>
    <cfRule type="expression" dxfId="34" priority="6" stopIfTrue="1">
      <formula>$D36="NO USAGE"</formula>
    </cfRule>
  </conditionalFormatting>
  <conditionalFormatting sqref="G4:G30">
    <cfRule type="dataBar" priority="13">
      <dataBar>
        <cfvo type="num" val="0"/>
        <cfvo type="num" val="30"/>
        <color rgb="FF8EA9DB"/>
      </dataBar>
    </cfRule>
  </conditionalFormatting>
  <conditionalFormatting sqref="M4:M30">
    <cfRule type="expression" dxfId="33" priority="7" stopIfTrue="1">
      <formula>$M4="OUT OF STOCK"</formula>
    </cfRule>
    <cfRule type="expression" dxfId="32" priority="8" stopIfTrue="1">
      <formula>$M4="CRITICAL"</formula>
    </cfRule>
    <cfRule type="expression" dxfId="31" priority="9" stopIfTrue="1">
      <formula>$M4="LOW"</formula>
    </cfRule>
    <cfRule type="expression" dxfId="30" priority="10" stopIfTrue="1">
      <formula>$M4="WATCH"</formula>
    </cfRule>
    <cfRule type="expression" dxfId="29" priority="11" stopIfTrue="1">
      <formula>$M4="HEALTHY"</formula>
    </cfRule>
    <cfRule type="expression" dxfId="28" priority="12" stopIfTrue="1">
      <formula>$M4="NO USAGE"</formula>
    </cfRule>
    <cfRule type="expression" dxfId="27" priority="101">
      <formula>$M4="DISCONTINUED"</formula>
    </cfRule>
  </conditionalFormatting>
  <conditionalFormatting sqref="O4:O30">
    <cfRule type="cellIs" dxfId="26" priority="14" operator="greaterThan">
      <formula>0</formula>
    </cfRule>
  </conditionalFormatting>
  <conditionalFormatting sqref="AC4:AC30">
    <cfRule type="expression" dxfId="25" priority="15">
      <formula>$AC4="A"</formula>
    </cfRule>
    <cfRule type="expression" dxfId="24" priority="16">
      <formula>$AC4="B"</formula>
    </cfRule>
    <cfRule type="expression" dxfId="23" priority="17">
      <formula>$AC4="C"</formula>
    </cfRule>
  </conditionalFormatting>
  <conditionalFormatting sqref="AF4:AF30">
    <cfRule type="expression" dxfId="22" priority="19">
      <formula>$AF4="Z"</formula>
    </cfRule>
  </conditionalFormatting>
  <conditionalFormatting sqref="AI4:AI30">
    <cfRule type="expression" dxfId="21" priority="18">
      <formula>$AI4="BELOW ROP"</formula>
    </cfRule>
  </conditionalFormatting>
  <conditionalFormatting sqref="AN4:AN30">
    <cfRule type="expression" dxfId="20" priority="106">
      <formula>$AN4="Discontinued"</formula>
    </cfRule>
  </conditionalFormatting>
  <conditionalFormatting sqref="AS4:AS30">
    <cfRule type="expression" dxfId="19" priority="102">
      <formula>$AS4="PHASE OUT"</formula>
    </cfRule>
    <cfRule type="expression" dxfId="18" priority="103">
      <formula>$AS4="REVIEW"</formula>
    </cfRule>
    <cfRule type="expression" dxfId="17" priority="104">
      <formula>$AS4="KEEP"</formula>
    </cfRule>
    <cfRule type="expression" dxfId="16" priority="105">
      <formula>OR($AS4="DISCONTINUED",$AS4="NEED MORE DATA")</formula>
    </cfRule>
  </conditionalFormatting>
  <dataValidations count="13">
    <dataValidation type="decimal" operator="greaterThanOrEqual" showErrorMessage="1" errorTitle="Days of cover" error="Enter a number of days (0 or more)." sqref="E37:E39" xr:uid="{00000000-0002-0000-0400-000000000000}">
      <formula1>0</formula1>
    </dataValidation>
    <dataValidation type="list" allowBlank="1" showErrorMessage="1" errorTitle="Snack type" error="Choose Sweet or Savoury." sqref="S4:S14" xr:uid="{00000000-0002-0000-0400-000001000000}">
      <formula1>"Sweet,Savoury"</formula1>
    </dataValidation>
    <dataValidation type="list" allowBlank="1" showErrorMessage="1" errorTitle="Beverage type" error="Choose Coffee, Tea or Other." sqref="S16:S30" xr:uid="{00000000-0002-0000-0400-000002000000}">
      <formula1>"Coffee,Tea,Other"</formula1>
    </dataValidation>
    <dataValidation type="decimal" showErrorMessage="1" errorTitle="ABC cut-off" error="Enter a share between 0% and 100%." sqref="E49:E50" xr:uid="{00000000-0002-0000-0400-000003000000}">
      <formula1>0</formula1>
      <formula2>1</formula2>
    </dataValidation>
    <dataValidation type="date" operator="greaterThan" allowBlank="1" showErrorMessage="1" errorTitle="Date" error="Enter a valid date, or clear the cell for automatic." sqref="E47:E48" xr:uid="{00000000-0002-0000-0400-000004000000}">
      <formula1>36526</formula1>
    </dataValidation>
    <dataValidation type="decimal" operator="greaterThan" showErrorMessage="1" errorTitle="Value" error="Enter a number above 0." sqref="E51 E53:E54" xr:uid="{00000000-0002-0000-0400-000005000000}">
      <formula1>0</formula1>
    </dataValidation>
    <dataValidation type="decimal" showErrorMessage="1" errorTitle="Service level" error="Enter a service level between 50% and 99.9%." sqref="E52" xr:uid="{00000000-0002-0000-0400-000006000000}">
      <formula1>0.5</formula1>
      <formula2>0.999</formula2>
    </dataValidation>
    <dataValidation type="list" sqref="E55" xr:uid="{00000000-0002-0000-0400-000007000000}">
      <formula1>"Yes,No"</formula1>
    </dataValidation>
    <dataValidation type="list" allowBlank="1" showErrorMessage="1" errorTitle="Category" error="Choose Snacks or Beverages." sqref="AM4:AM14 AM16:AM30" xr:uid="{00000000-0002-0000-0400-000008000000}">
      <formula1>"Snacks,Beverages"</formula1>
    </dataValidation>
    <dataValidation type="list" allowBlank="1" showErrorMessage="1" errorTitle="Stock status" error="Choose Active or Discontinued." sqref="AN4:AN14 AN16:AN30" xr:uid="{00000000-0002-0000-0400-000009000000}">
      <formula1>"Active,Discontinued"</formula1>
    </dataValidation>
    <dataValidation type="decimal" showErrorMessage="1" errorTitle="Preference index" error="Enter a number between 0 and 5." sqref="E62" xr:uid="{00000000-0002-0000-0400-00000A000000}">
      <formula1>0</formula1>
      <formula2>5</formula2>
    </dataValidation>
    <dataValidation type="decimal" showErrorMessage="1" errorTitle="Trend" error="Enter a percentage between -100% and 0%." sqref="E63" xr:uid="{00000000-0002-0000-0400-00000B000000}">
      <formula1>-1</formula1>
      <formula2>0</formula2>
    </dataValidation>
    <dataValidation type="whole" operator="greaterThanOrEqual" showErrorMessage="1" errorTitle="Counted days" error="Enter a whole number of days (1 or more)." sqref="E64" xr:uid="{00000000-0002-0000-0400-00000C000000}">
      <formula1>1</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A5F"/>
    <pageSetUpPr fitToPage="1"/>
  </sheetPr>
  <dimension ref="B1:M34"/>
  <sheetViews>
    <sheetView showGridLines="0" workbookViewId="0">
      <pane xSplit="1" ySplit="4" topLeftCell="B5" activePane="bottomRight" state="frozen"/>
      <selection pane="topRight"/>
      <selection pane="bottomLeft"/>
      <selection pane="bottomRight" activeCell="U19" sqref="U19"/>
    </sheetView>
  </sheetViews>
  <sheetFormatPr defaultRowHeight="15" x14ac:dyDescent="0.25"/>
  <cols>
    <col min="1" max="1" width="2" customWidth="1"/>
    <col min="2" max="2" width="5" customWidth="1"/>
    <col min="3" max="3" width="46" customWidth="1"/>
    <col min="4" max="4" width="14" customWidth="1"/>
    <col min="5" max="5" width="15" customWidth="1"/>
    <col min="6" max="6" width="11" customWidth="1"/>
    <col min="7" max="7" width="10" customWidth="1"/>
    <col min="8" max="8" width="12" customWidth="1"/>
    <col min="9" max="9" width="10" customWidth="1"/>
    <col min="10" max="10" width="11" customWidth="1"/>
    <col min="11" max="11" width="14" customWidth="1"/>
    <col min="12" max="12" width="2" customWidth="1"/>
    <col min="13" max="13" width="6" customWidth="1"/>
  </cols>
  <sheetData>
    <row r="1" spans="2:13" ht="26.25" x14ac:dyDescent="0.4">
      <c r="B1" s="198" t="s">
        <v>305</v>
      </c>
    </row>
    <row r="2" spans="2:13" x14ac:dyDescent="0.25">
      <c r="B2" s="199" t="str">
        <f ca="1">"Draft generated automatically  |  stock position as of "&amp;TEXT('Item Purchases'!H1,"dd mmm yyyy")&amp;"  |  covering until "&amp;TEXT('Item Purchases'!J1,"dd mmm yyyy")</f>
        <v>Draft generated automatically  |  stock position as of 30 Sep 2026  |  covering until 31 Oct 2026</v>
      </c>
    </row>
    <row r="4" spans="2:13" ht="32.1" customHeight="1" x14ac:dyDescent="0.25">
      <c r="B4" s="200" t="s">
        <v>72</v>
      </c>
      <c r="C4" s="200" t="s">
        <v>37</v>
      </c>
      <c r="D4" s="200" t="s">
        <v>126</v>
      </c>
      <c r="E4" s="200" t="s">
        <v>74</v>
      </c>
      <c r="F4" s="200" t="s">
        <v>306</v>
      </c>
      <c r="G4" s="200" t="s">
        <v>307</v>
      </c>
      <c r="H4" s="200" t="s">
        <v>79</v>
      </c>
      <c r="I4" s="200" t="s">
        <v>308</v>
      </c>
      <c r="J4" s="200" t="s">
        <v>80</v>
      </c>
      <c r="K4" s="200" t="s">
        <v>309</v>
      </c>
      <c r="M4" s="171" t="s">
        <v>82</v>
      </c>
    </row>
    <row r="5" spans="2:13" x14ac:dyDescent="0.25">
      <c r="B5" s="201">
        <v>1</v>
      </c>
      <c r="C5" s="202" t="str">
        <f ca="1">IF($M5="","",INDEX('Item Purchases'!$B$4:$B$30,$M5))</f>
        <v>Julies Butter Waffles</v>
      </c>
      <c r="D5" s="202" t="str">
        <f ca="1">IF($M5="","",INDEX('Item Purchases'!$U$4:$U$30,$M5))</f>
        <v>Julie's</v>
      </c>
      <c r="E5" s="203" t="str">
        <f ca="1">IF($M5="","",INDEX('Item Purchases'!$M$4:$M$30,$M5))</f>
        <v>OUT OF STOCK</v>
      </c>
      <c r="F5" s="201">
        <f ca="1">IF($M5="","",INDEX('Item Purchases'!$O$4:$O$30,$M5))</f>
        <v>39</v>
      </c>
      <c r="G5" s="201">
        <f ca="1">IF($M5="","",INDEX('Item Purchases'!$A$4:$A$30,$M5))</f>
        <v>1</v>
      </c>
      <c r="H5" s="204">
        <f ca="1">IF($M5="","",INDEX('Item Purchases'!$P$4:$P$30,$M5))</f>
        <v>39</v>
      </c>
      <c r="I5" s="205">
        <f ca="1">IF($M5="","",INDEX('Item Purchases'!$Q$4:$Q$30,$M5))</f>
        <v>5.15</v>
      </c>
      <c r="J5" s="206">
        <f ca="1">IF($M5="","",INDEX('Item Purchases'!$R$4:$R$30,$M5))</f>
        <v>200.85000000000002</v>
      </c>
      <c r="K5" s="207">
        <f ca="1">IF($M5="","",INDEX('Item Purchases'!$I$4:$I$30,$M5))</f>
        <v>46295</v>
      </c>
      <c r="M5" s="171">
        <f ca="1">IFERROR(MATCH($B5,'Item Purchases'!$Y$4:$Y$30,0),"")</f>
        <v>2</v>
      </c>
    </row>
    <row r="6" spans="2:13" x14ac:dyDescent="0.25">
      <c r="B6" s="201">
        <v>2</v>
      </c>
      <c r="C6" s="202" t="str">
        <f ca="1">IF($M6="","",INDEX('Item Purchases'!$B$4:$B$30,$M6))</f>
        <v>NV OATS &amp; DARK CHOC 42GX5</v>
      </c>
      <c r="D6" s="202" t="str">
        <f ca="1">IF($M6="","",INDEX('Item Purchases'!$U$4:$U$30,$M6))</f>
        <v>Nature Valley</v>
      </c>
      <c r="E6" s="203" t="str">
        <f ca="1">IF($M6="","",INDEX('Item Purchases'!$M$4:$M$30,$M6))</f>
        <v>OUT OF STOCK</v>
      </c>
      <c r="F6" s="201">
        <f ca="1">IF($M6="","",INDEX('Item Purchases'!$O$4:$O$30,$M6))</f>
        <v>26</v>
      </c>
      <c r="G6" s="201">
        <f ca="1">IF($M6="","",INDEX('Item Purchases'!$A$4:$A$30,$M6))</f>
        <v>5</v>
      </c>
      <c r="H6" s="204">
        <f ca="1">IF($M6="","",INDEX('Item Purchases'!$P$4:$P$30,$M6))</f>
        <v>130</v>
      </c>
      <c r="I6" s="205">
        <f ca="1">IF($M6="","",INDEX('Item Purchases'!$Q$4:$Q$30,$M6))</f>
        <v>2.78</v>
      </c>
      <c r="J6" s="206">
        <f ca="1">IF($M6="","",INDEX('Item Purchases'!$R$4:$R$30,$M6))</f>
        <v>361.4</v>
      </c>
      <c r="K6" s="207">
        <f ca="1">IF($M6="","",INDEX('Item Purchases'!$I$4:$I$30,$M6))</f>
        <v>46295</v>
      </c>
      <c r="M6" s="171">
        <f ca="1">IFERROR(MATCH($B6,'Item Purchases'!$Y$4:$Y$30,0),"")</f>
        <v>5</v>
      </c>
    </row>
    <row r="7" spans="2:13" x14ac:dyDescent="0.25">
      <c r="B7" s="201">
        <v>3</v>
      </c>
      <c r="C7" s="202" t="str">
        <f ca="1">IF($M7="","",INDEX('Item Purchases'!$B$4:$B$30,$M7))</f>
        <v>Oat Side Chocolate 200ml</v>
      </c>
      <c r="D7" s="202" t="str">
        <f ca="1">IF($M7="","",INDEX('Item Purchases'!$U$4:$U$30,$M7))</f>
        <v>Oat Side</v>
      </c>
      <c r="E7" s="203" t="str">
        <f ca="1">IF($M7="","",INDEX('Item Purchases'!$M$4:$M$30,$M7))</f>
        <v>CRITICAL</v>
      </c>
      <c r="F7" s="201">
        <f ca="1">IF($M7="","",INDEX('Item Purchases'!$O$4:$O$30,$M7))</f>
        <v>20</v>
      </c>
      <c r="G7" s="201">
        <f ca="1">IF($M7="","",INDEX('Item Purchases'!$A$4:$A$30,$M7))</f>
        <v>24</v>
      </c>
      <c r="H7" s="204">
        <f ca="1">IF($M7="","",INDEX('Item Purchases'!$P$4:$P$30,$M7))</f>
        <v>480</v>
      </c>
      <c r="I7" s="205">
        <f ca="1">IF($M7="","",INDEX('Item Purchases'!$Q$4:$Q$30,$M7))</f>
        <v>3</v>
      </c>
      <c r="J7" s="206">
        <f ca="1">IF($M7="","",INDEX('Item Purchases'!$R$4:$R$30,$M7))</f>
        <v>1440</v>
      </c>
      <c r="K7" s="207">
        <f ca="1">IF($M7="","",INDEX('Item Purchases'!$I$4:$I$30,$M7))</f>
        <v>46295</v>
      </c>
      <c r="M7" s="171">
        <f ca="1">IFERROR(MATCH($B7,'Item Purchases'!$Y$4:$Y$30,0),"")</f>
        <v>27</v>
      </c>
    </row>
    <row r="8" spans="2:13" x14ac:dyDescent="0.25">
      <c r="B8" s="201">
        <v>4</v>
      </c>
      <c r="C8" s="202" t="str">
        <f ca="1">IF($M8="","",INDEX('Item Purchases'!$B$4:$B$30,$M8))</f>
        <v>Vsoy Soya Bean  250ml</v>
      </c>
      <c r="D8" s="202" t="str">
        <f ca="1">IF($M8="","",INDEX('Item Purchases'!$U$4:$U$30,$M8))</f>
        <v>Vsoy</v>
      </c>
      <c r="E8" s="203" t="str">
        <f ca="1">IF($M8="","",INDEX('Item Purchases'!$M$4:$M$30,$M8))</f>
        <v>CRITICAL</v>
      </c>
      <c r="F8" s="201">
        <f ca="1">IF($M8="","",INDEX('Item Purchases'!$O$4:$O$30,$M8))</f>
        <v>8</v>
      </c>
      <c r="G8" s="201">
        <f ca="1">IF($M8="","",INDEX('Item Purchases'!$A$4:$A$30,$M8))</f>
        <v>48</v>
      </c>
      <c r="H8" s="204">
        <f ca="1">IF($M8="","",INDEX('Item Purchases'!$P$4:$P$30,$M8))</f>
        <v>384</v>
      </c>
      <c r="I8" s="205">
        <f ca="1">IF($M8="","",INDEX('Item Purchases'!$Q$4:$Q$30,$M8))</f>
        <v>1.25</v>
      </c>
      <c r="J8" s="206">
        <f ca="1">IF($M8="","",INDEX('Item Purchases'!$R$4:$R$30,$M8))</f>
        <v>480</v>
      </c>
      <c r="K8" s="207">
        <f ca="1">IF($M8="","",INDEX('Item Purchases'!$I$4:$I$30,$M8))</f>
        <v>46296</v>
      </c>
      <c r="M8" s="171">
        <f ca="1">IFERROR(MATCH($B8,'Item Purchases'!$Y$4:$Y$30,0),"")</f>
        <v>21</v>
      </c>
    </row>
    <row r="9" spans="2:13" x14ac:dyDescent="0.25">
      <c r="B9" s="201">
        <v>5</v>
      </c>
      <c r="C9" s="202" t="str">
        <f ca="1">IF($M9="","",INDEX('Item Purchases'!$B$4:$B$30,$M9))</f>
        <v>Ayataka Tea 300ml</v>
      </c>
      <c r="D9" s="202" t="str">
        <f ca="1">IF($M9="","",INDEX('Item Purchases'!$U$4:$U$30,$M9))</f>
        <v>Coca Cola</v>
      </c>
      <c r="E9" s="203" t="str">
        <f ca="1">IF($M9="","",INDEX('Item Purchases'!$M$4:$M$30,$M9))</f>
        <v>CRITICAL</v>
      </c>
      <c r="F9" s="201">
        <f ca="1">IF($M9="","",INDEX('Item Purchases'!$O$4:$O$30,$M9))</f>
        <v>55</v>
      </c>
      <c r="G9" s="201">
        <f ca="1">IF($M9="","",INDEX('Item Purchases'!$A$4:$A$30,$M9))</f>
        <v>12</v>
      </c>
      <c r="H9" s="204">
        <f ca="1">IF($M9="","",INDEX('Item Purchases'!$P$4:$P$30,$M9))</f>
        <v>660</v>
      </c>
      <c r="I9" s="205">
        <f ca="1">IF($M9="","",INDEX('Item Purchases'!$Q$4:$Q$30,$M9))</f>
        <v>1.75</v>
      </c>
      <c r="J9" s="206">
        <f ca="1">IF($M9="","",INDEX('Item Purchases'!$R$4:$R$30,$M9))</f>
        <v>1155</v>
      </c>
      <c r="K9" s="207">
        <f ca="1">IF($M9="","",INDEX('Item Purchases'!$I$4:$I$30,$M9))</f>
        <v>46297</v>
      </c>
      <c r="M9" s="171">
        <f ca="1">IFERROR(MATCH($B9,'Item Purchases'!$Y$4:$Y$30,0),"")</f>
        <v>19</v>
      </c>
    </row>
    <row r="10" spans="2:13" x14ac:dyDescent="0.25">
      <c r="B10" s="201">
        <v>6</v>
      </c>
      <c r="C10" s="202" t="str">
        <f ca="1">IF($M10="","",INDEX('Item Purchases'!$B$4:$B$30,$M10))</f>
        <v>Munchy Oat Krunch - Dark Choco</v>
      </c>
      <c r="D10" s="202" t="str">
        <f ca="1">IF($M10="","",INDEX('Item Purchases'!$U$4:$U$30,$M10))</f>
        <v>Munchy</v>
      </c>
      <c r="E10" s="203" t="str">
        <f ca="1">IF($M10="","",INDEX('Item Purchases'!$M$4:$M$30,$M10))</f>
        <v>CRITICAL</v>
      </c>
      <c r="F10" s="201">
        <f ca="1">IF($M10="","",INDEX('Item Purchases'!$O$4:$O$30,$M10))</f>
        <v>23</v>
      </c>
      <c r="G10" s="201">
        <f ca="1">IF($M10="","",INDEX('Item Purchases'!$A$4:$A$30,$M10))</f>
        <v>15</v>
      </c>
      <c r="H10" s="204">
        <f ca="1">IF($M10="","",INDEX('Item Purchases'!$P$4:$P$30,$M10))</f>
        <v>345</v>
      </c>
      <c r="I10" s="205">
        <f ca="1">IF($M10="","",INDEX('Item Purchases'!$Q$4:$Q$30,$M10))</f>
        <v>0.73</v>
      </c>
      <c r="J10" s="206">
        <f ca="1">IF($M10="","",INDEX('Item Purchases'!$R$4:$R$30,$M10))</f>
        <v>251.85</v>
      </c>
      <c r="K10" s="207">
        <f ca="1">IF($M10="","",INDEX('Item Purchases'!$I$4:$I$30,$M10))</f>
        <v>46297</v>
      </c>
      <c r="M10" s="171">
        <f ca="1">IFERROR(MATCH($B10,'Item Purchases'!$Y$4:$Y$30,0),"")</f>
        <v>10</v>
      </c>
    </row>
    <row r="11" spans="2:13" x14ac:dyDescent="0.25">
      <c r="B11" s="201">
        <v>7</v>
      </c>
      <c r="C11" s="202" t="str">
        <f ca="1">IF($M11="","",INDEX('Item Purchases'!$B$4:$B$30,$M11))</f>
        <v>Milo 200ml</v>
      </c>
      <c r="D11" s="202" t="str">
        <f ca="1">IF($M11="","",INDEX('Item Purchases'!$U$4:$U$30,$M11))</f>
        <v>Nestle</v>
      </c>
      <c r="E11" s="203" t="str">
        <f ca="1">IF($M11="","",INDEX('Item Purchases'!$M$4:$M$30,$M11))</f>
        <v>LOW</v>
      </c>
      <c r="F11" s="201">
        <f ca="1">IF($M11="","",INDEX('Item Purchases'!$O$4:$O$30,$M11))</f>
        <v>12</v>
      </c>
      <c r="G11" s="201">
        <f ca="1">IF($M11="","",INDEX('Item Purchases'!$A$4:$A$30,$M11))</f>
        <v>24</v>
      </c>
      <c r="H11" s="204">
        <f ca="1">IF($M11="","",INDEX('Item Purchases'!$P$4:$P$30,$M11))</f>
        <v>288</v>
      </c>
      <c r="I11" s="205">
        <f ca="1">IF($M11="","",INDEX('Item Purchases'!$Q$4:$Q$30,$M11))</f>
        <v>2.37</v>
      </c>
      <c r="J11" s="206">
        <f ca="1">IF($M11="","",INDEX('Item Purchases'!$R$4:$R$30,$M11))</f>
        <v>682.56000000000006</v>
      </c>
      <c r="K11" s="207">
        <f ca="1">IF($M11="","",INDEX('Item Purchases'!$I$4:$I$30,$M11))</f>
        <v>46300</v>
      </c>
      <c r="M11" s="171">
        <f ca="1">IFERROR(MATCH($B11,'Item Purchases'!$Y$4:$Y$30,0),"")</f>
        <v>13</v>
      </c>
    </row>
    <row r="12" spans="2:13" x14ac:dyDescent="0.25">
      <c r="B12" s="201">
        <v>8</v>
      </c>
      <c r="C12" s="202" t="str">
        <f ca="1">IF($M12="","",INDEX('Item Purchases'!$B$4:$B$30,$M12))</f>
        <v>Munchy Oat Krunch - Strawberry &amp; Blackcurrant</v>
      </c>
      <c r="D12" s="202" t="str">
        <f ca="1">IF($M12="","",INDEX('Item Purchases'!$U$4:$U$30,$M12))</f>
        <v>Munchy</v>
      </c>
      <c r="E12" s="203" t="str">
        <f ca="1">IF($M12="","",INDEX('Item Purchases'!$M$4:$M$30,$M12))</f>
        <v>LOW</v>
      </c>
      <c r="F12" s="201">
        <f ca="1">IF($M12="","",INDEX('Item Purchases'!$O$4:$O$30,$M12))</f>
        <v>11</v>
      </c>
      <c r="G12" s="201">
        <f ca="1">IF($M12="","",INDEX('Item Purchases'!$A$4:$A$30,$M12))</f>
        <v>15</v>
      </c>
      <c r="H12" s="204">
        <f ca="1">IF($M12="","",INDEX('Item Purchases'!$P$4:$P$30,$M12))</f>
        <v>165</v>
      </c>
      <c r="I12" s="205">
        <f ca="1">IF($M12="","",INDEX('Item Purchases'!$Q$4:$Q$30,$M12))</f>
        <v>0.73</v>
      </c>
      <c r="J12" s="206">
        <f ca="1">IF($M12="","",INDEX('Item Purchases'!$R$4:$R$30,$M12))</f>
        <v>120.45</v>
      </c>
      <c r="K12" s="207">
        <f ca="1">IF($M12="","",INDEX('Item Purchases'!$I$4:$I$30,$M12))</f>
        <v>46301</v>
      </c>
      <c r="M12" s="171">
        <f ca="1">IFERROR(MATCH($B12,'Item Purchases'!$Y$4:$Y$30,0),"")</f>
        <v>11</v>
      </c>
    </row>
    <row r="13" spans="2:13" x14ac:dyDescent="0.25">
      <c r="B13" s="201">
        <v>9</v>
      </c>
      <c r="C13" s="202" t="str">
        <f ca="1">IF($M13="","",INDEX('Item Purchases'!$B$4:$B$30,$M13))</f>
        <v>Oat Side Original 200ml</v>
      </c>
      <c r="D13" s="202" t="str">
        <f ca="1">IF($M13="","",INDEX('Item Purchases'!$U$4:$U$30,$M13))</f>
        <v>Oat Side</v>
      </c>
      <c r="E13" s="203" t="str">
        <f ca="1">IF($M13="","",INDEX('Item Purchases'!$M$4:$M$30,$M13))</f>
        <v>LOW</v>
      </c>
      <c r="F13" s="201">
        <f ca="1">IF($M13="","",INDEX('Item Purchases'!$O$4:$O$30,$M13))</f>
        <v>11</v>
      </c>
      <c r="G13" s="201">
        <f ca="1">IF($M13="","",INDEX('Item Purchases'!$A$4:$A$30,$M13))</f>
        <v>24</v>
      </c>
      <c r="H13" s="204">
        <f ca="1">IF($M13="","",INDEX('Item Purchases'!$P$4:$P$30,$M13))</f>
        <v>264</v>
      </c>
      <c r="I13" s="205">
        <f ca="1">IF($M13="","",INDEX('Item Purchases'!$Q$4:$Q$30,$M13))</f>
        <v>3</v>
      </c>
      <c r="J13" s="206">
        <f ca="1">IF($M13="","",INDEX('Item Purchases'!$R$4:$R$30,$M13))</f>
        <v>792</v>
      </c>
      <c r="K13" s="207">
        <f ca="1">IF($M13="","",INDEX('Item Purchases'!$I$4:$I$30,$M13))</f>
        <v>46301</v>
      </c>
      <c r="M13" s="171">
        <f ca="1">IFERROR(MATCH($B13,'Item Purchases'!$Y$4:$Y$30,0),"")</f>
        <v>26</v>
      </c>
    </row>
    <row r="14" spans="2:13" x14ac:dyDescent="0.25">
      <c r="B14" s="201">
        <v>10</v>
      </c>
      <c r="C14" s="202" t="str">
        <f ca="1">IF($M14="","",INDEX('Item Purchases'!$B$4:$B$30,$M14))</f>
        <v>Lays Potato Chips (Original) 50g</v>
      </c>
      <c r="D14" s="202" t="str">
        <f ca="1">IF($M14="","",INDEX('Item Purchases'!$U$4:$U$30,$M14))</f>
        <v>Lays</v>
      </c>
      <c r="E14" s="203" t="str">
        <f ca="1">IF($M14="","",INDEX('Item Purchases'!$M$4:$M$30,$M14))</f>
        <v>LOW</v>
      </c>
      <c r="F14" s="201">
        <f ca="1">IF($M14="","",INDEX('Item Purchases'!$O$4:$O$30,$M14))</f>
        <v>3</v>
      </c>
      <c r="G14" s="201">
        <f ca="1">IF($M14="","",INDEX('Item Purchases'!$A$4:$A$30,$M14))</f>
        <v>24</v>
      </c>
      <c r="H14" s="204">
        <f ca="1">IF($M14="","",INDEX('Item Purchases'!$P$4:$P$30,$M14))</f>
        <v>72</v>
      </c>
      <c r="I14" s="205">
        <f ca="1">IF($M14="","",INDEX('Item Purchases'!$Q$4:$Q$30,$M14))</f>
        <v>3.4580000000000002</v>
      </c>
      <c r="J14" s="206">
        <f ca="1">IF($M14="","",INDEX('Item Purchases'!$R$4:$R$30,$M14))</f>
        <v>248.976</v>
      </c>
      <c r="K14" s="207">
        <f ca="1">IF($M14="","",INDEX('Item Purchases'!$I$4:$I$30,$M14))</f>
        <v>46302</v>
      </c>
      <c r="M14" s="171">
        <f ca="1">IFERROR(MATCH($B14,'Item Purchases'!$Y$4:$Y$30,0),"")</f>
        <v>8</v>
      </c>
    </row>
    <row r="15" spans="2:13" x14ac:dyDescent="0.25">
      <c r="B15" s="201">
        <v>11</v>
      </c>
      <c r="C15" s="202" t="str">
        <f ca="1">IF($M15="","",INDEX('Item Purchases'!$B$4:$B$30,$M15))</f>
        <v>BingRae Banana Milk 200ml</v>
      </c>
      <c r="D15" s="202" t="str">
        <f ca="1">IF($M15="","",INDEX('Item Purchases'!$U$4:$U$30,$M15))</f>
        <v>BingRae</v>
      </c>
      <c r="E15" s="203" t="str">
        <f ca="1">IF($M15="","",INDEX('Item Purchases'!$M$4:$M$30,$M15))</f>
        <v>LOW</v>
      </c>
      <c r="F15" s="201">
        <f ca="1">IF($M15="","",INDEX('Item Purchases'!$O$4:$O$30,$M15))</f>
        <v>6</v>
      </c>
      <c r="G15" s="201">
        <f ca="1">IF($M15="","",INDEX('Item Purchases'!$A$4:$A$30,$M15))</f>
        <v>24</v>
      </c>
      <c r="H15" s="204">
        <f ca="1">IF($M15="","",INDEX('Item Purchases'!$P$4:$P$30,$M15))</f>
        <v>144</v>
      </c>
      <c r="I15" s="205">
        <f ca="1">IF($M15="","",INDEX('Item Purchases'!$Q$4:$Q$30,$M15))</f>
        <v>3.3159999999999998</v>
      </c>
      <c r="J15" s="206">
        <f ca="1">IF($M15="","",INDEX('Item Purchases'!$R$4:$R$30,$M15))</f>
        <v>477.50399999999996</v>
      </c>
      <c r="K15" s="207">
        <f ca="1">IF($M15="","",INDEX('Item Purchases'!$I$4:$I$30,$M15))</f>
        <v>46302</v>
      </c>
      <c r="M15" s="171">
        <f ca="1">IFERROR(MATCH($B15,'Item Purchases'!$Y$4:$Y$30,0),"")</f>
        <v>22</v>
      </c>
    </row>
    <row r="16" spans="2:13" x14ac:dyDescent="0.25">
      <c r="B16" s="201">
        <v>12</v>
      </c>
      <c r="C16" s="202" t="str">
        <f ca="1">IF($M16="","",INDEX('Item Purchases'!$B$4:$B$30,$M16))</f>
        <v>Oolong Tea 300ml</v>
      </c>
      <c r="D16" s="202" t="str">
        <f ca="1">IF($M16="","",INDEX('Item Purchases'!$U$4:$U$30,$M16))</f>
        <v>Coca Cola</v>
      </c>
      <c r="E16" s="203" t="str">
        <f ca="1">IF($M16="","",INDEX('Item Purchases'!$M$4:$M$30,$M16))</f>
        <v>LOW</v>
      </c>
      <c r="F16" s="201">
        <f ca="1">IF($M16="","",INDEX('Item Purchases'!$O$4:$O$30,$M16))</f>
        <v>36</v>
      </c>
      <c r="G16" s="201">
        <f ca="1">IF($M16="","",INDEX('Item Purchases'!$A$4:$A$30,$M16))</f>
        <v>12</v>
      </c>
      <c r="H16" s="204">
        <f ca="1">IF($M16="","",INDEX('Item Purchases'!$P$4:$P$30,$M16))</f>
        <v>432</v>
      </c>
      <c r="I16" s="205">
        <f ca="1">IF($M16="","",INDEX('Item Purchases'!$Q$4:$Q$30,$M16))</f>
        <v>1.75</v>
      </c>
      <c r="J16" s="206">
        <f ca="1">IF($M16="","",INDEX('Item Purchases'!$R$4:$R$30,$M16))</f>
        <v>756</v>
      </c>
      <c r="K16" s="207">
        <f ca="1">IF($M16="","",INDEX('Item Purchases'!$I$4:$I$30,$M16))</f>
        <v>46302</v>
      </c>
      <c r="M16" s="171">
        <f ca="1">IFERROR(MATCH($B16,'Item Purchases'!$Y$4:$Y$30,0),"")</f>
        <v>20</v>
      </c>
    </row>
    <row r="17" spans="2:13" x14ac:dyDescent="0.25">
      <c r="B17" s="201">
        <v>13</v>
      </c>
      <c r="C17" s="202" t="str">
        <f ca="1">IF($M17="","",INDEX('Item Purchases'!$B$4:$B$30,$M17))</f>
        <v>Julies Choco More Sandwich (44G)</v>
      </c>
      <c r="D17" s="202" t="str">
        <f ca="1">IF($M17="","",INDEX('Item Purchases'!$U$4:$U$30,$M17))</f>
        <v>Julie's</v>
      </c>
      <c r="E17" s="203" t="str">
        <f ca="1">IF($M17="","",INDEX('Item Purchases'!$M$4:$M$30,$M17))</f>
        <v>LOW</v>
      </c>
      <c r="F17" s="201">
        <f ca="1">IF($M17="","",INDEX('Item Purchases'!$O$4:$O$30,$M17))</f>
        <v>22</v>
      </c>
      <c r="G17" s="201">
        <f ca="1">IF($M17="","",INDEX('Item Purchases'!$A$4:$A$30,$M17))</f>
        <v>8</v>
      </c>
      <c r="H17" s="204">
        <f ca="1">IF($M17="","",INDEX('Item Purchases'!$P$4:$P$30,$M17))</f>
        <v>176</v>
      </c>
      <c r="I17" s="205">
        <f ca="1">IF($M17="","",INDEX('Item Purchases'!$Q$4:$Q$30,$M17))</f>
        <v>1.2</v>
      </c>
      <c r="J17" s="206">
        <f ca="1">IF($M17="","",INDEX('Item Purchases'!$R$4:$R$30,$M17))</f>
        <v>211.2</v>
      </c>
      <c r="K17" s="207">
        <f ca="1">IF($M17="","",INDEX('Item Purchases'!$I$4:$I$30,$M17))</f>
        <v>46303</v>
      </c>
      <c r="M17" s="171">
        <f ca="1">IFERROR(MATCH($B17,'Item Purchases'!$Y$4:$Y$30,0),"")</f>
        <v>3</v>
      </c>
    </row>
    <row r="18" spans="2:13" x14ac:dyDescent="0.25">
      <c r="B18" s="201">
        <v>14</v>
      </c>
      <c r="C18" s="202" t="str">
        <f ca="1">IF($M18="","",INDEX('Item Purchases'!$B$4:$B$30,$M18))</f>
        <v>COKE ZERO  325ML</v>
      </c>
      <c r="D18" s="202" t="str">
        <f ca="1">IF($M18="","",INDEX('Item Purchases'!$U$4:$U$30,$M18))</f>
        <v>Coca Cola</v>
      </c>
      <c r="E18" s="203" t="str">
        <f ca="1">IF($M18="","",INDEX('Item Purchases'!$M$4:$M$30,$M18))</f>
        <v>WATCH</v>
      </c>
      <c r="F18" s="201">
        <f ca="1">IF($M18="","",INDEX('Item Purchases'!$O$4:$O$30,$M18))</f>
        <v>12</v>
      </c>
      <c r="G18" s="201">
        <f ca="1">IF($M18="","",INDEX('Item Purchases'!$A$4:$A$30,$M18))</f>
        <v>12</v>
      </c>
      <c r="H18" s="204">
        <f ca="1">IF($M18="","",INDEX('Item Purchases'!$P$4:$P$30,$M18))</f>
        <v>144</v>
      </c>
      <c r="I18" s="205">
        <f ca="1">IF($M18="","",INDEX('Item Purchases'!$Q$4:$Q$30,$M18))</f>
        <v>1.83</v>
      </c>
      <c r="J18" s="206">
        <f ca="1">IF($M18="","",INDEX('Item Purchases'!$R$4:$R$30,$M18))</f>
        <v>263.52</v>
      </c>
      <c r="K18" s="207">
        <f ca="1">IF($M18="","",INDEX('Item Purchases'!$I$4:$I$30,$M18))</f>
        <v>46304</v>
      </c>
      <c r="M18" s="171">
        <f ca="1">IFERROR(MATCH($B18,'Item Purchases'!$Y$4:$Y$30,0),"")</f>
        <v>18</v>
      </c>
    </row>
    <row r="19" spans="2:13" x14ac:dyDescent="0.25">
      <c r="B19" s="201">
        <v>15</v>
      </c>
      <c r="C19" s="202" t="str">
        <f ca="1">IF($M19="","",INDEX('Item Purchases'!$B$4:$B$30,$M19))</f>
        <v>Julies Cheese Sandwich (28G)</v>
      </c>
      <c r="D19" s="202" t="str">
        <f ca="1">IF($M19="","",INDEX('Item Purchases'!$U$4:$U$30,$M19))</f>
        <v>Julie's</v>
      </c>
      <c r="E19" s="203" t="str">
        <f ca="1">IF($M19="","",INDEX('Item Purchases'!$M$4:$M$30,$M19))</f>
        <v>WATCH</v>
      </c>
      <c r="F19" s="201">
        <f ca="1">IF($M19="","",INDEX('Item Purchases'!$O$4:$O$30,$M19))</f>
        <v>9</v>
      </c>
      <c r="G19" s="201">
        <f ca="1">IF($M19="","",INDEX('Item Purchases'!$A$4:$A$30,$M19))</f>
        <v>12</v>
      </c>
      <c r="H19" s="204">
        <f ca="1">IF($M19="","",INDEX('Item Purchases'!$P$4:$P$30,$M19))</f>
        <v>108</v>
      </c>
      <c r="I19" s="205">
        <f ca="1">IF($M19="","",INDEX('Item Purchases'!$Q$4:$Q$30,$M19))</f>
        <v>1.1000000000000001</v>
      </c>
      <c r="J19" s="206">
        <f ca="1">IF($M19="","",INDEX('Item Purchases'!$R$4:$R$30,$M19))</f>
        <v>118.80000000000001</v>
      </c>
      <c r="K19" s="207">
        <f ca="1">IF($M19="","",INDEX('Item Purchases'!$I$4:$I$30,$M19))</f>
        <v>46307</v>
      </c>
      <c r="M19" s="171">
        <f ca="1">IFERROR(MATCH($B19,'Item Purchases'!$Y$4:$Y$30,0),"")</f>
        <v>4</v>
      </c>
    </row>
    <row r="20" spans="2:13" x14ac:dyDescent="0.25">
      <c r="B20" s="201">
        <v>16</v>
      </c>
      <c r="C20" s="202" t="str">
        <f ca="1">IF($M20="","",INDEX('Item Purchases'!$B$4:$B$30,$M20))</f>
        <v xml:space="preserve">Lays Double Crunch - Seaweed Flav (50g) </v>
      </c>
      <c r="D20" s="202" t="str">
        <f ca="1">IF($M20="","",INDEX('Item Purchases'!$U$4:$U$30,$M20))</f>
        <v>Lays</v>
      </c>
      <c r="E20" s="203" t="str">
        <f ca="1">IF($M20="","",INDEX('Item Purchases'!$M$4:$M$30,$M20))</f>
        <v>WATCH</v>
      </c>
      <c r="F20" s="201">
        <f ca="1">IF($M20="","",INDEX('Item Purchases'!$O$4:$O$30,$M20))</f>
        <v>10</v>
      </c>
      <c r="G20" s="201">
        <f ca="1">IF($M20="","",INDEX('Item Purchases'!$A$4:$A$30,$M20))</f>
        <v>24</v>
      </c>
      <c r="H20" s="204">
        <f ca="1">IF($M20="","",INDEX('Item Purchases'!$P$4:$P$30,$M20))</f>
        <v>240</v>
      </c>
      <c r="I20" s="205">
        <f ca="1">IF($M20="","",INDEX('Item Purchases'!$Q$4:$Q$30,$M20))</f>
        <v>4</v>
      </c>
      <c r="J20" s="206">
        <f ca="1">IF($M20="","",INDEX('Item Purchases'!$R$4:$R$30,$M20))</f>
        <v>960</v>
      </c>
      <c r="K20" s="207">
        <f ca="1">IF($M20="","",INDEX('Item Purchases'!$I$4:$I$30,$M20))</f>
        <v>46307</v>
      </c>
      <c r="M20" s="171">
        <f ca="1">IFERROR(MATCH($B20,'Item Purchases'!$Y$4:$Y$30,0),"")</f>
        <v>9</v>
      </c>
    </row>
    <row r="21" spans="2:13" x14ac:dyDescent="0.25">
      <c r="B21" s="201">
        <v>17</v>
      </c>
      <c r="C21" s="202" t="str">
        <f ca="1">IF($M21="","",INDEX('Item Purchases'!$B$4:$B$30,$M21))</f>
        <v>Julie's Peanut Butter Sandwich 360g (12pkts x 30g)</v>
      </c>
      <c r="D21" s="202" t="str">
        <f ca="1">IF($M21="","",INDEX('Item Purchases'!$U$4:$U$30,$M21))</f>
        <v>Julie's</v>
      </c>
      <c r="E21" s="203" t="str">
        <f ca="1">IF($M21="","",INDEX('Item Purchases'!$M$4:$M$30,$M21))</f>
        <v>WATCH</v>
      </c>
      <c r="F21" s="201">
        <f ca="1">IF($M21="","",INDEX('Item Purchases'!$O$4:$O$30,$M21))</f>
        <v>11</v>
      </c>
      <c r="G21" s="201">
        <f ca="1">IF($M21="","",INDEX('Item Purchases'!$A$4:$A$30,$M21))</f>
        <v>12</v>
      </c>
      <c r="H21" s="204">
        <f ca="1">IF($M21="","",INDEX('Item Purchases'!$P$4:$P$30,$M21))</f>
        <v>132</v>
      </c>
      <c r="I21" s="205">
        <f ca="1">IF($M21="","",INDEX('Item Purchases'!$Q$4:$Q$30,$M21))</f>
        <v>1.083</v>
      </c>
      <c r="J21" s="206">
        <f ca="1">IF($M21="","",INDEX('Item Purchases'!$R$4:$R$30,$M21))</f>
        <v>142.95599999999999</v>
      </c>
      <c r="K21" s="207">
        <f ca="1">IF($M21="","",INDEX('Item Purchases'!$I$4:$I$30,$M21))</f>
        <v>46308</v>
      </c>
      <c r="M21" s="171">
        <f ca="1">IFERROR(MATCH($B21,'Item Purchases'!$Y$4:$Y$30,0),"")</f>
        <v>1</v>
      </c>
    </row>
    <row r="22" spans="2:13" x14ac:dyDescent="0.25">
      <c r="B22" s="201">
        <v>18</v>
      </c>
      <c r="C22" s="202" t="str">
        <f ca="1">IF($M22="","",INDEX('Item Purchases'!$B$4:$B$30,$M22))</f>
        <v>Spritzer sparkling water (original) 400ml</v>
      </c>
      <c r="D22" s="202" t="str">
        <f ca="1">IF($M22="","",INDEX('Item Purchases'!$U$4:$U$30,$M22))</f>
        <v>Spritzer</v>
      </c>
      <c r="E22" s="203" t="str">
        <f ca="1">IF($M22="","",INDEX('Item Purchases'!$M$4:$M$30,$M22))</f>
        <v>WATCH</v>
      </c>
      <c r="F22" s="201">
        <f ca="1">IF($M22="","",INDEX('Item Purchases'!$O$4:$O$30,$M22))</f>
        <v>10</v>
      </c>
      <c r="G22" s="201">
        <f ca="1">IF($M22="","",INDEX('Item Purchases'!$A$4:$A$30,$M22))</f>
        <v>24</v>
      </c>
      <c r="H22" s="204">
        <f ca="1">IF($M22="","",INDEX('Item Purchases'!$P$4:$P$30,$M22))</f>
        <v>240</v>
      </c>
      <c r="I22" s="205">
        <f ca="1">IF($M22="","",INDEX('Item Purchases'!$Q$4:$Q$30,$M22))</f>
        <v>1.616666666666666</v>
      </c>
      <c r="J22" s="206">
        <f ca="1">IF($M22="","",INDEX('Item Purchases'!$R$4:$R$30,$M22))</f>
        <v>387.99999999999983</v>
      </c>
      <c r="K22" s="207">
        <f ca="1">IF($M22="","",INDEX('Item Purchases'!$I$4:$I$30,$M22))</f>
        <v>46314</v>
      </c>
      <c r="M22" s="171">
        <f ca="1">IFERROR(MATCH($B22,'Item Purchases'!$Y$4:$Y$30,0),"")</f>
        <v>25</v>
      </c>
    </row>
    <row r="23" spans="2:13" x14ac:dyDescent="0.25">
      <c r="B23" s="201">
        <v>19</v>
      </c>
      <c r="C23" s="202" t="str">
        <f ca="1">IF($M23="","",INDEX('Item Purchases'!$B$4:$B$30,$M23))</f>
        <v>FN 100 plus (original) 325ml</v>
      </c>
      <c r="D23" s="202" t="str">
        <f ca="1">IF($M23="","",INDEX('Item Purchases'!$U$4:$U$30,$M23))</f>
        <v>F&amp;N</v>
      </c>
      <c r="E23" s="203" t="str">
        <f ca="1">IF($M23="","",INDEX('Item Purchases'!$M$4:$M$30,$M23))</f>
        <v>WATCH</v>
      </c>
      <c r="F23" s="201">
        <f ca="1">IF($M23="","",INDEX('Item Purchases'!$O$4:$O$30,$M23))</f>
        <v>4</v>
      </c>
      <c r="G23" s="201">
        <f ca="1">IF($M23="","",INDEX('Item Purchases'!$A$4:$A$30,$M23))</f>
        <v>24</v>
      </c>
      <c r="H23" s="204">
        <f ca="1">IF($M23="","",INDEX('Item Purchases'!$P$4:$P$30,$M23))</f>
        <v>96</v>
      </c>
      <c r="I23" s="205">
        <f ca="1">IF($M23="","",INDEX('Item Purchases'!$Q$4:$Q$30,$M23))</f>
        <v>1.58</v>
      </c>
      <c r="J23" s="206">
        <f ca="1">IF($M23="","",INDEX('Item Purchases'!$R$4:$R$30,$M23))</f>
        <v>151.68</v>
      </c>
      <c r="K23" s="207">
        <f ca="1">IF($M23="","",INDEX('Item Purchases'!$I$4:$I$30,$M23))</f>
        <v>46314</v>
      </c>
      <c r="M23" s="171">
        <f ca="1">IFERROR(MATCH($B23,'Item Purchases'!$Y$4:$Y$30,0),"")</f>
        <v>24</v>
      </c>
    </row>
    <row r="24" spans="2:13" x14ac:dyDescent="0.25">
      <c r="B24" s="201">
        <v>20</v>
      </c>
      <c r="C24" s="202" t="str">
        <f ca="1">IF($M24="","",INDEX('Item Purchases'!$B$4:$B$30,$M24))</f>
        <v>BBMG 90G</v>
      </c>
      <c r="D24" s="202" t="str">
        <f ca="1">IF($M24="","",INDEX('Item Purchases'!$U$4:$U$30,$M24))</f>
        <v>BBMG</v>
      </c>
      <c r="E24" s="203" t="str">
        <f ca="1">IF($M24="","",INDEX('Item Purchases'!$M$4:$M$30,$M24))</f>
        <v>HEALTHY</v>
      </c>
      <c r="F24" s="201">
        <f ca="1">IF($M24="","",INDEX('Item Purchases'!$O$4:$O$30,$M24))</f>
        <v>19</v>
      </c>
      <c r="G24" s="201">
        <f ca="1">IF($M24="","",INDEX('Item Purchases'!$A$4:$A$30,$M24))</f>
        <v>16</v>
      </c>
      <c r="H24" s="204">
        <f ca="1">IF($M24="","",INDEX('Item Purchases'!$P$4:$P$30,$M24))</f>
        <v>304</v>
      </c>
      <c r="I24" s="205">
        <f ca="1">IF($M24="","",INDEX('Item Purchases'!$Q$4:$Q$30,$M24))</f>
        <v>0.34300000000000003</v>
      </c>
      <c r="J24" s="206">
        <f ca="1">IF($M24="","",INDEX('Item Purchases'!$R$4:$R$30,$M24))</f>
        <v>104.27200000000001</v>
      </c>
      <c r="K24" s="207">
        <f ca="1">IF($M24="","",INDEX('Item Purchases'!$I$4:$I$30,$M24))</f>
        <v>46316</v>
      </c>
      <c r="M24" s="171">
        <f ca="1">IFERROR(MATCH($B24,'Item Purchases'!$Y$4:$Y$30,0),"")</f>
        <v>7</v>
      </c>
    </row>
    <row r="25" spans="2:13" x14ac:dyDescent="0.25">
      <c r="B25" s="201">
        <v>21</v>
      </c>
      <c r="C25" s="202" t="str">
        <f ca="1">IF($M25="","",INDEX('Item Purchases'!$B$4:$B$30,$M25))</f>
        <v>COWA Coconut Water 330 ml</v>
      </c>
      <c r="D25" s="202" t="str">
        <f ca="1">IF($M25="","",INDEX('Item Purchases'!$U$4:$U$30,$M25))</f>
        <v>COWA</v>
      </c>
      <c r="E25" s="203" t="str">
        <f ca="1">IF($M25="","",INDEX('Item Purchases'!$M$4:$M$30,$M25))</f>
        <v>HEALTHY</v>
      </c>
      <c r="F25" s="201">
        <f ca="1">IF($M25="","",INDEX('Item Purchases'!$O$4:$O$30,$M25))</f>
        <v>6</v>
      </c>
      <c r="G25" s="201">
        <f ca="1">IF($M25="","",INDEX('Item Purchases'!$A$4:$A$30,$M25))</f>
        <v>12</v>
      </c>
      <c r="H25" s="204">
        <f ca="1">IF($M25="","",INDEX('Item Purchases'!$P$4:$P$30,$M25))</f>
        <v>72</v>
      </c>
      <c r="I25" s="205">
        <f ca="1">IF($M25="","",INDEX('Item Purchases'!$Q$4:$Q$30,$M25))</f>
        <v>3</v>
      </c>
      <c r="J25" s="206">
        <f ca="1">IF($M25="","",INDEX('Item Purchases'!$R$4:$R$30,$M25))</f>
        <v>216</v>
      </c>
      <c r="K25" s="207">
        <f ca="1">IF($M25="","",INDEX('Item Purchases'!$I$4:$I$30,$M25))</f>
        <v>46323</v>
      </c>
      <c r="M25" s="171">
        <f ca="1">IFERROR(MATCH($B25,'Item Purchases'!$Y$4:$Y$30,0),"")</f>
        <v>16</v>
      </c>
    </row>
    <row r="26" spans="2:13" x14ac:dyDescent="0.25">
      <c r="B26" s="201">
        <v>22</v>
      </c>
      <c r="C26" s="202" t="str">
        <f ca="1">IF($M26="","",INDEX('Item Purchases'!$B$4:$B$30,$M26))</f>
        <v>Nescafe original 240ml</v>
      </c>
      <c r="D26" s="202" t="str">
        <f ca="1">IF($M26="","",INDEX('Item Purchases'!$U$4:$U$30,$M26))</f>
        <v>Nestle</v>
      </c>
      <c r="E26" s="203" t="str">
        <f ca="1">IF($M26="","",INDEX('Item Purchases'!$M$4:$M$30,$M26))</f>
        <v>HEALTHY</v>
      </c>
      <c r="F26" s="201">
        <f ca="1">IF($M26="","",INDEX('Item Purchases'!$O$4:$O$30,$M26))</f>
        <v>1</v>
      </c>
      <c r="G26" s="201">
        <f ca="1">IF($M26="","",INDEX('Item Purchases'!$A$4:$A$30,$M26))</f>
        <v>24</v>
      </c>
      <c r="H26" s="204">
        <f ca="1">IF($M26="","",INDEX('Item Purchases'!$P$4:$P$30,$M26))</f>
        <v>24</v>
      </c>
      <c r="I26" s="205">
        <f ca="1">IF($M26="","",INDEX('Item Purchases'!$Q$4:$Q$30,$M26))</f>
        <v>2.1875</v>
      </c>
      <c r="J26" s="206">
        <f ca="1">IF($M26="","",INDEX('Item Purchases'!$R$4:$R$30,$M26))</f>
        <v>52.5</v>
      </c>
      <c r="K26" s="207">
        <f ca="1">IF($M26="","",INDEX('Item Purchases'!$I$4:$I$30,$M26))</f>
        <v>46325</v>
      </c>
      <c r="M26" s="171">
        <f ca="1">IFERROR(MATCH($B26,'Item Purchases'!$Y$4:$Y$30,0),"")</f>
        <v>15</v>
      </c>
    </row>
    <row r="27" spans="2:13" x14ac:dyDescent="0.25">
      <c r="B27" s="201">
        <v>23</v>
      </c>
      <c r="C27" s="202" t="str">
        <f ca="1">IF($M27="","",INDEX('Item Purchases'!$B$4:$B$30,$M27))</f>
        <v/>
      </c>
      <c r="D27" s="202" t="str">
        <f ca="1">IF($M27="","",INDEX('Item Purchases'!$U$4:$U$30,$M27))</f>
        <v/>
      </c>
      <c r="E27" s="203" t="str">
        <f ca="1">IF($M27="","",INDEX('Item Purchases'!$M$4:$M$30,$M27))</f>
        <v/>
      </c>
      <c r="F27" s="201" t="str">
        <f ca="1">IF($M27="","",INDEX('Item Purchases'!$O$4:$O$30,$M27))</f>
        <v/>
      </c>
      <c r="G27" s="201" t="str">
        <f ca="1">IF($M27="","",INDEX('Item Purchases'!$A$4:$A$30,$M27))</f>
        <v/>
      </c>
      <c r="H27" s="204" t="str">
        <f ca="1">IF($M27="","",INDEX('Item Purchases'!$P$4:$P$30,$M27))</f>
        <v/>
      </c>
      <c r="I27" s="205" t="str">
        <f ca="1">IF($M27="","",INDEX('Item Purchases'!$Q$4:$Q$30,$M27))</f>
        <v/>
      </c>
      <c r="J27" s="206" t="str">
        <f ca="1">IF($M27="","",INDEX('Item Purchases'!$R$4:$R$30,$M27))</f>
        <v/>
      </c>
      <c r="K27" s="207" t="str">
        <f ca="1">IF($M27="","",INDEX('Item Purchases'!$I$4:$I$30,$M27))</f>
        <v/>
      </c>
      <c r="M27" s="171" t="str">
        <f ca="1">IFERROR(MATCH($B27,'Item Purchases'!$Y$4:$Y$30,0),"")</f>
        <v/>
      </c>
    </row>
    <row r="28" spans="2:13" x14ac:dyDescent="0.25">
      <c r="B28" s="201">
        <v>24</v>
      </c>
      <c r="C28" s="202" t="str">
        <f ca="1">IF($M28="","",INDEX('Item Purchases'!$B$4:$B$30,$M28))</f>
        <v/>
      </c>
      <c r="D28" s="202" t="str">
        <f ca="1">IF($M28="","",INDEX('Item Purchases'!$U$4:$U$30,$M28))</f>
        <v/>
      </c>
      <c r="E28" s="203" t="str">
        <f ca="1">IF($M28="","",INDEX('Item Purchases'!$M$4:$M$30,$M28))</f>
        <v/>
      </c>
      <c r="F28" s="201" t="str">
        <f ca="1">IF($M28="","",INDEX('Item Purchases'!$O$4:$O$30,$M28))</f>
        <v/>
      </c>
      <c r="G28" s="201" t="str">
        <f ca="1">IF($M28="","",INDEX('Item Purchases'!$A$4:$A$30,$M28))</f>
        <v/>
      </c>
      <c r="H28" s="204" t="str">
        <f ca="1">IF($M28="","",INDEX('Item Purchases'!$P$4:$P$30,$M28))</f>
        <v/>
      </c>
      <c r="I28" s="205" t="str">
        <f ca="1">IF($M28="","",INDEX('Item Purchases'!$Q$4:$Q$30,$M28))</f>
        <v/>
      </c>
      <c r="J28" s="206" t="str">
        <f ca="1">IF($M28="","",INDEX('Item Purchases'!$R$4:$R$30,$M28))</f>
        <v/>
      </c>
      <c r="K28" s="207" t="str">
        <f ca="1">IF($M28="","",INDEX('Item Purchases'!$I$4:$I$30,$M28))</f>
        <v/>
      </c>
      <c r="M28" s="171" t="str">
        <f ca="1">IFERROR(MATCH($B28,'Item Purchases'!$Y$4:$Y$30,0),"")</f>
        <v/>
      </c>
    </row>
    <row r="29" spans="2:13" x14ac:dyDescent="0.25">
      <c r="B29" s="201">
        <v>25</v>
      </c>
      <c r="C29" s="202" t="str">
        <f ca="1">IF($M29="","",INDEX('Item Purchases'!$B$4:$B$30,$M29))</f>
        <v/>
      </c>
      <c r="D29" s="202" t="str">
        <f ca="1">IF($M29="","",INDEX('Item Purchases'!$U$4:$U$30,$M29))</f>
        <v/>
      </c>
      <c r="E29" s="203" t="str">
        <f ca="1">IF($M29="","",INDEX('Item Purchases'!$M$4:$M$30,$M29))</f>
        <v/>
      </c>
      <c r="F29" s="201" t="str">
        <f ca="1">IF($M29="","",INDEX('Item Purchases'!$O$4:$O$30,$M29))</f>
        <v/>
      </c>
      <c r="G29" s="201" t="str">
        <f ca="1">IF($M29="","",INDEX('Item Purchases'!$A$4:$A$30,$M29))</f>
        <v/>
      </c>
      <c r="H29" s="204" t="str">
        <f ca="1">IF($M29="","",INDEX('Item Purchases'!$P$4:$P$30,$M29))</f>
        <v/>
      </c>
      <c r="I29" s="205" t="str">
        <f ca="1">IF($M29="","",INDEX('Item Purchases'!$Q$4:$Q$30,$M29))</f>
        <v/>
      </c>
      <c r="J29" s="206" t="str">
        <f ca="1">IF($M29="","",INDEX('Item Purchases'!$R$4:$R$30,$M29))</f>
        <v/>
      </c>
      <c r="K29" s="207" t="str">
        <f ca="1">IF($M29="","",INDEX('Item Purchases'!$I$4:$I$30,$M29))</f>
        <v/>
      </c>
      <c r="M29" s="171" t="str">
        <f ca="1">IFERROR(MATCH($B29,'Item Purchases'!$Y$4:$Y$30,0),"")</f>
        <v/>
      </c>
    </row>
    <row r="30" spans="2:13" x14ac:dyDescent="0.25">
      <c r="B30" s="201">
        <v>26</v>
      </c>
      <c r="C30" s="202" t="str">
        <f ca="1">IF($M30="","",INDEX('Item Purchases'!$B$4:$B$30,$M30))</f>
        <v/>
      </c>
      <c r="D30" s="202" t="str">
        <f ca="1">IF($M30="","",INDEX('Item Purchases'!$U$4:$U$30,$M30))</f>
        <v/>
      </c>
      <c r="E30" s="203" t="str">
        <f ca="1">IF($M30="","",INDEX('Item Purchases'!$M$4:$M$30,$M30))</f>
        <v/>
      </c>
      <c r="F30" s="201" t="str">
        <f ca="1">IF($M30="","",INDEX('Item Purchases'!$O$4:$O$30,$M30))</f>
        <v/>
      </c>
      <c r="G30" s="201" t="str">
        <f ca="1">IF($M30="","",INDEX('Item Purchases'!$A$4:$A$30,$M30))</f>
        <v/>
      </c>
      <c r="H30" s="204" t="str">
        <f ca="1">IF($M30="","",INDEX('Item Purchases'!$P$4:$P$30,$M30))</f>
        <v/>
      </c>
      <c r="I30" s="205" t="str">
        <f ca="1">IF($M30="","",INDEX('Item Purchases'!$Q$4:$Q$30,$M30))</f>
        <v/>
      </c>
      <c r="J30" s="206" t="str">
        <f ca="1">IF($M30="","",INDEX('Item Purchases'!$R$4:$R$30,$M30))</f>
        <v/>
      </c>
      <c r="K30" s="207" t="str">
        <f ca="1">IF($M30="","",INDEX('Item Purchases'!$I$4:$I$30,$M30))</f>
        <v/>
      </c>
      <c r="M30" s="171" t="str">
        <f ca="1">IFERROR(MATCH($B30,'Item Purchases'!$Y$4:$Y$30,0),"")</f>
        <v/>
      </c>
    </row>
    <row r="31" spans="2:13" x14ac:dyDescent="0.25">
      <c r="B31" s="201">
        <v>27</v>
      </c>
      <c r="C31" s="202" t="str">
        <f ca="1">IF($M31="","",INDEX('Item Purchases'!$B$4:$B$30,$M31))</f>
        <v/>
      </c>
      <c r="D31" s="202" t="str">
        <f ca="1">IF($M31="","",INDEX('Item Purchases'!$U$4:$U$30,$M31))</f>
        <v/>
      </c>
      <c r="E31" s="203" t="str">
        <f ca="1">IF($M31="","",INDEX('Item Purchases'!$M$4:$M$30,$M31))</f>
        <v/>
      </c>
      <c r="F31" s="201" t="str">
        <f ca="1">IF($M31="","",INDEX('Item Purchases'!$O$4:$O$30,$M31))</f>
        <v/>
      </c>
      <c r="G31" s="201" t="str">
        <f ca="1">IF($M31="","",INDEX('Item Purchases'!$A$4:$A$30,$M31))</f>
        <v/>
      </c>
      <c r="H31" s="204" t="str">
        <f ca="1">IF($M31="","",INDEX('Item Purchases'!$P$4:$P$30,$M31))</f>
        <v/>
      </c>
      <c r="I31" s="205" t="str">
        <f ca="1">IF($M31="","",INDEX('Item Purchases'!$Q$4:$Q$30,$M31))</f>
        <v/>
      </c>
      <c r="J31" s="206" t="str">
        <f ca="1">IF($M31="","",INDEX('Item Purchases'!$R$4:$R$30,$M31))</f>
        <v/>
      </c>
      <c r="K31" s="207" t="str">
        <f ca="1">IF($M31="","",INDEX('Item Purchases'!$I$4:$I$30,$M31))</f>
        <v/>
      </c>
      <c r="M31" s="171" t="str">
        <f ca="1">IFERROR(MATCH($B31,'Item Purchases'!$Y$4:$Y$30,0),"")</f>
        <v/>
      </c>
    </row>
    <row r="32" spans="2:13" x14ac:dyDescent="0.25">
      <c r="C32" s="181" t="s">
        <v>266</v>
      </c>
      <c r="F32" s="208">
        <f ca="1">SUM(F5:F31)</f>
        <v>354</v>
      </c>
      <c r="H32" s="209">
        <f ca="1">SUM(H5:H31)</f>
        <v>4939</v>
      </c>
      <c r="J32" s="210">
        <f ca="1">SUM(J5:J31)</f>
        <v>9575.5180000000018</v>
      </c>
    </row>
    <row r="34" spans="2:2" x14ac:dyDescent="0.25">
      <c r="B34" s="175" t="s">
        <v>310</v>
      </c>
    </row>
  </sheetData>
  <conditionalFormatting sqref="E5:E31">
    <cfRule type="expression" dxfId="15" priority="1">
      <formula>$E5="OUT OF STOCK"</formula>
    </cfRule>
    <cfRule type="expression" dxfId="14" priority="2">
      <formula>$E5="CRITICAL"</formula>
    </cfRule>
    <cfRule type="expression" dxfId="13" priority="3">
      <formula>$E5="LOW"</formula>
    </cfRule>
    <cfRule type="expression" dxfId="12" priority="4">
      <formula>$E5="WATCH"</formula>
    </cfRule>
  </conditionalFormatting>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A5F"/>
    <pageSetUpPr fitToPage="1"/>
  </sheetPr>
  <dimension ref="A1:W66"/>
  <sheetViews>
    <sheetView showGridLines="0" workbookViewId="0">
      <pane xSplit="1" topLeftCell="B1" activePane="topRight" state="frozen"/>
      <selection pane="topRight" activeCell="S55" sqref="S55"/>
    </sheetView>
  </sheetViews>
  <sheetFormatPr defaultRowHeight="15" x14ac:dyDescent="0.25"/>
  <cols>
    <col min="1" max="1" width="58" customWidth="1"/>
    <col min="2" max="2" width="21" customWidth="1"/>
    <col min="3" max="4" width="13" customWidth="1"/>
    <col min="5" max="7" width="12" customWidth="1"/>
    <col min="8" max="11" width="11" customWidth="1"/>
    <col min="12" max="12" width="14" customWidth="1"/>
    <col min="13" max="13" width="13" customWidth="1"/>
    <col min="14" max="14" width="12" customWidth="1"/>
    <col min="15" max="15" width="10" customWidth="1"/>
    <col min="16" max="16" width="13" customWidth="1"/>
    <col min="17" max="18" width="12" customWidth="1"/>
    <col min="19" max="19" width="19" customWidth="1"/>
    <col min="20" max="20" width="16" customWidth="1"/>
    <col min="21" max="22" width="12" customWidth="1"/>
    <col min="23" max="23" width="11" customWidth="1"/>
  </cols>
  <sheetData>
    <row r="1" spans="1:5" ht="26.1" customHeight="1" x14ac:dyDescent="0.25">
      <c r="A1" s="317" t="s">
        <v>414</v>
      </c>
    </row>
    <row r="2" spans="1:5" x14ac:dyDescent="0.25">
      <c r="A2" s="327" t="s">
        <v>415</v>
      </c>
    </row>
    <row r="4" spans="1:5" x14ac:dyDescent="0.25">
      <c r="A4" s="318" t="s">
        <v>416</v>
      </c>
      <c r="B4" s="318" t="s">
        <v>417</v>
      </c>
      <c r="C4" s="318" t="s">
        <v>417</v>
      </c>
      <c r="D4" s="318" t="s">
        <v>417</v>
      </c>
      <c r="E4" s="318" t="s">
        <v>417</v>
      </c>
    </row>
    <row r="5" spans="1:5" ht="25.5" x14ac:dyDescent="0.25">
      <c r="A5" s="319" t="s">
        <v>418</v>
      </c>
      <c r="B5" s="319" t="s">
        <v>419</v>
      </c>
      <c r="C5" s="319" t="s">
        <v>420</v>
      </c>
      <c r="D5" s="319" t="s">
        <v>74</v>
      </c>
      <c r="E5" s="319" t="s">
        <v>421</v>
      </c>
    </row>
    <row r="6" spans="1:5" x14ac:dyDescent="0.25">
      <c r="A6" s="320" t="s">
        <v>422</v>
      </c>
      <c r="B6" s="323">
        <f>SUM('Daily Data'!$I$2:$I$1000)-'Item Purchases'!$T$31</f>
        <v>0</v>
      </c>
      <c r="C6" s="331" t="s">
        <v>423</v>
      </c>
      <c r="D6" s="328" t="str">
        <f>IF(ABS(B6)&lt;0.001,"PASS","FAIL")</f>
        <v>PASS</v>
      </c>
      <c r="E6" s="320" t="s">
        <v>424</v>
      </c>
    </row>
    <row r="7" spans="1:5" x14ac:dyDescent="0.25">
      <c r="A7" s="320" t="s">
        <v>425</v>
      </c>
      <c r="B7" s="321">
        <f>SUMPRODUCT(('Daily Data'!$E$2:$E$1000&lt;&gt;"")*(COUNTIF('Item Purchases'!$B$4:$B$30,'Daily Data'!$E$2:$E$1000)=0))</f>
        <v>0</v>
      </c>
      <c r="C7" s="331" t="s">
        <v>423</v>
      </c>
      <c r="D7" s="328" t="str">
        <f>IF(B7=0,"PASS","FAIL")</f>
        <v>PASS</v>
      </c>
      <c r="E7" s="320" t="s">
        <v>426</v>
      </c>
    </row>
    <row r="8" spans="1:5" x14ac:dyDescent="0.25">
      <c r="A8" s="320" t="s">
        <v>427</v>
      </c>
      <c r="B8" s="321">
        <f>COUNTIF('Daily Data'!$I$2:$I$1000,"&lt;0")</f>
        <v>0</v>
      </c>
      <c r="C8" s="331" t="s">
        <v>423</v>
      </c>
      <c r="D8" s="328" t="str">
        <f>IF(B8=0,"PASS","FAIL")</f>
        <v>PASS</v>
      </c>
      <c r="E8" s="320" t="s">
        <v>428</v>
      </c>
    </row>
    <row r="9" spans="1:5" x14ac:dyDescent="0.25">
      <c r="A9" s="320" t="s">
        <v>429</v>
      </c>
      <c r="B9" s="321">
        <f>SUMPRODUCT(('Item Purchases'!$B$4:$B$30&lt;&gt;"")*('Item Purchases'!$Q$4:$Q$30=0))</f>
        <v>0</v>
      </c>
      <c r="C9" s="331" t="s">
        <v>423</v>
      </c>
      <c r="D9" s="328" t="str">
        <f>IF(B9=0,"PASS","FAIL")</f>
        <v>PASS</v>
      </c>
      <c r="E9" s="320" t="s">
        <v>430</v>
      </c>
    </row>
    <row r="10" spans="1:5" x14ac:dyDescent="0.25">
      <c r="A10" s="320" t="s">
        <v>431</v>
      </c>
      <c r="B10" s="321">
        <f>COUNTIF('Daily Data'!$F$2:$F$1000,"Uncategorised")+COUNTIF('Daily Data'!$AG$2:$AG$1000,"Uncategorised")</f>
        <v>0</v>
      </c>
      <c r="C10" s="331" t="s">
        <v>423</v>
      </c>
      <c r="D10" s="328" t="str">
        <f>IF(B10=0,"PASS","FAIL")</f>
        <v>PASS</v>
      </c>
      <c r="E10" s="320" t="s">
        <v>432</v>
      </c>
    </row>
    <row r="11" spans="1:5" x14ac:dyDescent="0.25">
      <c r="A11" s="320" t="s">
        <v>433</v>
      </c>
      <c r="B11" s="321">
        <f>COUNTIF('Storehouse Replenishment Schedu'!$CU$4:$CU$30,"MISMATCH")</f>
        <v>0</v>
      </c>
      <c r="C11" s="331" t="s">
        <v>423</v>
      </c>
      <c r="D11" s="328" t="str">
        <f>IF(B11=0,"PASS","FAIL")</f>
        <v>PASS</v>
      </c>
      <c r="E11" s="320" t="s">
        <v>434</v>
      </c>
    </row>
    <row r="12" spans="1:5" x14ac:dyDescent="0.25">
      <c r="A12" s="320" t="s">
        <v>435</v>
      </c>
      <c r="B12" s="324">
        <f>IF(COUNTIF('Storehouse Replenishment Schedu'!$CU$4:$CU$30,"TALLY")+COUNTIF('Storehouse Replenishment Schedu'!$CU$4:$CU$30,"MISMATCH")=0,"n/a",COUNTIF('Storehouse Replenishment Schedu'!$CU$4:$CU$30,"TALLY")/(COUNTIF('Storehouse Replenishment Schedu'!$CU$4:$CU$30,"TALLY")+COUNTIF('Storehouse Replenishment Schedu'!$CU$4:$CU$30,"MISMATCH")))</f>
        <v>1</v>
      </c>
      <c r="C12" s="331" t="s">
        <v>436</v>
      </c>
      <c r="D12" s="328" t="str">
        <f>IF(ISNUMBER(B12),IF(B12&gt;=0.95,"PASS","FAIL"),"N/A")</f>
        <v>PASS</v>
      </c>
      <c r="E12" s="320" t="s">
        <v>437</v>
      </c>
    </row>
    <row r="13" spans="1:5" x14ac:dyDescent="0.25">
      <c r="A13" s="320" t="s">
        <v>438</v>
      </c>
      <c r="B13" s="321">
        <f>Dashboard!$B$9-(Dashboard!$D$9+Dashboard!$F$9+Dashboard!$H$9+Dashboard!$J$9+Dashboard!$L$9+Dashboard!$N$9)</f>
        <v>0</v>
      </c>
      <c r="C13" s="331" t="s">
        <v>423</v>
      </c>
      <c r="D13" s="328" t="str">
        <f>IF(B13=0,"PASS","FAIL")</f>
        <v>PASS</v>
      </c>
      <c r="E13" s="320" t="s">
        <v>439</v>
      </c>
    </row>
    <row r="14" spans="1:5" x14ac:dyDescent="0.25">
      <c r="A14" s="320" t="s">
        <v>440</v>
      </c>
      <c r="B14" s="321">
        <f>SUMPRODUCT(('Item Purchases'!$B$4:$B$30&lt;&gt;"")*('Item Purchases'!$V$4:$V$30&lt;MAX('Item Purchases'!$V$4:$V$30)))</f>
        <v>0</v>
      </c>
      <c r="C14" s="331" t="s">
        <v>423</v>
      </c>
      <c r="D14" s="328" t="str">
        <f>IF(B14=0,"PASS","FAIL")</f>
        <v>PASS</v>
      </c>
      <c r="E14" s="320" t="s">
        <v>441</v>
      </c>
    </row>
    <row r="15" spans="1:5" x14ac:dyDescent="0.25">
      <c r="A15" s="329" t="s">
        <v>442</v>
      </c>
      <c r="B15" s="328" t="str">
        <f>COUNTIF(D6:D14,"PASS")&amp;" of "&amp;(COUNTA(D6:D14)-COUNTIF(D6:D14,"N/A"))&amp;" checks passed"</f>
        <v>9 of 9 checks passed</v>
      </c>
      <c r="C15" s="331" t="s">
        <v>417</v>
      </c>
      <c r="D15" s="328" t="str">
        <f>IF(COUNTIF(D6:D14,"FAIL")=0,"ALL CLEAR",COUNTIF(D6:D14,"FAIL")&amp;" TO REVIEW")</f>
        <v>ALL CLEAR</v>
      </c>
      <c r="E15" s="320" t="s">
        <v>417</v>
      </c>
    </row>
    <row r="17" spans="1:23" x14ac:dyDescent="0.25">
      <c r="A17" s="318" t="s">
        <v>443</v>
      </c>
      <c r="B17" s="318" t="s">
        <v>417</v>
      </c>
      <c r="C17" s="318" t="s">
        <v>417</v>
      </c>
      <c r="D17" s="318" t="s">
        <v>417</v>
      </c>
      <c r="E17" s="318" t="s">
        <v>417</v>
      </c>
    </row>
    <row r="18" spans="1:23" x14ac:dyDescent="0.25">
      <c r="A18" s="320" t="s">
        <v>444</v>
      </c>
      <c r="B18" s="326">
        <v>0.7</v>
      </c>
    </row>
    <row r="19" spans="1:23" x14ac:dyDescent="0.25">
      <c r="A19" s="320" t="s">
        <v>445</v>
      </c>
      <c r="B19" s="325">
        <v>6</v>
      </c>
    </row>
    <row r="20" spans="1:23" x14ac:dyDescent="0.25">
      <c r="A20" s="320" t="s">
        <v>446</v>
      </c>
      <c r="B20" s="325">
        <v>3</v>
      </c>
    </row>
    <row r="21" spans="1:23" x14ac:dyDescent="0.25">
      <c r="A21" s="320" t="s">
        <v>447</v>
      </c>
      <c r="B21" s="325">
        <v>4</v>
      </c>
    </row>
    <row r="22" spans="1:23" x14ac:dyDescent="0.25">
      <c r="A22" s="320" t="s">
        <v>448</v>
      </c>
      <c r="B22" s="326">
        <v>0.2</v>
      </c>
    </row>
    <row r="23" spans="1:23" x14ac:dyDescent="0.25">
      <c r="A23" s="320" t="s">
        <v>449</v>
      </c>
      <c r="B23" s="326">
        <v>0.4</v>
      </c>
    </row>
    <row r="24" spans="1:23" x14ac:dyDescent="0.25">
      <c r="A24" s="320" t="s">
        <v>450</v>
      </c>
      <c r="B24" s="330">
        <f>'Item Purchases'!$E$52</f>
        <v>0.95</v>
      </c>
    </row>
    <row r="26" spans="1:23" x14ac:dyDescent="0.25">
      <c r="A26" s="318" t="s">
        <v>451</v>
      </c>
      <c r="B26" s="318" t="s">
        <v>417</v>
      </c>
      <c r="C26" s="318" t="s">
        <v>417</v>
      </c>
      <c r="D26" s="318" t="s">
        <v>417</v>
      </c>
      <c r="E26" s="318" t="s">
        <v>417</v>
      </c>
      <c r="F26" s="318" t="s">
        <v>417</v>
      </c>
      <c r="G26" s="318" t="s">
        <v>417</v>
      </c>
      <c r="H26" s="318" t="s">
        <v>417</v>
      </c>
      <c r="I26" s="318" t="s">
        <v>417</v>
      </c>
      <c r="J26" s="318" t="s">
        <v>417</v>
      </c>
      <c r="K26" s="318" t="s">
        <v>417</v>
      </c>
      <c r="L26" s="318" t="s">
        <v>417</v>
      </c>
      <c r="M26" s="318" t="s">
        <v>417</v>
      </c>
      <c r="N26" s="318" t="s">
        <v>417</v>
      </c>
      <c r="O26" s="318" t="s">
        <v>417</v>
      </c>
      <c r="P26" s="318" t="s">
        <v>417</v>
      </c>
      <c r="Q26" s="318" t="s">
        <v>417</v>
      </c>
      <c r="R26" s="318" t="s">
        <v>417</v>
      </c>
      <c r="S26" s="318" t="s">
        <v>417</v>
      </c>
      <c r="T26" s="318" t="s">
        <v>417</v>
      </c>
      <c r="U26" s="318" t="s">
        <v>417</v>
      </c>
      <c r="V26" s="318" t="s">
        <v>417</v>
      </c>
      <c r="W26" s="318" t="s">
        <v>417</v>
      </c>
    </row>
    <row r="27" spans="1:23" ht="45" customHeight="1" x14ac:dyDescent="0.25">
      <c r="A27" s="319" t="s">
        <v>37</v>
      </c>
      <c r="B27" s="319" t="s">
        <v>452</v>
      </c>
      <c r="C27" s="319" t="s">
        <v>357</v>
      </c>
      <c r="D27" s="319" t="s">
        <v>453</v>
      </c>
      <c r="E27" s="319" t="s">
        <v>454</v>
      </c>
      <c r="F27" s="319" t="s">
        <v>455</v>
      </c>
      <c r="G27" s="319" t="s">
        <v>456</v>
      </c>
      <c r="H27" s="319" t="s">
        <v>457</v>
      </c>
      <c r="I27" s="319" t="s">
        <v>458</v>
      </c>
      <c r="J27" s="319" t="s">
        <v>459</v>
      </c>
      <c r="K27" s="319" t="s">
        <v>460</v>
      </c>
      <c r="L27" s="319" t="s">
        <v>461</v>
      </c>
      <c r="M27" s="319" t="s">
        <v>462</v>
      </c>
      <c r="N27" s="319" t="s">
        <v>463</v>
      </c>
      <c r="O27" s="319" t="s">
        <v>464</v>
      </c>
      <c r="P27" s="319" t="s">
        <v>465</v>
      </c>
      <c r="Q27" s="319" t="s">
        <v>466</v>
      </c>
      <c r="R27" s="319" t="s">
        <v>467</v>
      </c>
      <c r="S27" s="319" t="s">
        <v>468</v>
      </c>
      <c r="T27" s="319" t="s">
        <v>469</v>
      </c>
      <c r="U27" s="319" t="s">
        <v>470</v>
      </c>
      <c r="V27" s="319" t="s">
        <v>471</v>
      </c>
      <c r="W27" s="319" t="s">
        <v>472</v>
      </c>
    </row>
    <row r="28" spans="1:23" x14ac:dyDescent="0.25">
      <c r="A28" s="320" t="str">
        <f>IF('Item Purchases'!$B4="","",'Item Purchases'!$B4)</f>
        <v>Julie's Peanut Butter Sandwich 360g (12pkts x 30g)</v>
      </c>
      <c r="B28" s="321">
        <f>IF($A28="","",COUNTIFS('Daily Data'!$E$2:$E$1000,$A28,'Daily Data'!$L$2:$L$1000,1))</f>
        <v>22</v>
      </c>
      <c r="C28" s="323">
        <f>IF($A28="","",N('Item Purchases'!$C4))</f>
        <v>8.954545454545455</v>
      </c>
      <c r="D28" s="323">
        <f>IF($A28="","",N('Item Purchases'!$AD4))</f>
        <v>4.990250234466945</v>
      </c>
      <c r="E28" s="323">
        <f t="shared" ref="E28:E54" si="0">IF(OR($A28="",$W28&lt;2,$C28&lt;=0),"",MAX(0,$C28-TINV(0.05,$W28-1)*$D28/SQRT($W28)))</f>
        <v>6.7419924512177332</v>
      </c>
      <c r="F28" s="323">
        <f t="shared" ref="F28:F54" si="1">IF(OR($A28="",$W28&lt;2,$C28&lt;=0),"",$C28+TINV(0.05,$W28-1)*$D28/SQRT($W28))</f>
        <v>11.167098457873177</v>
      </c>
      <c r="G28" s="324">
        <f t="shared" ref="G28:G54" si="2">IF(OR($A28="",$W28&lt;2,$C28&lt;=0),"",TINV(0.05,$W28-1)*$D28/SQRT($W28)/$C28)</f>
        <v>0.24708713742746136</v>
      </c>
      <c r="H28" s="321">
        <f>IF(OR($A28="",$C28&lt;=0,$D28&lt;=0),"",SUMPRODUCT(('Daily Data'!$E$2:$E$1000=$A28)*('Daily Data'!$AJ$2:$AJ$1000=1)*(ABS('Daily Data'!$AI$2:$AI$1000-$C28)&gt;$B$20*$D28)))</f>
        <v>0</v>
      </c>
      <c r="I28" s="321">
        <f>IF($A28="","",COUNTIFS('Daily Data'!$E$2:$E$1000,$A28,'Daily Data'!$I$2:$I$1000,"&lt;0"))</f>
        <v>0</v>
      </c>
      <c r="J28" s="321">
        <f t="shared" ref="J28:J54" si="3">IF(OR($A28="",$B28&lt;$B$19),"",MAX(1,MIN($B28-1,ROUND($B28*$B$18,0))))</f>
        <v>15</v>
      </c>
      <c r="K28" s="321">
        <f>IF($J28="","",COUNTIFS('Daily Data'!$E$2:$E$1000,$A28,'Daily Data'!$AH$2:$AH$1000,"&gt;"&amp;$J28,'Daily Data'!$AJ$2:$AJ$1000,1))</f>
        <v>7</v>
      </c>
      <c r="L28" s="323">
        <f>IF(OR($J28="",N($K28)=0),"",IFERROR(SUMIFS('Daily Data'!$AI$2:$AI$1000,'Daily Data'!$E$2:$E$1000,$A28,'Daily Data'!$AH$2:$AH$1000,"&lt;="&amp;$J28,'Daily Data'!$AH$2:$AH$1000,"&gt;0")/COUNTIFS('Daily Data'!$E$2:$E$1000,$A28,'Daily Data'!$AH$2:$AH$1000,"&lt;="&amp;$J28,'Daily Data'!$AH$2:$AH$1000,"&gt;0",'Daily Data'!$AJ$2:$AJ$1000,1),0))</f>
        <v>9.6</v>
      </c>
      <c r="M28" s="323">
        <f>IF(OR($J28="",N($K28)=0),"",SUMIFS('Daily Data'!$AI$2:$AI$1000,'Daily Data'!$E$2:$E$1000,$A28,'Daily Data'!$AH$2:$AH$1000,"&gt;"&amp;$J28,'Daily Data'!$AJ$2:$AJ$1000,1)/$K28)</f>
        <v>7.5714285714285712</v>
      </c>
      <c r="N28" s="323">
        <f>IF(OR($J28="",N($K28)=0),"",SUMPRODUCT(('Daily Data'!$E$2:$E$1000=$A28)*('Daily Data'!$AH$2:$AH$1000&gt;$J28)*('Daily Data'!$AJ$2:$AJ$1000=1)*ABS('Daily Data'!$AI$2:$AI$1000-$L28))/$K28)</f>
        <v>2.6571428571428575</v>
      </c>
      <c r="O28" s="324">
        <f t="shared" ref="O28:O54" si="4">IF(OR($J28="",N($K28)=0),"",IF($M28&gt;0,$N28/$M28,IF($N28=0,0,"")))</f>
        <v>0.35094339622641513</v>
      </c>
      <c r="P28" s="323">
        <f t="shared" ref="P28:P54" si="5">IF(OR($J28="",N($K28)=0),"",$L28-$M28)</f>
        <v>2.0285714285714285</v>
      </c>
      <c r="Q28" s="322">
        <f t="shared" ref="Q28:Q54" si="6">IF(OR($J28="",N($K28)=0),"",IF($N28&gt;0,$K28*($M28-$L28)/$N28,0))</f>
        <v>-5.3440860215053752</v>
      </c>
      <c r="R28" s="324">
        <f t="shared" ref="R28:R54" si="7">IF($A28="","",IF($B28=0,"",$W28/$B28))</f>
        <v>1</v>
      </c>
      <c r="S28" s="328" t="str">
        <f t="shared" ref="S28:S54" si="8">IF($A28="","",IF($C28&lt;=0,"NO USAGE",IF(OR($J28="",N($K28)=0),"NEED MORE DATA",IF(ABS($Q28)&gt;$B$21,"DRIFTING",IF($O28="","POOR",IF($O28&lt;=$B$22,"GOOD",IF($O28&lt;=$B$23,"ACCEPTABLE","POOR")))))))</f>
        <v>DRIFTING</v>
      </c>
      <c r="T28" s="328" t="str">
        <f t="shared" ref="T28:T54" si="9">IF(OR($A28="",$R28=""),"",IF($C28&lt;=0,"-",IF($R28&gt;=$B$24,"OK","BELOW TARGET")))</f>
        <v>OK</v>
      </c>
      <c r="U28" s="323">
        <f t="shared" ref="U28:U54" si="10">IF(OR($J28="",N($K28)=0),"",$N28*$K28)</f>
        <v>18.600000000000001</v>
      </c>
      <c r="V28" s="323">
        <f t="shared" ref="V28:V54" si="11">IF(OR($J28="",N($K28)=0),"",$M28*$K28)</f>
        <v>53</v>
      </c>
      <c r="W28" s="321">
        <f>IF($A28="","",SUMIFS('Daily Data'!$AJ$2:$AJ$1000,'Daily Data'!$E$2:$E$1000,$A28))</f>
        <v>22</v>
      </c>
    </row>
    <row r="29" spans="1:23" x14ac:dyDescent="0.25">
      <c r="A29" s="320" t="str">
        <f>IF('Item Purchases'!$B5="","",'Item Purchases'!$B5)</f>
        <v>Julies Butter Waffles</v>
      </c>
      <c r="B29" s="321">
        <f>IF($A29="","",COUNTIFS('Daily Data'!$E$2:$E$1000,$A29,'Daily Data'!$L$2:$L$1000,1))</f>
        <v>22</v>
      </c>
      <c r="C29" s="323">
        <f>IF($A29="","",N('Item Purchases'!$C5))</f>
        <v>1.6842105263157894</v>
      </c>
      <c r="D29" s="323">
        <f>IF($A29="","",N('Item Purchases'!$AD5))</f>
        <v>1.6771599497591227</v>
      </c>
      <c r="E29" s="323">
        <f t="shared" si="0"/>
        <v>0.87584530631453483</v>
      </c>
      <c r="F29" s="323">
        <f t="shared" si="1"/>
        <v>2.4925757463170441</v>
      </c>
      <c r="G29" s="324">
        <f t="shared" si="2"/>
        <v>0.47996684937574491</v>
      </c>
      <c r="H29" s="321">
        <f>IF(OR($A29="",$C29&lt;=0,$D29&lt;=0),"",SUMPRODUCT(('Daily Data'!$E$2:$E$1000=$A29)*('Daily Data'!$AJ$2:$AJ$1000=1)*(ABS('Daily Data'!$AI$2:$AI$1000-$C29)&gt;$B$20*$D29)))</f>
        <v>0</v>
      </c>
      <c r="I29" s="321">
        <f>IF($A29="","",COUNTIFS('Daily Data'!$E$2:$E$1000,$A29,'Daily Data'!$I$2:$I$1000,"&lt;0"))</f>
        <v>0</v>
      </c>
      <c r="J29" s="321">
        <f t="shared" si="3"/>
        <v>15</v>
      </c>
      <c r="K29" s="321">
        <f>IF($J29="","",COUNTIFS('Daily Data'!$E$2:$E$1000,$A29,'Daily Data'!$AH$2:$AH$1000,"&gt;"&amp;$J29,'Daily Data'!$AJ$2:$AJ$1000,1))</f>
        <v>4</v>
      </c>
      <c r="L29" s="323">
        <f>IF(OR($J29="",N($K29)=0),"",IFERROR(SUMIFS('Daily Data'!$AI$2:$AI$1000,'Daily Data'!$E$2:$E$1000,$A29,'Daily Data'!$AH$2:$AH$1000,"&lt;="&amp;$J29,'Daily Data'!$AH$2:$AH$1000,"&gt;0")/COUNTIFS('Daily Data'!$E$2:$E$1000,$A29,'Daily Data'!$AH$2:$AH$1000,"&lt;="&amp;$J29,'Daily Data'!$AH$2:$AH$1000,"&gt;0",'Daily Data'!$AJ$2:$AJ$1000,1),0))</f>
        <v>1.4666666666666666</v>
      </c>
      <c r="M29" s="323">
        <f>IF(OR($J29="",N($K29)=0),"",SUMIFS('Daily Data'!$AI$2:$AI$1000,'Daily Data'!$E$2:$E$1000,$A29,'Daily Data'!$AH$2:$AH$1000,"&gt;"&amp;$J29,'Daily Data'!$AJ$2:$AJ$1000,1)/$K29)</f>
        <v>1.25</v>
      </c>
      <c r="N29" s="323">
        <f>IF(OR($J29="",N($K29)=0),"",SUMPRODUCT(('Daily Data'!$E$2:$E$1000=$A29)*('Daily Data'!$AH$2:$AH$1000&gt;$J29)*('Daily Data'!$AJ$2:$AJ$1000=1)*ABS('Daily Data'!$AI$2:$AI$1000-$L29))/$K29)</f>
        <v>0.48333333333333328</v>
      </c>
      <c r="O29" s="324">
        <f t="shared" si="4"/>
        <v>0.3866666666666666</v>
      </c>
      <c r="P29" s="323">
        <f t="shared" si="5"/>
        <v>0.21666666666666656</v>
      </c>
      <c r="Q29" s="322">
        <f t="shared" si="6"/>
        <v>-1.7931034482758614</v>
      </c>
      <c r="R29" s="324">
        <f t="shared" si="7"/>
        <v>0.86363636363636365</v>
      </c>
      <c r="S29" s="328" t="str">
        <f t="shared" si="8"/>
        <v>ACCEPTABLE</v>
      </c>
      <c r="T29" s="328" t="str">
        <f t="shared" si="9"/>
        <v>BELOW TARGET</v>
      </c>
      <c r="U29" s="323">
        <f t="shared" si="10"/>
        <v>1.9333333333333331</v>
      </c>
      <c r="V29" s="323">
        <f t="shared" si="11"/>
        <v>5</v>
      </c>
      <c r="W29" s="321">
        <f>IF($A29="","",SUMIFS('Daily Data'!$AJ$2:$AJ$1000,'Daily Data'!$E$2:$E$1000,$A29))</f>
        <v>19</v>
      </c>
    </row>
    <row r="30" spans="1:23" x14ac:dyDescent="0.25">
      <c r="A30" s="320" t="str">
        <f>IF('Item Purchases'!$B6="","",'Item Purchases'!$B6)</f>
        <v>Julies Choco More Sandwich (44G)</v>
      </c>
      <c r="B30" s="321">
        <f>IF($A30="","",COUNTIFS('Daily Data'!$E$2:$E$1000,$A30,'Daily Data'!$L$2:$L$1000,1))</f>
        <v>22</v>
      </c>
      <c r="C30" s="323">
        <f>IF($A30="","",N('Item Purchases'!$C6))</f>
        <v>10</v>
      </c>
      <c r="D30" s="323">
        <f>IF($A30="","",N('Item Purchases'!$AD6))</f>
        <v>7.7316090031621343</v>
      </c>
      <c r="E30" s="323">
        <f t="shared" si="0"/>
        <v>4.4691401053230004</v>
      </c>
      <c r="F30" s="323">
        <f t="shared" si="1"/>
        <v>15.530859894677</v>
      </c>
      <c r="G30" s="324">
        <f t="shared" si="2"/>
        <v>0.55308598946769993</v>
      </c>
      <c r="H30" s="321">
        <f>IF(OR($A30="",$C30&lt;=0,$D30&lt;=0),"",SUMPRODUCT(('Daily Data'!$E$2:$E$1000=$A30)*('Daily Data'!$AJ$2:$AJ$1000=1)*(ABS('Daily Data'!$AI$2:$AI$1000-$C30)&gt;$B$20*$D30)))</f>
        <v>0</v>
      </c>
      <c r="I30" s="321">
        <f>IF($A30="","",COUNTIFS('Daily Data'!$E$2:$E$1000,$A30,'Daily Data'!$I$2:$I$1000,"&lt;0"))</f>
        <v>0</v>
      </c>
      <c r="J30" s="321">
        <f t="shared" si="3"/>
        <v>15</v>
      </c>
      <c r="K30" s="321">
        <f>IF($J30="","",COUNTIFS('Daily Data'!$E$2:$E$1000,$A30,'Daily Data'!$AH$2:$AH$1000,"&gt;"&amp;$J30,'Daily Data'!$AJ$2:$AJ$1000,1))</f>
        <v>7</v>
      </c>
      <c r="L30" s="323">
        <f>IF(OR($J30="",N($K30)=0),"",IFERROR(SUMIFS('Daily Data'!$AI$2:$AI$1000,'Daily Data'!$E$2:$E$1000,$A30,'Daily Data'!$AH$2:$AH$1000,"&lt;="&amp;$J30,'Daily Data'!$AH$2:$AH$1000,"&gt;0")/COUNTIFS('Daily Data'!$E$2:$E$1000,$A30,'Daily Data'!$AH$2:$AH$1000,"&lt;="&amp;$J30,'Daily Data'!$AH$2:$AH$1000,"&gt;0",'Daily Data'!$AJ$2:$AJ$1000,1),0))</f>
        <v>10.666666666666666</v>
      </c>
      <c r="M30" s="323">
        <f>IF(OR($J30="",N($K30)=0),"",SUMIFS('Daily Data'!$AI$2:$AI$1000,'Daily Data'!$E$2:$E$1000,$A30,'Daily Data'!$AH$2:$AH$1000,"&gt;"&amp;$J30,'Daily Data'!$AJ$2:$AJ$1000,1)/$K30)</f>
        <v>9.7142857142857135</v>
      </c>
      <c r="N30" s="323">
        <f>IF(OR($J30="",N($K30)=0),"",SUMPRODUCT(('Daily Data'!$E$2:$E$1000=$A30)*('Daily Data'!$AH$2:$AH$1000&gt;$J30)*('Daily Data'!$AJ$2:$AJ$1000=1)*ABS('Daily Data'!$AI$2:$AI$1000-$L30))/$K30)</f>
        <v>4.7619047619047619</v>
      </c>
      <c r="O30" s="324">
        <f t="shared" si="4"/>
        <v>0.49019607843137258</v>
      </c>
      <c r="P30" s="323">
        <f t="shared" si="5"/>
        <v>0.95238095238095255</v>
      </c>
      <c r="Q30" s="322">
        <f t="shared" si="6"/>
        <v>-1.4000000000000004</v>
      </c>
      <c r="R30" s="324">
        <f t="shared" si="7"/>
        <v>0.45454545454545453</v>
      </c>
      <c r="S30" s="328" t="str">
        <f t="shared" si="8"/>
        <v>POOR</v>
      </c>
      <c r="T30" s="328" t="str">
        <f t="shared" si="9"/>
        <v>BELOW TARGET</v>
      </c>
      <c r="U30" s="323">
        <f t="shared" si="10"/>
        <v>33.333333333333336</v>
      </c>
      <c r="V30" s="323">
        <f t="shared" si="11"/>
        <v>68</v>
      </c>
      <c r="W30" s="321">
        <f>IF($A30="","",SUMIFS('Daily Data'!$AJ$2:$AJ$1000,'Daily Data'!$E$2:$E$1000,$A30))</f>
        <v>10</v>
      </c>
    </row>
    <row r="31" spans="1:23" x14ac:dyDescent="0.25">
      <c r="A31" s="320" t="str">
        <f>IF('Item Purchases'!$B7="","",'Item Purchases'!$B7)</f>
        <v>Julies Cheese Sandwich (28G)</v>
      </c>
      <c r="B31" s="321">
        <f>IF($A31="","",COUNTIFS('Daily Data'!$E$2:$E$1000,$A31,'Daily Data'!$L$2:$L$1000,1))</f>
        <v>22</v>
      </c>
      <c r="C31" s="323">
        <f>IF($A31="","",N('Item Purchases'!$C7))</f>
        <v>6.45</v>
      </c>
      <c r="D31" s="323">
        <f>IF($A31="","",N('Item Purchases'!$AD7))</f>
        <v>3.7682887362833539</v>
      </c>
      <c r="E31" s="323">
        <f t="shared" si="0"/>
        <v>4.686386583869476</v>
      </c>
      <c r="F31" s="323">
        <f t="shared" si="1"/>
        <v>8.2136134161305243</v>
      </c>
      <c r="G31" s="324">
        <f t="shared" si="2"/>
        <v>0.27342843660938354</v>
      </c>
      <c r="H31" s="321">
        <f>IF(OR($A31="",$C31&lt;=0,$D31&lt;=0),"",SUMPRODUCT(('Daily Data'!$E$2:$E$1000=$A31)*('Daily Data'!$AJ$2:$AJ$1000=1)*(ABS('Daily Data'!$AI$2:$AI$1000-$C31)&gt;$B$20*$D31)))</f>
        <v>0</v>
      </c>
      <c r="I31" s="321">
        <f>IF($A31="","",COUNTIFS('Daily Data'!$E$2:$E$1000,$A31,'Daily Data'!$I$2:$I$1000,"&lt;0"))</f>
        <v>0</v>
      </c>
      <c r="J31" s="321">
        <f t="shared" si="3"/>
        <v>15</v>
      </c>
      <c r="K31" s="321">
        <f>IF($J31="","",COUNTIFS('Daily Data'!$E$2:$E$1000,$A31,'Daily Data'!$AH$2:$AH$1000,"&gt;"&amp;$J31,'Daily Data'!$AJ$2:$AJ$1000,1))</f>
        <v>5</v>
      </c>
      <c r="L31" s="323">
        <f>IF(OR($J31="",N($K31)=0),"",IFERROR(SUMIFS('Daily Data'!$AI$2:$AI$1000,'Daily Data'!$E$2:$E$1000,$A31,'Daily Data'!$AH$2:$AH$1000,"&lt;="&amp;$J31,'Daily Data'!$AH$2:$AH$1000,"&gt;0")/COUNTIFS('Daily Data'!$E$2:$E$1000,$A31,'Daily Data'!$AH$2:$AH$1000,"&lt;="&amp;$J31,'Daily Data'!$AH$2:$AH$1000,"&gt;0",'Daily Data'!$AJ$2:$AJ$1000,1),0))</f>
        <v>5.9333333333333336</v>
      </c>
      <c r="M31" s="323">
        <f>IF(OR($J31="",N($K31)=0),"",SUMIFS('Daily Data'!$AI$2:$AI$1000,'Daily Data'!$E$2:$E$1000,$A31,'Daily Data'!$AH$2:$AH$1000,"&gt;"&amp;$J31,'Daily Data'!$AJ$2:$AJ$1000,1)/$K31)</f>
        <v>6.6</v>
      </c>
      <c r="N31" s="323">
        <f>IF(OR($J31="",N($K31)=0),"",SUMPRODUCT(('Daily Data'!$E$2:$E$1000=$A31)*('Daily Data'!$AH$2:$AH$1000&gt;$J31)*('Daily Data'!$AJ$2:$AJ$1000=1)*ABS('Daily Data'!$AI$2:$AI$1000-$L31))/$K31)</f>
        <v>4.1866666666666665</v>
      </c>
      <c r="O31" s="324">
        <f t="shared" si="4"/>
        <v>0.63434343434343432</v>
      </c>
      <c r="P31" s="323">
        <f t="shared" si="5"/>
        <v>-0.66666666666666607</v>
      </c>
      <c r="Q31" s="322">
        <f t="shared" si="6"/>
        <v>0.79617834394904385</v>
      </c>
      <c r="R31" s="324">
        <f t="shared" si="7"/>
        <v>0.90909090909090906</v>
      </c>
      <c r="S31" s="328" t="str">
        <f t="shared" si="8"/>
        <v>POOR</v>
      </c>
      <c r="T31" s="328" t="str">
        <f t="shared" si="9"/>
        <v>BELOW TARGET</v>
      </c>
      <c r="U31" s="323">
        <f t="shared" si="10"/>
        <v>20.933333333333334</v>
      </c>
      <c r="V31" s="323">
        <f t="shared" si="11"/>
        <v>33</v>
      </c>
      <c r="W31" s="321">
        <f>IF($A31="","",SUMIFS('Daily Data'!$AJ$2:$AJ$1000,'Daily Data'!$E$2:$E$1000,$A31))</f>
        <v>20</v>
      </c>
    </row>
    <row r="32" spans="1:23" x14ac:dyDescent="0.25">
      <c r="A32" s="320" t="str">
        <f>IF('Item Purchases'!$B8="","",'Item Purchases'!$B8)</f>
        <v>NV OATS &amp; DARK CHOC 42GX5</v>
      </c>
      <c r="B32" s="321">
        <f>IF($A32="","",COUNTIFS('Daily Data'!$E$2:$E$1000,$A32,'Daily Data'!$L$2:$L$1000,1))</f>
        <v>22</v>
      </c>
      <c r="C32" s="323">
        <f>IF($A32="","",N('Item Purchases'!$C8))</f>
        <v>5.5</v>
      </c>
      <c r="D32" s="323">
        <f>IF($A32="","",N('Item Purchases'!$AD8))</f>
        <v>2.1213203435596424</v>
      </c>
      <c r="E32" s="323">
        <f t="shared" si="0"/>
        <v>0</v>
      </c>
      <c r="F32" s="323">
        <f t="shared" si="1"/>
        <v>24.559307104262057</v>
      </c>
      <c r="G32" s="324">
        <f t="shared" si="2"/>
        <v>3.465328564411283</v>
      </c>
      <c r="H32" s="321">
        <f>IF(OR($A32="",$C32&lt;=0,$D32&lt;=0),"",SUMPRODUCT(('Daily Data'!$E$2:$E$1000=$A32)*('Daily Data'!$AJ$2:$AJ$1000=1)*(ABS('Daily Data'!$AI$2:$AI$1000-$C32)&gt;$B$20*$D32)))</f>
        <v>0</v>
      </c>
      <c r="I32" s="321">
        <f>IF($A32="","",COUNTIFS('Daily Data'!$E$2:$E$1000,$A32,'Daily Data'!$I$2:$I$1000,"&lt;0"))</f>
        <v>0</v>
      </c>
      <c r="J32" s="321">
        <f t="shared" si="3"/>
        <v>15</v>
      </c>
      <c r="K32" s="321">
        <f>IF($J32="","",COUNTIFS('Daily Data'!$E$2:$E$1000,$A32,'Daily Data'!$AH$2:$AH$1000,"&gt;"&amp;$J32,'Daily Data'!$AJ$2:$AJ$1000,1))</f>
        <v>0</v>
      </c>
      <c r="L32" s="323" t="str">
        <f>IF(OR($J32="",N($K32)=0),"",IFERROR(SUMIFS('Daily Data'!$AI$2:$AI$1000,'Daily Data'!$E$2:$E$1000,$A32,'Daily Data'!$AH$2:$AH$1000,"&lt;="&amp;$J32,'Daily Data'!$AH$2:$AH$1000,"&gt;0")/COUNTIFS('Daily Data'!$E$2:$E$1000,$A32,'Daily Data'!$AH$2:$AH$1000,"&lt;="&amp;$J32,'Daily Data'!$AH$2:$AH$1000,"&gt;0",'Daily Data'!$AJ$2:$AJ$1000,1),0))</f>
        <v/>
      </c>
      <c r="M32" s="323" t="str">
        <f>IF(OR($J32="",N($K32)=0),"",SUMIFS('Daily Data'!$AI$2:$AI$1000,'Daily Data'!$E$2:$E$1000,$A32,'Daily Data'!$AH$2:$AH$1000,"&gt;"&amp;$J32,'Daily Data'!$AJ$2:$AJ$1000,1)/$K32)</f>
        <v/>
      </c>
      <c r="N32" s="323" t="str">
        <f>IF(OR($J32="",N($K32)=0),"",SUMPRODUCT(('Daily Data'!$E$2:$E$1000=$A32)*('Daily Data'!$AH$2:$AH$1000&gt;$J32)*('Daily Data'!$AJ$2:$AJ$1000=1)*ABS('Daily Data'!$AI$2:$AI$1000-$L32))/$K32)</f>
        <v/>
      </c>
      <c r="O32" s="324" t="str">
        <f t="shared" si="4"/>
        <v/>
      </c>
      <c r="P32" s="323" t="str">
        <f t="shared" si="5"/>
        <v/>
      </c>
      <c r="Q32" s="322" t="str">
        <f t="shared" si="6"/>
        <v/>
      </c>
      <c r="R32" s="324">
        <f t="shared" si="7"/>
        <v>9.0909090909090912E-2</v>
      </c>
      <c r="S32" s="328" t="str">
        <f t="shared" si="8"/>
        <v>NEED MORE DATA</v>
      </c>
      <c r="T32" s="328" t="str">
        <f t="shared" si="9"/>
        <v>BELOW TARGET</v>
      </c>
      <c r="U32" s="323" t="str">
        <f t="shared" si="10"/>
        <v/>
      </c>
      <c r="V32" s="323" t="str">
        <f t="shared" si="11"/>
        <v/>
      </c>
      <c r="W32" s="321">
        <f>IF($A32="","",SUMIFS('Daily Data'!$AJ$2:$AJ$1000,'Daily Data'!$E$2:$E$1000,$A32))</f>
        <v>2</v>
      </c>
    </row>
    <row r="33" spans="1:23" x14ac:dyDescent="0.25">
      <c r="A33" s="320" t="str">
        <f>IF('Item Purchases'!$B9="","",'Item Purchases'!$B9)</f>
        <v xml:space="preserve">NV PROTEIN - SALTED CARAMEL 40G </v>
      </c>
      <c r="B33" s="321">
        <f>IF($A33="","",COUNTIFS('Daily Data'!$E$2:$E$1000,$A33,'Daily Data'!$L$2:$L$1000,1))</f>
        <v>22</v>
      </c>
      <c r="C33" s="323">
        <f>IF($A33="","",N('Item Purchases'!$C9))</f>
        <v>0</v>
      </c>
      <c r="D33" s="323">
        <f>IF($A33="","",N('Item Purchases'!$AD9))</f>
        <v>0</v>
      </c>
      <c r="E33" s="323" t="str">
        <f t="shared" si="0"/>
        <v/>
      </c>
      <c r="F33" s="323" t="str">
        <f t="shared" si="1"/>
        <v/>
      </c>
      <c r="G33" s="324" t="str">
        <f t="shared" si="2"/>
        <v/>
      </c>
      <c r="H33" s="321" t="str">
        <f>IF(OR($A33="",$C33&lt;=0,$D33&lt;=0),"",SUMPRODUCT(('Daily Data'!$E$2:$E$1000=$A33)*('Daily Data'!$AJ$2:$AJ$1000=1)*(ABS('Daily Data'!$AI$2:$AI$1000-$C33)&gt;$B$20*$D33)))</f>
        <v/>
      </c>
      <c r="I33" s="321">
        <f>IF($A33="","",COUNTIFS('Daily Data'!$E$2:$E$1000,$A33,'Daily Data'!$I$2:$I$1000,"&lt;0"))</f>
        <v>0</v>
      </c>
      <c r="J33" s="321">
        <f t="shared" si="3"/>
        <v>15</v>
      </c>
      <c r="K33" s="321">
        <f>IF($J33="","",COUNTIFS('Daily Data'!$E$2:$E$1000,$A33,'Daily Data'!$AH$2:$AH$1000,"&gt;"&amp;$J33,'Daily Data'!$AJ$2:$AJ$1000,1))</f>
        <v>0</v>
      </c>
      <c r="L33" s="323" t="str">
        <f>IF(OR($J33="",N($K33)=0),"",IFERROR(SUMIFS('Daily Data'!$AI$2:$AI$1000,'Daily Data'!$E$2:$E$1000,$A33,'Daily Data'!$AH$2:$AH$1000,"&lt;="&amp;$J33,'Daily Data'!$AH$2:$AH$1000,"&gt;0")/COUNTIFS('Daily Data'!$E$2:$E$1000,$A33,'Daily Data'!$AH$2:$AH$1000,"&lt;="&amp;$J33,'Daily Data'!$AH$2:$AH$1000,"&gt;0",'Daily Data'!$AJ$2:$AJ$1000,1),0))</f>
        <v/>
      </c>
      <c r="M33" s="323" t="str">
        <f>IF(OR($J33="",N($K33)=0),"",SUMIFS('Daily Data'!$AI$2:$AI$1000,'Daily Data'!$E$2:$E$1000,$A33,'Daily Data'!$AH$2:$AH$1000,"&gt;"&amp;$J33,'Daily Data'!$AJ$2:$AJ$1000,1)/$K33)</f>
        <v/>
      </c>
      <c r="N33" s="323" t="str">
        <f>IF(OR($J33="",N($K33)=0),"",SUMPRODUCT(('Daily Data'!$E$2:$E$1000=$A33)*('Daily Data'!$AH$2:$AH$1000&gt;$J33)*('Daily Data'!$AJ$2:$AJ$1000=1)*ABS('Daily Data'!$AI$2:$AI$1000-$L33))/$K33)</f>
        <v/>
      </c>
      <c r="O33" s="324" t="str">
        <f t="shared" si="4"/>
        <v/>
      </c>
      <c r="P33" s="323" t="str">
        <f t="shared" si="5"/>
        <v/>
      </c>
      <c r="Q33" s="322" t="str">
        <f t="shared" si="6"/>
        <v/>
      </c>
      <c r="R33" s="324">
        <f t="shared" si="7"/>
        <v>0</v>
      </c>
      <c r="S33" s="328" t="str">
        <f t="shared" si="8"/>
        <v>NO USAGE</v>
      </c>
      <c r="T33" s="328" t="str">
        <f t="shared" si="9"/>
        <v>-</v>
      </c>
      <c r="U33" s="323" t="str">
        <f t="shared" si="10"/>
        <v/>
      </c>
      <c r="V33" s="323" t="str">
        <f t="shared" si="11"/>
        <v/>
      </c>
      <c r="W33" s="321">
        <f>IF($A33="","",SUMIFS('Daily Data'!$AJ$2:$AJ$1000,'Daily Data'!$E$2:$E$1000,$A33))</f>
        <v>0</v>
      </c>
    </row>
    <row r="34" spans="1:23" x14ac:dyDescent="0.25">
      <c r="A34" s="320" t="str">
        <f>IF('Item Purchases'!$B10="","",'Item Purchases'!$B10)</f>
        <v>BBMG 90G</v>
      </c>
      <c r="B34" s="321">
        <f>IF($A34="","",COUNTIFS('Daily Data'!$E$2:$E$1000,$A34,'Daily Data'!$L$2:$L$1000,1))</f>
        <v>22</v>
      </c>
      <c r="C34" s="323">
        <f>IF($A34="","",N('Item Purchases'!$C10))</f>
        <v>36.200000000000003</v>
      </c>
      <c r="D34" s="323">
        <f>IF($A34="","",N('Item Purchases'!$AD10))</f>
        <v>20.933757957476775</v>
      </c>
      <c r="E34" s="323">
        <f t="shared" si="0"/>
        <v>21.224891677200631</v>
      </c>
      <c r="F34" s="323">
        <f t="shared" si="1"/>
        <v>51.175108322799375</v>
      </c>
      <c r="G34" s="324">
        <f t="shared" si="2"/>
        <v>0.41367702549169527</v>
      </c>
      <c r="H34" s="321">
        <f>IF(OR($A34="",$C34&lt;=0,$D34&lt;=0),"",SUMPRODUCT(('Daily Data'!$E$2:$E$1000=$A34)*('Daily Data'!$AJ$2:$AJ$1000=1)*(ABS('Daily Data'!$AI$2:$AI$1000-$C34)&gt;$B$20*$D34)))</f>
        <v>0</v>
      </c>
      <c r="I34" s="321">
        <f>IF($A34="","",COUNTIFS('Daily Data'!$E$2:$E$1000,$A34,'Daily Data'!$I$2:$I$1000,"&lt;0"))</f>
        <v>0</v>
      </c>
      <c r="J34" s="321">
        <f t="shared" si="3"/>
        <v>15</v>
      </c>
      <c r="K34" s="321">
        <f>IF($J34="","",COUNTIFS('Daily Data'!$E$2:$E$1000,$A34,'Daily Data'!$AH$2:$AH$1000,"&gt;"&amp;$J34,'Daily Data'!$AJ$2:$AJ$1000,1))</f>
        <v>7</v>
      </c>
      <c r="L34" s="323">
        <f>IF(OR($J34="",N($K34)=0),"",IFERROR(SUMIFS('Daily Data'!$AI$2:$AI$1000,'Daily Data'!$E$2:$E$1000,$A34,'Daily Data'!$AH$2:$AH$1000,"&lt;="&amp;$J34,'Daily Data'!$AH$2:$AH$1000,"&gt;0")/COUNTIFS('Daily Data'!$E$2:$E$1000,$A34,'Daily Data'!$AH$2:$AH$1000,"&lt;="&amp;$J34,'Daily Data'!$AH$2:$AH$1000,"&gt;0",'Daily Data'!$AJ$2:$AJ$1000,1),0))</f>
        <v>32</v>
      </c>
      <c r="M34" s="323">
        <f>IF(OR($J34="",N($K34)=0),"",SUMIFS('Daily Data'!$AI$2:$AI$1000,'Daily Data'!$E$2:$E$1000,$A34,'Daily Data'!$AH$2:$AH$1000,"&gt;"&amp;$J34,'Daily Data'!$AJ$2:$AJ$1000,1)/$K34)</f>
        <v>38</v>
      </c>
      <c r="N34" s="323">
        <f>IF(OR($J34="",N($K34)=0),"",SUMPRODUCT(('Daily Data'!$E$2:$E$1000=$A34)*('Daily Data'!$AH$2:$AH$1000&gt;$J34)*('Daily Data'!$AJ$2:$AJ$1000=1)*ABS('Daily Data'!$AI$2:$AI$1000-$L34))/$K34)</f>
        <v>15.714285714285714</v>
      </c>
      <c r="O34" s="324">
        <f t="shared" si="4"/>
        <v>0.41353383458646614</v>
      </c>
      <c r="P34" s="323">
        <f t="shared" si="5"/>
        <v>-6</v>
      </c>
      <c r="Q34" s="322">
        <f t="shared" si="6"/>
        <v>2.6727272727272728</v>
      </c>
      <c r="R34" s="324">
        <f t="shared" si="7"/>
        <v>0.45454545454545453</v>
      </c>
      <c r="S34" s="328" t="str">
        <f t="shared" si="8"/>
        <v>POOR</v>
      </c>
      <c r="T34" s="328" t="str">
        <f t="shared" si="9"/>
        <v>BELOW TARGET</v>
      </c>
      <c r="U34" s="323">
        <f t="shared" si="10"/>
        <v>110</v>
      </c>
      <c r="V34" s="323">
        <f t="shared" si="11"/>
        <v>266</v>
      </c>
      <c r="W34" s="321">
        <f>IF($A34="","",SUMIFS('Daily Data'!$AJ$2:$AJ$1000,'Daily Data'!$E$2:$E$1000,$A34))</f>
        <v>10</v>
      </c>
    </row>
    <row r="35" spans="1:23" x14ac:dyDescent="0.25">
      <c r="A35" s="320" t="str">
        <f>IF('Item Purchases'!$B11="","",'Item Purchases'!$B11)</f>
        <v>Lays Potato Chips (Original) 50g</v>
      </c>
      <c r="B35" s="321">
        <f>IF($A35="","",COUNTIFS('Daily Data'!$E$2:$E$1000,$A35,'Daily Data'!$L$2:$L$1000,1))</f>
        <v>22</v>
      </c>
      <c r="C35" s="323">
        <f>IF($A35="","",N('Item Purchases'!$C11))</f>
        <v>3.8636363636363638</v>
      </c>
      <c r="D35" s="323">
        <f>IF($A35="","",N('Item Purchases'!$AD11))</f>
        <v>2.695595252673102</v>
      </c>
      <c r="E35" s="323">
        <f t="shared" si="0"/>
        <v>2.6684763833082616</v>
      </c>
      <c r="F35" s="323">
        <f t="shared" si="1"/>
        <v>5.0587963439644659</v>
      </c>
      <c r="G35" s="324">
        <f t="shared" si="2"/>
        <v>0.30933552432021472</v>
      </c>
      <c r="H35" s="321">
        <f>IF(OR($A35="",$C35&lt;=0,$D35&lt;=0),"",SUMPRODUCT(('Daily Data'!$E$2:$E$1000=$A35)*('Daily Data'!$AJ$2:$AJ$1000=1)*(ABS('Daily Data'!$AI$2:$AI$1000-$C35)&gt;$B$20*$D35)))</f>
        <v>0</v>
      </c>
      <c r="I35" s="321">
        <f>IF($A35="","",COUNTIFS('Daily Data'!$E$2:$E$1000,$A35,'Daily Data'!$I$2:$I$1000,"&lt;0"))</f>
        <v>0</v>
      </c>
      <c r="J35" s="321">
        <f t="shared" si="3"/>
        <v>15</v>
      </c>
      <c r="K35" s="321">
        <f>IF($J35="","",COUNTIFS('Daily Data'!$E$2:$E$1000,$A35,'Daily Data'!$AH$2:$AH$1000,"&gt;"&amp;$J35,'Daily Data'!$AJ$2:$AJ$1000,1))</f>
        <v>7</v>
      </c>
      <c r="L35" s="323">
        <f>IF(OR($J35="",N($K35)=0),"",IFERROR(SUMIFS('Daily Data'!$AI$2:$AI$1000,'Daily Data'!$E$2:$E$1000,$A35,'Daily Data'!$AH$2:$AH$1000,"&lt;="&amp;$J35,'Daily Data'!$AH$2:$AH$1000,"&gt;0")/COUNTIFS('Daily Data'!$E$2:$E$1000,$A35,'Daily Data'!$AH$2:$AH$1000,"&lt;="&amp;$J35,'Daily Data'!$AH$2:$AH$1000,"&gt;0",'Daily Data'!$AJ$2:$AJ$1000,1),0))</f>
        <v>3.6</v>
      </c>
      <c r="M35" s="323">
        <f>IF(OR($J35="",N($K35)=0),"",SUMIFS('Daily Data'!$AI$2:$AI$1000,'Daily Data'!$E$2:$E$1000,$A35,'Daily Data'!$AH$2:$AH$1000,"&gt;"&amp;$J35,'Daily Data'!$AJ$2:$AJ$1000,1)/$K35)</f>
        <v>4.4285714285714288</v>
      </c>
      <c r="N35" s="323">
        <f>IF(OR($J35="",N($K35)=0),"",SUMPRODUCT(('Daily Data'!$E$2:$E$1000=$A35)*('Daily Data'!$AH$2:$AH$1000&gt;$J35)*('Daily Data'!$AJ$2:$AJ$1000=1)*ABS('Daily Data'!$AI$2:$AI$1000-$L35))/$K35)</f>
        <v>1.6285714285714286</v>
      </c>
      <c r="O35" s="324">
        <f t="shared" si="4"/>
        <v>0.36774193548387096</v>
      </c>
      <c r="P35" s="323">
        <f t="shared" si="5"/>
        <v>-0.82857142857142874</v>
      </c>
      <c r="Q35" s="322">
        <f t="shared" si="6"/>
        <v>3.5614035087719302</v>
      </c>
      <c r="R35" s="324">
        <f t="shared" si="7"/>
        <v>1</v>
      </c>
      <c r="S35" s="328" t="str">
        <f t="shared" si="8"/>
        <v>ACCEPTABLE</v>
      </c>
      <c r="T35" s="328" t="str">
        <f t="shared" si="9"/>
        <v>OK</v>
      </c>
      <c r="U35" s="323">
        <f t="shared" si="10"/>
        <v>11.4</v>
      </c>
      <c r="V35" s="323">
        <f t="shared" si="11"/>
        <v>31</v>
      </c>
      <c r="W35" s="321">
        <f>IF($A35="","",SUMIFS('Daily Data'!$AJ$2:$AJ$1000,'Daily Data'!$E$2:$E$1000,$A35))</f>
        <v>22</v>
      </c>
    </row>
    <row r="36" spans="1:23" x14ac:dyDescent="0.25">
      <c r="A36" s="320" t="str">
        <f>IF('Item Purchases'!$B12="","",'Item Purchases'!$B12)</f>
        <v xml:space="preserve">Lays Double Crunch - Seaweed Flav (50g) </v>
      </c>
      <c r="B36" s="321">
        <f>IF($A36="","",COUNTIFS('Daily Data'!$E$2:$E$1000,$A36,'Daily Data'!$L$2:$L$1000,1))</f>
        <v>22</v>
      </c>
      <c r="C36" s="323">
        <f>IF($A36="","",N('Item Purchases'!$C12))</f>
        <v>15.75</v>
      </c>
      <c r="D36" s="323">
        <f>IF($A36="","",N('Item Purchases'!$AD12))</f>
        <v>7.5691548579189414</v>
      </c>
      <c r="E36" s="323">
        <f t="shared" si="0"/>
        <v>12.207526482070614</v>
      </c>
      <c r="F36" s="323">
        <f t="shared" si="1"/>
        <v>19.292473517929388</v>
      </c>
      <c r="G36" s="324">
        <f t="shared" si="2"/>
        <v>0.22491895351932609</v>
      </c>
      <c r="H36" s="321">
        <f>IF(OR($A36="",$C36&lt;=0,$D36&lt;=0),"",SUMPRODUCT(('Daily Data'!$E$2:$E$1000=$A36)*('Daily Data'!$AJ$2:$AJ$1000=1)*(ABS('Daily Data'!$AI$2:$AI$1000-$C36)&gt;$B$20*$D36)))</f>
        <v>0</v>
      </c>
      <c r="I36" s="321">
        <f>IF($A36="","",COUNTIFS('Daily Data'!$E$2:$E$1000,$A36,'Daily Data'!$I$2:$I$1000,"&lt;0"))</f>
        <v>0</v>
      </c>
      <c r="J36" s="321">
        <f t="shared" si="3"/>
        <v>15</v>
      </c>
      <c r="K36" s="321">
        <f>IF($J36="","",COUNTIFS('Daily Data'!$E$2:$E$1000,$A36,'Daily Data'!$AH$2:$AH$1000,"&gt;"&amp;$J36,'Daily Data'!$AJ$2:$AJ$1000,1))</f>
        <v>7</v>
      </c>
      <c r="L36" s="323">
        <f>IF(OR($J36="",N($K36)=0),"",IFERROR(SUMIFS('Daily Data'!$AI$2:$AI$1000,'Daily Data'!$E$2:$E$1000,$A36,'Daily Data'!$AH$2:$AH$1000,"&lt;="&amp;$J36,'Daily Data'!$AH$2:$AH$1000,"&gt;0")/COUNTIFS('Daily Data'!$E$2:$E$1000,$A36,'Daily Data'!$AH$2:$AH$1000,"&lt;="&amp;$J36,'Daily Data'!$AH$2:$AH$1000,"&gt;0",'Daily Data'!$AJ$2:$AJ$1000,1),0))</f>
        <v>17.153846153846153</v>
      </c>
      <c r="M36" s="323">
        <f>IF(OR($J36="",N($K36)=0),"",SUMIFS('Daily Data'!$AI$2:$AI$1000,'Daily Data'!$E$2:$E$1000,$A36,'Daily Data'!$AH$2:$AH$1000,"&gt;"&amp;$J36,'Daily Data'!$AJ$2:$AJ$1000,1)/$K36)</f>
        <v>13.142857142857142</v>
      </c>
      <c r="N36" s="323">
        <f>IF(OR($J36="",N($K36)=0),"",SUMPRODUCT(('Daily Data'!$E$2:$E$1000=$A36)*('Daily Data'!$AH$2:$AH$1000&gt;$J36)*('Daily Data'!$AJ$2:$AJ$1000=1)*ABS('Daily Data'!$AI$2:$AI$1000-$L36))/$K36)</f>
        <v>5.3956043956043951</v>
      </c>
      <c r="O36" s="324">
        <f t="shared" si="4"/>
        <v>0.41053511705685619</v>
      </c>
      <c r="P36" s="323">
        <f t="shared" si="5"/>
        <v>4.0109890109890109</v>
      </c>
      <c r="Q36" s="322">
        <f t="shared" si="6"/>
        <v>-5.2036659877800409</v>
      </c>
      <c r="R36" s="324">
        <f t="shared" si="7"/>
        <v>0.90909090909090906</v>
      </c>
      <c r="S36" s="328" t="str">
        <f t="shared" si="8"/>
        <v>DRIFTING</v>
      </c>
      <c r="T36" s="328" t="str">
        <f t="shared" si="9"/>
        <v>BELOW TARGET</v>
      </c>
      <c r="U36" s="323">
        <f t="shared" si="10"/>
        <v>37.769230769230766</v>
      </c>
      <c r="V36" s="323">
        <f t="shared" si="11"/>
        <v>92</v>
      </c>
      <c r="W36" s="321">
        <f>IF($A36="","",SUMIFS('Daily Data'!$AJ$2:$AJ$1000,'Daily Data'!$E$2:$E$1000,$A36))</f>
        <v>20</v>
      </c>
    </row>
    <row r="37" spans="1:23" x14ac:dyDescent="0.25">
      <c r="A37" s="320" t="str">
        <f>IF('Item Purchases'!$B13="","",'Item Purchases'!$B13)</f>
        <v>Munchy Oat Krunch - Dark Choco</v>
      </c>
      <c r="B37" s="321">
        <f>IF($A37="","",COUNTIFS('Daily Data'!$E$2:$E$1000,$A37,'Daily Data'!$L$2:$L$1000,1))</f>
        <v>22</v>
      </c>
      <c r="C37" s="323">
        <f>IF($A37="","",N('Item Purchases'!$C13))</f>
        <v>15.833333333333334</v>
      </c>
      <c r="D37" s="323">
        <f>IF($A37="","",N('Item Purchases'!$AD13))</f>
        <v>12.001089275180385</v>
      </c>
      <c r="E37" s="323">
        <f t="shared" si="0"/>
        <v>9.8653320409740601</v>
      </c>
      <c r="F37" s="323">
        <f t="shared" si="1"/>
        <v>21.801334625692608</v>
      </c>
      <c r="G37" s="324">
        <f t="shared" si="2"/>
        <v>0.37692639741216466</v>
      </c>
      <c r="H37" s="321">
        <f>IF(OR($A37="",$C37&lt;=0,$D37&lt;=0),"",SUMPRODUCT(('Daily Data'!$E$2:$E$1000=$A37)*('Daily Data'!$AJ$2:$AJ$1000=1)*(ABS('Daily Data'!$AI$2:$AI$1000-$C37)&gt;$B$20*$D37)))</f>
        <v>0</v>
      </c>
      <c r="I37" s="321">
        <f>IF($A37="","",COUNTIFS('Daily Data'!$E$2:$E$1000,$A37,'Daily Data'!$I$2:$I$1000,"&lt;0"))</f>
        <v>0</v>
      </c>
      <c r="J37" s="321">
        <f t="shared" si="3"/>
        <v>15</v>
      </c>
      <c r="K37" s="321">
        <f>IF($J37="","",COUNTIFS('Daily Data'!$E$2:$E$1000,$A37,'Daily Data'!$AH$2:$AH$1000,"&gt;"&amp;$J37,'Daily Data'!$AJ$2:$AJ$1000,1))</f>
        <v>7</v>
      </c>
      <c r="L37" s="323">
        <f>IF(OR($J37="",N($K37)=0),"",IFERROR(SUMIFS('Daily Data'!$AI$2:$AI$1000,'Daily Data'!$E$2:$E$1000,$A37,'Daily Data'!$AH$2:$AH$1000,"&lt;="&amp;$J37,'Daily Data'!$AH$2:$AH$1000,"&gt;0")/COUNTIFS('Daily Data'!$E$2:$E$1000,$A37,'Daily Data'!$AH$2:$AH$1000,"&lt;="&amp;$J37,'Daily Data'!$AH$2:$AH$1000,"&gt;0",'Daily Data'!$AJ$2:$AJ$1000,1),0))</f>
        <v>18.727272727272727</v>
      </c>
      <c r="M37" s="323">
        <f>IF(OR($J37="",N($K37)=0),"",SUMIFS('Daily Data'!$AI$2:$AI$1000,'Daily Data'!$E$2:$E$1000,$A37,'Daily Data'!$AH$2:$AH$1000,"&gt;"&amp;$J37,'Daily Data'!$AJ$2:$AJ$1000,1)/$K37)</f>
        <v>11.285714285714286</v>
      </c>
      <c r="N37" s="323">
        <f>IF(OR($J37="",N($K37)=0),"",SUMPRODUCT(('Daily Data'!$E$2:$E$1000=$A37)*('Daily Data'!$AH$2:$AH$1000&gt;$J37)*('Daily Data'!$AJ$2:$AJ$1000=1)*ABS('Daily Data'!$AI$2:$AI$1000-$L37))/$K37)</f>
        <v>11.805194805194803</v>
      </c>
      <c r="O37" s="324">
        <f t="shared" si="4"/>
        <v>1.0460299194476408</v>
      </c>
      <c r="P37" s="323">
        <f t="shared" si="5"/>
        <v>7.4415584415584402</v>
      </c>
      <c r="Q37" s="322">
        <f t="shared" si="6"/>
        <v>-4.4125412541254123</v>
      </c>
      <c r="R37" s="324">
        <f t="shared" si="7"/>
        <v>0.81818181818181823</v>
      </c>
      <c r="S37" s="328" t="str">
        <f t="shared" si="8"/>
        <v>DRIFTING</v>
      </c>
      <c r="T37" s="328" t="str">
        <f t="shared" si="9"/>
        <v>BELOW TARGET</v>
      </c>
      <c r="U37" s="323">
        <f t="shared" si="10"/>
        <v>82.636363636363626</v>
      </c>
      <c r="V37" s="323">
        <f t="shared" si="11"/>
        <v>79</v>
      </c>
      <c r="W37" s="321">
        <f>IF($A37="","",SUMIFS('Daily Data'!$AJ$2:$AJ$1000,'Daily Data'!$E$2:$E$1000,$A37))</f>
        <v>18</v>
      </c>
    </row>
    <row r="38" spans="1:23" x14ac:dyDescent="0.25">
      <c r="A38" s="320" t="str">
        <f>IF('Item Purchases'!$B14="","",'Item Purchases'!$B14)</f>
        <v>Munchy Oat Krunch - Strawberry &amp; Blackcurrant</v>
      </c>
      <c r="B38" s="321">
        <f>IF($A38="","",COUNTIFS('Daily Data'!$E$2:$E$1000,$A38,'Daily Data'!$L$2:$L$1000,1))</f>
        <v>22</v>
      </c>
      <c r="C38" s="323">
        <f>IF($A38="","",N('Item Purchases'!$C14))</f>
        <v>8.2727272727272734</v>
      </c>
      <c r="D38" s="323">
        <f>IF($A38="","",N('Item Purchases'!$AD14))</f>
        <v>4.7926711727070286</v>
      </c>
      <c r="E38" s="323">
        <f t="shared" si="0"/>
        <v>6.1477759178043172</v>
      </c>
      <c r="F38" s="323">
        <f t="shared" si="1"/>
        <v>10.39767862765023</v>
      </c>
      <c r="G38" s="324">
        <f t="shared" si="2"/>
        <v>0.25686225169398369</v>
      </c>
      <c r="H38" s="321">
        <f>IF(OR($A38="",$C38&lt;=0,$D38&lt;=0),"",SUMPRODUCT(('Daily Data'!$E$2:$E$1000=$A38)*('Daily Data'!$AJ$2:$AJ$1000=1)*(ABS('Daily Data'!$AI$2:$AI$1000-$C38)&gt;$B$20*$D38)))</f>
        <v>0</v>
      </c>
      <c r="I38" s="321">
        <f>IF($A38="","",COUNTIFS('Daily Data'!$E$2:$E$1000,$A38,'Daily Data'!$I$2:$I$1000,"&lt;0"))</f>
        <v>0</v>
      </c>
      <c r="J38" s="321">
        <f t="shared" si="3"/>
        <v>15</v>
      </c>
      <c r="K38" s="321">
        <f>IF($J38="","",COUNTIFS('Daily Data'!$E$2:$E$1000,$A38,'Daily Data'!$AH$2:$AH$1000,"&gt;"&amp;$J38,'Daily Data'!$AJ$2:$AJ$1000,1))</f>
        <v>7</v>
      </c>
      <c r="L38" s="323">
        <f>IF(OR($J38="",N($K38)=0),"",IFERROR(SUMIFS('Daily Data'!$AI$2:$AI$1000,'Daily Data'!$E$2:$E$1000,$A38,'Daily Data'!$AH$2:$AH$1000,"&lt;="&amp;$J38,'Daily Data'!$AH$2:$AH$1000,"&gt;0")/COUNTIFS('Daily Data'!$E$2:$E$1000,$A38,'Daily Data'!$AH$2:$AH$1000,"&lt;="&amp;$J38,'Daily Data'!$AH$2:$AH$1000,"&gt;0",'Daily Data'!$AJ$2:$AJ$1000,1),0))</f>
        <v>8.4</v>
      </c>
      <c r="M38" s="323">
        <f>IF(OR($J38="",N($K38)=0),"",SUMIFS('Daily Data'!$AI$2:$AI$1000,'Daily Data'!$E$2:$E$1000,$A38,'Daily Data'!$AH$2:$AH$1000,"&gt;"&amp;$J38,'Daily Data'!$AJ$2:$AJ$1000,1)/$K38)</f>
        <v>8</v>
      </c>
      <c r="N38" s="323">
        <f>IF(OR($J38="",N($K38)=0),"",SUMPRODUCT(('Daily Data'!$E$2:$E$1000=$A38)*('Daily Data'!$AH$2:$AH$1000&gt;$J38)*('Daily Data'!$AJ$2:$AJ$1000=1)*ABS('Daily Data'!$AI$2:$AI$1000-$L38))/$K38)</f>
        <v>5.0285714285714276</v>
      </c>
      <c r="O38" s="324">
        <f t="shared" si="4"/>
        <v>0.62857142857142845</v>
      </c>
      <c r="P38" s="323">
        <f t="shared" si="5"/>
        <v>0.40000000000000036</v>
      </c>
      <c r="Q38" s="322">
        <f t="shared" si="6"/>
        <v>-0.55681818181818243</v>
      </c>
      <c r="R38" s="324">
        <f t="shared" si="7"/>
        <v>1</v>
      </c>
      <c r="S38" s="328" t="str">
        <f t="shared" si="8"/>
        <v>POOR</v>
      </c>
      <c r="T38" s="328" t="str">
        <f t="shared" si="9"/>
        <v>OK</v>
      </c>
      <c r="U38" s="323">
        <f t="shared" si="10"/>
        <v>35.199999999999996</v>
      </c>
      <c r="V38" s="323">
        <f t="shared" si="11"/>
        <v>56</v>
      </c>
      <c r="W38" s="321">
        <f>IF($A38="","",SUMIFS('Daily Data'!$AJ$2:$AJ$1000,'Daily Data'!$E$2:$E$1000,$A38))</f>
        <v>22</v>
      </c>
    </row>
    <row r="39" spans="1:23" x14ac:dyDescent="0.25">
      <c r="A39" s="320" t="str">
        <f>IF('Item Purchases'!$B15="","",'Item Purchases'!$B15)</f>
        <v/>
      </c>
      <c r="B39" s="321" t="str">
        <f>IF($A39="","",COUNTIFS('Daily Data'!$E$2:$E$1000,$A39,'Daily Data'!$L$2:$L$1000,1))</f>
        <v/>
      </c>
      <c r="C39" s="323" t="str">
        <f>IF($A39="","",N('Item Purchases'!$C15))</f>
        <v/>
      </c>
      <c r="D39" s="323" t="str">
        <f>IF($A39="","",N('Item Purchases'!$AD15))</f>
        <v/>
      </c>
      <c r="E39" s="323" t="str">
        <f t="shared" si="0"/>
        <v/>
      </c>
      <c r="F39" s="323" t="str">
        <f t="shared" si="1"/>
        <v/>
      </c>
      <c r="G39" s="324" t="str">
        <f t="shared" si="2"/>
        <v/>
      </c>
      <c r="H39" s="321" t="str">
        <f>IF(OR($A39="",$C39&lt;=0,$D39&lt;=0),"",SUMPRODUCT(('Daily Data'!$E$2:$E$1000=$A39)*('Daily Data'!$AJ$2:$AJ$1000=1)*(ABS('Daily Data'!$AI$2:$AI$1000-$C39)&gt;$B$20*$D39)))</f>
        <v/>
      </c>
      <c r="I39" s="321" t="str">
        <f>IF($A39="","",COUNTIFS('Daily Data'!$E$2:$E$1000,$A39,'Daily Data'!$I$2:$I$1000,"&lt;0"))</f>
        <v/>
      </c>
      <c r="J39" s="321" t="str">
        <f t="shared" si="3"/>
        <v/>
      </c>
      <c r="K39" s="321" t="str">
        <f>IF($J39="","",COUNTIFS('Daily Data'!$E$2:$E$1000,$A39,'Daily Data'!$AH$2:$AH$1000,"&gt;"&amp;$J39,'Daily Data'!$AJ$2:$AJ$1000,1))</f>
        <v/>
      </c>
      <c r="L39" s="323" t="str">
        <f>IF(OR($J39="",N($K39)=0),"",IFERROR(SUMIFS('Daily Data'!$AI$2:$AI$1000,'Daily Data'!$E$2:$E$1000,$A39,'Daily Data'!$AH$2:$AH$1000,"&lt;="&amp;$J39,'Daily Data'!$AH$2:$AH$1000,"&gt;0")/COUNTIFS('Daily Data'!$E$2:$E$1000,$A39,'Daily Data'!$AH$2:$AH$1000,"&lt;="&amp;$J39,'Daily Data'!$AH$2:$AH$1000,"&gt;0",'Daily Data'!$AJ$2:$AJ$1000,1),0))</f>
        <v/>
      </c>
      <c r="M39" s="323" t="str">
        <f>IF(OR($J39="",N($K39)=0),"",SUMIFS('Daily Data'!$AI$2:$AI$1000,'Daily Data'!$E$2:$E$1000,$A39,'Daily Data'!$AH$2:$AH$1000,"&gt;"&amp;$J39,'Daily Data'!$AJ$2:$AJ$1000,1)/$K39)</f>
        <v/>
      </c>
      <c r="N39" s="323" t="str">
        <f>IF(OR($J39="",N($K39)=0),"",SUMPRODUCT(('Daily Data'!$E$2:$E$1000=$A39)*('Daily Data'!$AH$2:$AH$1000&gt;$J39)*('Daily Data'!$AJ$2:$AJ$1000=1)*ABS('Daily Data'!$AI$2:$AI$1000-$L39))/$K39)</f>
        <v/>
      </c>
      <c r="O39" s="324" t="str">
        <f t="shared" si="4"/>
        <v/>
      </c>
      <c r="P39" s="323" t="str">
        <f t="shared" si="5"/>
        <v/>
      </c>
      <c r="Q39" s="322" t="str">
        <f t="shared" si="6"/>
        <v/>
      </c>
      <c r="R39" s="324" t="str">
        <f t="shared" si="7"/>
        <v/>
      </c>
      <c r="S39" s="328" t="str">
        <f t="shared" si="8"/>
        <v/>
      </c>
      <c r="T39" s="328" t="str">
        <f t="shared" si="9"/>
        <v/>
      </c>
      <c r="U39" s="323" t="str">
        <f t="shared" si="10"/>
        <v/>
      </c>
      <c r="V39" s="323" t="str">
        <f t="shared" si="11"/>
        <v/>
      </c>
      <c r="W39" s="321" t="str">
        <f>IF($A39="","",SUMIFS('Daily Data'!$AJ$2:$AJ$1000,'Daily Data'!$E$2:$E$1000,$A39))</f>
        <v/>
      </c>
    </row>
    <row r="40" spans="1:23" x14ac:dyDescent="0.25">
      <c r="A40" s="320" t="str">
        <f>IF('Item Purchases'!$B16="","",'Item Purchases'!$B16)</f>
        <v>Milo 200ml</v>
      </c>
      <c r="B40" s="321">
        <f>IF($A40="","",COUNTIFS('Daily Data'!$E$2:$E$1000,$A40,'Daily Data'!$L$2:$L$1000,1))</f>
        <v>22</v>
      </c>
      <c r="C40" s="323">
        <f>IF($A40="","",N('Item Purchases'!$C16))</f>
        <v>14</v>
      </c>
      <c r="D40" s="323">
        <f>IF($A40="","",N('Item Purchases'!$AD16))</f>
        <v>8.3656041822054519</v>
      </c>
      <c r="E40" s="323">
        <f t="shared" si="0"/>
        <v>9.5422841918763108</v>
      </c>
      <c r="F40" s="323">
        <f t="shared" si="1"/>
        <v>18.457715808123687</v>
      </c>
      <c r="G40" s="324">
        <f t="shared" si="2"/>
        <v>0.31840827200883492</v>
      </c>
      <c r="H40" s="321">
        <f>IF(OR($A40="",$C40&lt;=0,$D40&lt;=0),"",SUMPRODUCT(('Daily Data'!$E$2:$E$1000=$A40)*('Daily Data'!$AJ$2:$AJ$1000=1)*(ABS('Daily Data'!$AI$2:$AI$1000-$C40)&gt;$B$20*$D40)))</f>
        <v>0</v>
      </c>
      <c r="I40" s="321">
        <f>IF($A40="","",COUNTIFS('Daily Data'!$E$2:$E$1000,$A40,'Daily Data'!$I$2:$I$1000,"&lt;0"))</f>
        <v>0</v>
      </c>
      <c r="J40" s="321">
        <f t="shared" si="3"/>
        <v>15</v>
      </c>
      <c r="K40" s="321">
        <f>IF($J40="","",COUNTIFS('Daily Data'!$E$2:$E$1000,$A40,'Daily Data'!$AH$2:$AH$1000,"&gt;"&amp;$J40,'Daily Data'!$AJ$2:$AJ$1000,1))</f>
        <v>3</v>
      </c>
      <c r="L40" s="323">
        <f>IF(OR($J40="",N($K40)=0),"",IFERROR(SUMIFS('Daily Data'!$AI$2:$AI$1000,'Daily Data'!$E$2:$E$1000,$A40,'Daily Data'!$AH$2:$AH$1000,"&lt;="&amp;$J40,'Daily Data'!$AH$2:$AH$1000,"&gt;0")/COUNTIFS('Daily Data'!$E$2:$E$1000,$A40,'Daily Data'!$AH$2:$AH$1000,"&lt;="&amp;$J40,'Daily Data'!$AH$2:$AH$1000,"&gt;0",'Daily Data'!$AJ$2:$AJ$1000,1),0))</f>
        <v>13.76923076923077</v>
      </c>
      <c r="M40" s="323">
        <f>IF(OR($J40="",N($K40)=0),"",SUMIFS('Daily Data'!$AI$2:$AI$1000,'Daily Data'!$E$2:$E$1000,$A40,'Daily Data'!$AH$2:$AH$1000,"&gt;"&amp;$J40,'Daily Data'!$AJ$2:$AJ$1000,1)/$K40)</f>
        <v>15</v>
      </c>
      <c r="N40" s="323">
        <f>IF(OR($J40="",N($K40)=0),"",SUMPRODUCT(('Daily Data'!$E$2:$E$1000=$A40)*('Daily Data'!$AH$2:$AH$1000&gt;$J40)*('Daily Data'!$AJ$2:$AJ$1000=1)*ABS('Daily Data'!$AI$2:$AI$1000-$L40))/$K40)</f>
        <v>10.410256410256411</v>
      </c>
      <c r="O40" s="324">
        <f t="shared" si="4"/>
        <v>0.69401709401709399</v>
      </c>
      <c r="P40" s="323">
        <f t="shared" si="5"/>
        <v>-1.2307692307692299</v>
      </c>
      <c r="Q40" s="322">
        <f t="shared" si="6"/>
        <v>0.35467980295566476</v>
      </c>
      <c r="R40" s="324">
        <f t="shared" si="7"/>
        <v>0.72727272727272729</v>
      </c>
      <c r="S40" s="328" t="str">
        <f t="shared" si="8"/>
        <v>POOR</v>
      </c>
      <c r="T40" s="328" t="str">
        <f t="shared" si="9"/>
        <v>BELOW TARGET</v>
      </c>
      <c r="U40" s="323">
        <f t="shared" si="10"/>
        <v>31.230769230769234</v>
      </c>
      <c r="V40" s="323">
        <f t="shared" si="11"/>
        <v>45</v>
      </c>
      <c r="W40" s="321">
        <f>IF($A40="","",SUMIFS('Daily Data'!$AJ$2:$AJ$1000,'Daily Data'!$E$2:$E$1000,$A40))</f>
        <v>16</v>
      </c>
    </row>
    <row r="41" spans="1:23" x14ac:dyDescent="0.25">
      <c r="A41" s="320" t="str">
        <f>IF('Item Purchases'!$B17="","",'Item Purchases'!$B17)</f>
        <v>Nescafe Latte 240ml</v>
      </c>
      <c r="B41" s="321">
        <f>IF($A41="","",COUNTIFS('Daily Data'!$E$2:$E$1000,$A41,'Daily Data'!$L$2:$L$1000,1))</f>
        <v>22</v>
      </c>
      <c r="C41" s="323">
        <f>IF($A41="","",N('Item Purchases'!$C17))</f>
        <v>1.8636363636363635</v>
      </c>
      <c r="D41" s="323">
        <f>IF($A41="","",N('Item Purchases'!$AD17))</f>
        <v>1.5825071893451241</v>
      </c>
      <c r="E41" s="323">
        <f t="shared" si="0"/>
        <v>1.1619919830821122</v>
      </c>
      <c r="F41" s="323">
        <f t="shared" si="1"/>
        <v>2.5652807441906149</v>
      </c>
      <c r="G41" s="324">
        <f t="shared" si="2"/>
        <v>0.37649210663886656</v>
      </c>
      <c r="H41" s="321">
        <f>IF(OR($A41="",$C41&lt;=0,$D41&lt;=0),"",SUMPRODUCT(('Daily Data'!$E$2:$E$1000=$A41)*('Daily Data'!$AJ$2:$AJ$1000=1)*(ABS('Daily Data'!$AI$2:$AI$1000-$C41)&gt;$B$20*$D41)))</f>
        <v>0</v>
      </c>
      <c r="I41" s="321">
        <f>IF($A41="","",COUNTIFS('Daily Data'!$E$2:$E$1000,$A41,'Daily Data'!$I$2:$I$1000,"&lt;0"))</f>
        <v>0</v>
      </c>
      <c r="J41" s="321">
        <f t="shared" si="3"/>
        <v>15</v>
      </c>
      <c r="K41" s="321">
        <f>IF($J41="","",COUNTIFS('Daily Data'!$E$2:$E$1000,$A41,'Daily Data'!$AH$2:$AH$1000,"&gt;"&amp;$J41,'Daily Data'!$AJ$2:$AJ$1000,1))</f>
        <v>7</v>
      </c>
      <c r="L41" s="323">
        <f>IF(OR($J41="",N($K41)=0),"",IFERROR(SUMIFS('Daily Data'!$AI$2:$AI$1000,'Daily Data'!$E$2:$E$1000,$A41,'Daily Data'!$AH$2:$AH$1000,"&lt;="&amp;$J41,'Daily Data'!$AH$2:$AH$1000,"&gt;0")/COUNTIFS('Daily Data'!$E$2:$E$1000,$A41,'Daily Data'!$AH$2:$AH$1000,"&lt;="&amp;$J41,'Daily Data'!$AH$2:$AH$1000,"&gt;0",'Daily Data'!$AJ$2:$AJ$1000,1),0))</f>
        <v>1.9333333333333333</v>
      </c>
      <c r="M41" s="323">
        <f>IF(OR($J41="",N($K41)=0),"",SUMIFS('Daily Data'!$AI$2:$AI$1000,'Daily Data'!$E$2:$E$1000,$A41,'Daily Data'!$AH$2:$AH$1000,"&gt;"&amp;$J41,'Daily Data'!$AJ$2:$AJ$1000,1)/$K41)</f>
        <v>1.7142857142857142</v>
      </c>
      <c r="N41" s="323">
        <f>IF(OR($J41="",N($K41)=0),"",SUMPRODUCT(('Daily Data'!$E$2:$E$1000=$A41)*('Daily Data'!$AH$2:$AH$1000&gt;$J41)*('Daily Data'!$AJ$2:$AJ$1000=1)*ABS('Daily Data'!$AI$2:$AI$1000-$L41))/$K41)</f>
        <v>1.9904761904761905</v>
      </c>
      <c r="O41" s="324">
        <f t="shared" si="4"/>
        <v>1.1611111111111112</v>
      </c>
      <c r="P41" s="323">
        <f t="shared" si="5"/>
        <v>0.21904761904761916</v>
      </c>
      <c r="Q41" s="322">
        <f t="shared" si="6"/>
        <v>-0.77033492822966543</v>
      </c>
      <c r="R41" s="324">
        <f t="shared" si="7"/>
        <v>1</v>
      </c>
      <c r="S41" s="328" t="str">
        <f t="shared" si="8"/>
        <v>POOR</v>
      </c>
      <c r="T41" s="328" t="str">
        <f t="shared" si="9"/>
        <v>OK</v>
      </c>
      <c r="U41" s="323">
        <f t="shared" si="10"/>
        <v>13.933333333333334</v>
      </c>
      <c r="V41" s="323">
        <f t="shared" si="11"/>
        <v>12</v>
      </c>
      <c r="W41" s="321">
        <f>IF($A41="","",SUMIFS('Daily Data'!$AJ$2:$AJ$1000,'Daily Data'!$E$2:$E$1000,$A41))</f>
        <v>22</v>
      </c>
    </row>
    <row r="42" spans="1:23" x14ac:dyDescent="0.25">
      <c r="A42" s="320" t="str">
        <f>IF('Item Purchases'!$B18="","",'Item Purchases'!$B18)</f>
        <v>Nescafe original 240ml</v>
      </c>
      <c r="B42" s="321">
        <f>IF($A42="","",COUNTIFS('Daily Data'!$E$2:$E$1000,$A42,'Daily Data'!$L$2:$L$1000,1))</f>
        <v>22</v>
      </c>
      <c r="C42" s="323">
        <f>IF($A42="","",N('Item Purchases'!$C18))</f>
        <v>2.8636363636363638</v>
      </c>
      <c r="D42" s="323">
        <f>IF($A42="","",N('Item Purchases'!$AD18))</f>
        <v>1.698611605188598</v>
      </c>
      <c r="E42" s="323">
        <f t="shared" si="0"/>
        <v>2.110514168963733</v>
      </c>
      <c r="F42" s="323">
        <f t="shared" si="1"/>
        <v>3.6167585583089945</v>
      </c>
      <c r="G42" s="324">
        <f t="shared" si="2"/>
        <v>0.2629950521079028</v>
      </c>
      <c r="H42" s="321">
        <f>IF(OR($A42="",$C42&lt;=0,$D42&lt;=0),"",SUMPRODUCT(('Daily Data'!$E$2:$E$1000=$A42)*('Daily Data'!$AJ$2:$AJ$1000=1)*(ABS('Daily Data'!$AI$2:$AI$1000-$C42)&gt;$B$20*$D42)))</f>
        <v>0</v>
      </c>
      <c r="I42" s="321">
        <f>IF($A42="","",COUNTIFS('Daily Data'!$E$2:$E$1000,$A42,'Daily Data'!$I$2:$I$1000,"&lt;0"))</f>
        <v>0</v>
      </c>
      <c r="J42" s="321">
        <f t="shared" si="3"/>
        <v>15</v>
      </c>
      <c r="K42" s="321">
        <f>IF($J42="","",COUNTIFS('Daily Data'!$E$2:$E$1000,$A42,'Daily Data'!$AH$2:$AH$1000,"&gt;"&amp;$J42,'Daily Data'!$AJ$2:$AJ$1000,1))</f>
        <v>7</v>
      </c>
      <c r="L42" s="323">
        <f>IF(OR($J42="",N($K42)=0),"",IFERROR(SUMIFS('Daily Data'!$AI$2:$AI$1000,'Daily Data'!$E$2:$E$1000,$A42,'Daily Data'!$AH$2:$AH$1000,"&lt;="&amp;$J42,'Daily Data'!$AH$2:$AH$1000,"&gt;0")/COUNTIFS('Daily Data'!$E$2:$E$1000,$A42,'Daily Data'!$AH$2:$AH$1000,"&lt;="&amp;$J42,'Daily Data'!$AH$2:$AH$1000,"&gt;0",'Daily Data'!$AJ$2:$AJ$1000,1),0))</f>
        <v>2.6</v>
      </c>
      <c r="M42" s="323">
        <f>IF(OR($J42="",N($K42)=0),"",SUMIFS('Daily Data'!$AI$2:$AI$1000,'Daily Data'!$E$2:$E$1000,$A42,'Daily Data'!$AH$2:$AH$1000,"&gt;"&amp;$J42,'Daily Data'!$AJ$2:$AJ$1000,1)/$K42)</f>
        <v>3.4285714285714284</v>
      </c>
      <c r="N42" s="323">
        <f>IF(OR($J42="",N($K42)=0),"",SUMPRODUCT(('Daily Data'!$E$2:$E$1000=$A42)*('Daily Data'!$AH$2:$AH$1000&gt;$J42)*('Daily Data'!$AJ$2:$AJ$1000=1)*ABS('Daily Data'!$AI$2:$AI$1000-$L42))/$K42)</f>
        <v>1.4571428571428571</v>
      </c>
      <c r="O42" s="324">
        <f t="shared" si="4"/>
        <v>0.42499999999999999</v>
      </c>
      <c r="P42" s="323">
        <f t="shared" si="5"/>
        <v>-0.82857142857142829</v>
      </c>
      <c r="Q42" s="322">
        <f t="shared" si="6"/>
        <v>3.9803921568627438</v>
      </c>
      <c r="R42" s="324">
        <f t="shared" si="7"/>
        <v>1</v>
      </c>
      <c r="S42" s="328" t="str">
        <f t="shared" si="8"/>
        <v>POOR</v>
      </c>
      <c r="T42" s="328" t="str">
        <f t="shared" si="9"/>
        <v>OK</v>
      </c>
      <c r="U42" s="323">
        <f t="shared" si="10"/>
        <v>10.199999999999999</v>
      </c>
      <c r="V42" s="323">
        <f t="shared" si="11"/>
        <v>24</v>
      </c>
      <c r="W42" s="321">
        <f>IF($A42="","",SUMIFS('Daily Data'!$AJ$2:$AJ$1000,'Daily Data'!$E$2:$E$1000,$A42))</f>
        <v>22</v>
      </c>
    </row>
    <row r="43" spans="1:23" x14ac:dyDescent="0.25">
      <c r="A43" s="320" t="str">
        <f>IF('Item Purchases'!$B19="","",'Item Purchases'!$B19)</f>
        <v>COWA Coconut Water 330 ml</v>
      </c>
      <c r="B43" s="321">
        <f>IF($A43="","",COUNTIFS('Daily Data'!$E$2:$E$1000,$A43,'Daily Data'!$L$2:$L$1000,1))</f>
        <v>22</v>
      </c>
      <c r="C43" s="323">
        <f>IF($A43="","",N('Item Purchases'!$C19))</f>
        <v>23.111111111111111</v>
      </c>
      <c r="D43" s="323">
        <f>IF($A43="","",N('Item Purchases'!$AD19))</f>
        <v>9.8272663237897842</v>
      </c>
      <c r="E43" s="323">
        <f t="shared" si="0"/>
        <v>18.224126540299753</v>
      </c>
      <c r="F43" s="323">
        <f t="shared" si="1"/>
        <v>27.998095681922468</v>
      </c>
      <c r="G43" s="324">
        <f t="shared" si="2"/>
        <v>0.21145606316010682</v>
      </c>
      <c r="H43" s="321">
        <f>IF(OR($A43="",$C43&lt;=0,$D43&lt;=0),"",SUMPRODUCT(('Daily Data'!$E$2:$E$1000=$A43)*('Daily Data'!$AJ$2:$AJ$1000=1)*(ABS('Daily Data'!$AI$2:$AI$1000-$C43)&gt;$B$20*$D43)))</f>
        <v>0</v>
      </c>
      <c r="I43" s="321">
        <f>IF($A43="","",COUNTIFS('Daily Data'!$E$2:$E$1000,$A43,'Daily Data'!$I$2:$I$1000,"&lt;0"))</f>
        <v>0</v>
      </c>
      <c r="J43" s="321">
        <f t="shared" si="3"/>
        <v>15</v>
      </c>
      <c r="K43" s="321">
        <f>IF($J43="","",COUNTIFS('Daily Data'!$E$2:$E$1000,$A43,'Daily Data'!$AH$2:$AH$1000,"&gt;"&amp;$J43,'Daily Data'!$AJ$2:$AJ$1000,1))</f>
        <v>7</v>
      </c>
      <c r="L43" s="323">
        <f>IF(OR($J43="",N($K43)=0),"",IFERROR(SUMIFS('Daily Data'!$AI$2:$AI$1000,'Daily Data'!$E$2:$E$1000,$A43,'Daily Data'!$AH$2:$AH$1000,"&lt;="&amp;$J43,'Daily Data'!$AH$2:$AH$1000,"&gt;0")/COUNTIFS('Daily Data'!$E$2:$E$1000,$A43,'Daily Data'!$AH$2:$AH$1000,"&lt;="&amp;$J43,'Daily Data'!$AH$2:$AH$1000,"&gt;0",'Daily Data'!$AJ$2:$AJ$1000,1),0))</f>
        <v>23.727272727272727</v>
      </c>
      <c r="M43" s="323">
        <f>IF(OR($J43="",N($K43)=0),"",SUMIFS('Daily Data'!$AI$2:$AI$1000,'Daily Data'!$E$2:$E$1000,$A43,'Daily Data'!$AH$2:$AH$1000,"&gt;"&amp;$J43,'Daily Data'!$AJ$2:$AJ$1000,1)/$K43)</f>
        <v>22.142857142857142</v>
      </c>
      <c r="N43" s="323">
        <f>IF(OR($J43="",N($K43)=0),"",SUMPRODUCT(('Daily Data'!$E$2:$E$1000=$A43)*('Daily Data'!$AH$2:$AH$1000&gt;$J43)*('Daily Data'!$AJ$2:$AJ$1000=1)*ABS('Daily Data'!$AI$2:$AI$1000-$L43))/$K43)</f>
        <v>4.6753246753246751</v>
      </c>
      <c r="O43" s="324">
        <f t="shared" si="4"/>
        <v>0.21114369501466276</v>
      </c>
      <c r="P43" s="323">
        <f t="shared" si="5"/>
        <v>1.5844155844155843</v>
      </c>
      <c r="Q43" s="322">
        <f t="shared" si="6"/>
        <v>-2.3722222222222222</v>
      </c>
      <c r="R43" s="324">
        <f t="shared" si="7"/>
        <v>0.81818181818181823</v>
      </c>
      <c r="S43" s="328" t="str">
        <f t="shared" si="8"/>
        <v>ACCEPTABLE</v>
      </c>
      <c r="T43" s="328" t="str">
        <f t="shared" si="9"/>
        <v>BELOW TARGET</v>
      </c>
      <c r="U43" s="323">
        <f t="shared" si="10"/>
        <v>32.727272727272727</v>
      </c>
      <c r="V43" s="323">
        <f t="shared" si="11"/>
        <v>155</v>
      </c>
      <c r="W43" s="321">
        <f>IF($A43="","",SUMIFS('Daily Data'!$AJ$2:$AJ$1000,'Daily Data'!$E$2:$E$1000,$A43))</f>
        <v>18</v>
      </c>
    </row>
    <row r="44" spans="1:23" x14ac:dyDescent="0.25">
      <c r="A44" s="320" t="str">
        <f>IF('Item Purchases'!$B20="","",'Item Purchases'!$B20)</f>
        <v>KARTA Coconut Water 330 ml</v>
      </c>
      <c r="B44" s="321">
        <f>IF($A44="","",COUNTIFS('Daily Data'!$E$2:$E$1000,$A44,'Daily Data'!$L$2:$L$1000,1))</f>
        <v>6</v>
      </c>
      <c r="C44" s="323">
        <f>IF($A44="","",N('Item Purchases'!$C20))</f>
        <v>0</v>
      </c>
      <c r="D44" s="323">
        <f>IF($A44="","",N('Item Purchases'!$AD20))</f>
        <v>0</v>
      </c>
      <c r="E44" s="323" t="str">
        <f t="shared" si="0"/>
        <v/>
      </c>
      <c r="F44" s="323" t="str">
        <f t="shared" si="1"/>
        <v/>
      </c>
      <c r="G44" s="324" t="str">
        <f t="shared" si="2"/>
        <v/>
      </c>
      <c r="H44" s="321" t="str">
        <f>IF(OR($A44="",$C44&lt;=0,$D44&lt;=0),"",SUMPRODUCT(('Daily Data'!$E$2:$E$1000=$A44)*('Daily Data'!$AJ$2:$AJ$1000=1)*(ABS('Daily Data'!$AI$2:$AI$1000-$C44)&gt;$B$20*$D44)))</f>
        <v/>
      </c>
      <c r="I44" s="321">
        <f>IF($A44="","",COUNTIFS('Daily Data'!$E$2:$E$1000,$A44,'Daily Data'!$I$2:$I$1000,"&lt;0"))</f>
        <v>0</v>
      </c>
      <c r="J44" s="321">
        <f t="shared" si="3"/>
        <v>4</v>
      </c>
      <c r="K44" s="321">
        <f>IF($J44="","",COUNTIFS('Daily Data'!$E$2:$E$1000,$A44,'Daily Data'!$AH$2:$AH$1000,"&gt;"&amp;$J44,'Daily Data'!$AJ$2:$AJ$1000,1))</f>
        <v>0</v>
      </c>
      <c r="L44" s="323" t="str">
        <f>IF(OR($J44="",N($K44)=0),"",IFERROR(SUMIFS('Daily Data'!$AI$2:$AI$1000,'Daily Data'!$E$2:$E$1000,$A44,'Daily Data'!$AH$2:$AH$1000,"&lt;="&amp;$J44,'Daily Data'!$AH$2:$AH$1000,"&gt;0")/COUNTIFS('Daily Data'!$E$2:$E$1000,$A44,'Daily Data'!$AH$2:$AH$1000,"&lt;="&amp;$J44,'Daily Data'!$AH$2:$AH$1000,"&gt;0",'Daily Data'!$AJ$2:$AJ$1000,1),0))</f>
        <v/>
      </c>
      <c r="M44" s="323" t="str">
        <f>IF(OR($J44="",N($K44)=0),"",SUMIFS('Daily Data'!$AI$2:$AI$1000,'Daily Data'!$E$2:$E$1000,$A44,'Daily Data'!$AH$2:$AH$1000,"&gt;"&amp;$J44,'Daily Data'!$AJ$2:$AJ$1000,1)/$K44)</f>
        <v/>
      </c>
      <c r="N44" s="323" t="str">
        <f>IF(OR($J44="",N($K44)=0),"",SUMPRODUCT(('Daily Data'!$E$2:$E$1000=$A44)*('Daily Data'!$AH$2:$AH$1000&gt;$J44)*('Daily Data'!$AJ$2:$AJ$1000=1)*ABS('Daily Data'!$AI$2:$AI$1000-$L44))/$K44)</f>
        <v/>
      </c>
      <c r="O44" s="324" t="str">
        <f t="shared" si="4"/>
        <v/>
      </c>
      <c r="P44" s="323" t="str">
        <f t="shared" si="5"/>
        <v/>
      </c>
      <c r="Q44" s="322" t="str">
        <f t="shared" si="6"/>
        <v/>
      </c>
      <c r="R44" s="324">
        <f t="shared" si="7"/>
        <v>0</v>
      </c>
      <c r="S44" s="328" t="str">
        <f t="shared" si="8"/>
        <v>NO USAGE</v>
      </c>
      <c r="T44" s="328" t="str">
        <f t="shared" si="9"/>
        <v>-</v>
      </c>
      <c r="U44" s="323" t="str">
        <f t="shared" si="10"/>
        <v/>
      </c>
      <c r="V44" s="323" t="str">
        <f t="shared" si="11"/>
        <v/>
      </c>
      <c r="W44" s="321">
        <f>IF($A44="","",SUMIFS('Daily Data'!$AJ$2:$AJ$1000,'Daily Data'!$E$2:$E$1000,$A44))</f>
        <v>0</v>
      </c>
    </row>
    <row r="45" spans="1:23" x14ac:dyDescent="0.25">
      <c r="A45" s="320" t="str">
        <f>IF('Item Purchases'!$B21="","",'Item Purchases'!$B21)</f>
        <v>COKE ZERO  325ML</v>
      </c>
      <c r="B45" s="321">
        <f>IF($A45="","",COUNTIFS('Daily Data'!$E$2:$E$1000,$A45,'Daily Data'!$L$2:$L$1000,1))</f>
        <v>22</v>
      </c>
      <c r="C45" s="323">
        <f>IF($A45="","",N('Item Purchases'!$C21))</f>
        <v>8.4090909090909083</v>
      </c>
      <c r="D45" s="323">
        <f>IF($A45="","",N('Item Purchases'!$AD21))</f>
        <v>3.3898881974693484</v>
      </c>
      <c r="E45" s="323">
        <f t="shared" si="0"/>
        <v>6.906098682277821</v>
      </c>
      <c r="F45" s="323">
        <f t="shared" si="1"/>
        <v>9.9120831359039965</v>
      </c>
      <c r="G45" s="324">
        <f t="shared" si="2"/>
        <v>0.17873421075615098</v>
      </c>
      <c r="H45" s="321">
        <f>IF(OR($A45="",$C45&lt;=0,$D45&lt;=0),"",SUMPRODUCT(('Daily Data'!$E$2:$E$1000=$A45)*('Daily Data'!$AJ$2:$AJ$1000=1)*(ABS('Daily Data'!$AI$2:$AI$1000-$C45)&gt;$B$20*$D45)))</f>
        <v>0</v>
      </c>
      <c r="I45" s="321">
        <f>IF($A45="","",COUNTIFS('Daily Data'!$E$2:$E$1000,$A45,'Daily Data'!$I$2:$I$1000,"&lt;0"))</f>
        <v>0</v>
      </c>
      <c r="J45" s="321">
        <f t="shared" si="3"/>
        <v>15</v>
      </c>
      <c r="K45" s="321">
        <f>IF($J45="","",COUNTIFS('Daily Data'!$E$2:$E$1000,$A45,'Daily Data'!$AH$2:$AH$1000,"&gt;"&amp;$J45,'Daily Data'!$AJ$2:$AJ$1000,1))</f>
        <v>7</v>
      </c>
      <c r="L45" s="323">
        <f>IF(OR($J45="",N($K45)=0),"",IFERROR(SUMIFS('Daily Data'!$AI$2:$AI$1000,'Daily Data'!$E$2:$E$1000,$A45,'Daily Data'!$AH$2:$AH$1000,"&lt;="&amp;$J45,'Daily Data'!$AH$2:$AH$1000,"&gt;0")/COUNTIFS('Daily Data'!$E$2:$E$1000,$A45,'Daily Data'!$AH$2:$AH$1000,"&lt;="&amp;$J45,'Daily Data'!$AH$2:$AH$1000,"&gt;0",'Daily Data'!$AJ$2:$AJ$1000,1),0))</f>
        <v>8.4</v>
      </c>
      <c r="M45" s="323">
        <f>IF(OR($J45="",N($K45)=0),"",SUMIFS('Daily Data'!$AI$2:$AI$1000,'Daily Data'!$E$2:$E$1000,$A45,'Daily Data'!$AH$2:$AH$1000,"&gt;"&amp;$J45,'Daily Data'!$AJ$2:$AJ$1000,1)/$K45)</f>
        <v>8.4285714285714288</v>
      </c>
      <c r="N45" s="323">
        <f>IF(OR($J45="",N($K45)=0),"",SUMPRODUCT(('Daily Data'!$E$2:$E$1000=$A45)*('Daily Data'!$AH$2:$AH$1000&gt;$J45)*('Daily Data'!$AJ$2:$AJ$1000=1)*ABS('Daily Data'!$AI$2:$AI$1000-$L45))/$K45)</f>
        <v>2.0857142857142859</v>
      </c>
      <c r="O45" s="324">
        <f t="shared" si="4"/>
        <v>0.24745762711864408</v>
      </c>
      <c r="P45" s="323">
        <f t="shared" si="5"/>
        <v>-2.857142857142847E-2</v>
      </c>
      <c r="Q45" s="322">
        <f t="shared" si="6"/>
        <v>9.5890410958903757E-2</v>
      </c>
      <c r="R45" s="324">
        <f t="shared" si="7"/>
        <v>1</v>
      </c>
      <c r="S45" s="328" t="str">
        <f t="shared" si="8"/>
        <v>ACCEPTABLE</v>
      </c>
      <c r="T45" s="328" t="str">
        <f t="shared" si="9"/>
        <v>OK</v>
      </c>
      <c r="U45" s="323">
        <f t="shared" si="10"/>
        <v>14.600000000000001</v>
      </c>
      <c r="V45" s="323">
        <f t="shared" si="11"/>
        <v>59</v>
      </c>
      <c r="W45" s="321">
        <f>IF($A45="","",SUMIFS('Daily Data'!$AJ$2:$AJ$1000,'Daily Data'!$E$2:$E$1000,$A45))</f>
        <v>22</v>
      </c>
    </row>
    <row r="46" spans="1:23" x14ac:dyDescent="0.25">
      <c r="A46" s="320" t="str">
        <f>IF('Item Purchases'!$B22="","",'Item Purchases'!$B22)</f>
        <v>Ayataka Tea 300ml</v>
      </c>
      <c r="B46" s="321">
        <f>IF($A46="","",COUNTIFS('Daily Data'!$E$2:$E$1000,$A46,'Daily Data'!$L$2:$L$1000,1))</f>
        <v>22</v>
      </c>
      <c r="C46" s="323">
        <f>IF($A46="","",N('Item Purchases'!$C22))</f>
        <v>31.307692307692307</v>
      </c>
      <c r="D46" s="323">
        <f>IF($A46="","",N('Item Purchases'!$AD22))</f>
        <v>14.177446878757825</v>
      </c>
      <c r="E46" s="323">
        <f t="shared" si="0"/>
        <v>22.740346902962763</v>
      </c>
      <c r="F46" s="323">
        <f t="shared" si="1"/>
        <v>39.87503771242185</v>
      </c>
      <c r="G46" s="324">
        <f t="shared" si="2"/>
        <v>0.27364985322231961</v>
      </c>
      <c r="H46" s="321">
        <f>IF(OR($A46="",$C46&lt;=0,$D46&lt;=0),"",SUMPRODUCT(('Daily Data'!$E$2:$E$1000=$A46)*('Daily Data'!$AJ$2:$AJ$1000=1)*(ABS('Daily Data'!$AI$2:$AI$1000-$C46)&gt;$B$20*$D46)))</f>
        <v>0</v>
      </c>
      <c r="I46" s="321">
        <f>IF($A46="","",COUNTIFS('Daily Data'!$E$2:$E$1000,$A46,'Daily Data'!$I$2:$I$1000,"&lt;0"))</f>
        <v>0</v>
      </c>
      <c r="J46" s="321">
        <f t="shared" si="3"/>
        <v>15</v>
      </c>
      <c r="K46" s="321">
        <f>IF($J46="","",COUNTIFS('Daily Data'!$E$2:$E$1000,$A46,'Daily Data'!$AH$2:$AH$1000,"&gt;"&amp;$J46,'Daily Data'!$AJ$2:$AJ$1000,1))</f>
        <v>6</v>
      </c>
      <c r="L46" s="323">
        <f>IF(OR($J46="",N($K46)=0),"",IFERROR(SUMIFS('Daily Data'!$AI$2:$AI$1000,'Daily Data'!$E$2:$E$1000,$A46,'Daily Data'!$AH$2:$AH$1000,"&lt;="&amp;$J46,'Daily Data'!$AH$2:$AH$1000,"&gt;0")/COUNTIFS('Daily Data'!$E$2:$E$1000,$A46,'Daily Data'!$AH$2:$AH$1000,"&lt;="&amp;$J46,'Daily Data'!$AH$2:$AH$1000,"&gt;0",'Daily Data'!$AJ$2:$AJ$1000,1),0))</f>
        <v>29.142857142857142</v>
      </c>
      <c r="M46" s="323">
        <f>IF(OR($J46="",N($K46)=0),"",SUMIFS('Daily Data'!$AI$2:$AI$1000,'Daily Data'!$E$2:$E$1000,$A46,'Daily Data'!$AH$2:$AH$1000,"&gt;"&amp;$J46,'Daily Data'!$AJ$2:$AJ$1000,1)/$K46)</f>
        <v>25.833333333333332</v>
      </c>
      <c r="N46" s="323">
        <f>IF(OR($J46="",N($K46)=0),"",SUMPRODUCT(('Daily Data'!$E$2:$E$1000=$A46)*('Daily Data'!$AH$2:$AH$1000&gt;$J46)*('Daily Data'!$AJ$2:$AJ$1000=1)*ABS('Daily Data'!$AI$2:$AI$1000-$L46))/$K46)</f>
        <v>9.8333333333333339</v>
      </c>
      <c r="O46" s="324">
        <f t="shared" si="4"/>
        <v>0.38064516129032261</v>
      </c>
      <c r="P46" s="323">
        <f t="shared" si="5"/>
        <v>3.3095238095238102</v>
      </c>
      <c r="Q46" s="322">
        <f t="shared" si="6"/>
        <v>-2.0193704600484264</v>
      </c>
      <c r="R46" s="324">
        <f t="shared" si="7"/>
        <v>0.59090909090909094</v>
      </c>
      <c r="S46" s="328" t="str">
        <f t="shared" si="8"/>
        <v>ACCEPTABLE</v>
      </c>
      <c r="T46" s="328" t="str">
        <f t="shared" si="9"/>
        <v>BELOW TARGET</v>
      </c>
      <c r="U46" s="323">
        <f t="shared" si="10"/>
        <v>59</v>
      </c>
      <c r="V46" s="323">
        <f t="shared" si="11"/>
        <v>155</v>
      </c>
      <c r="W46" s="321">
        <f>IF($A46="","",SUMIFS('Daily Data'!$AJ$2:$AJ$1000,'Daily Data'!$E$2:$E$1000,$A46))</f>
        <v>13</v>
      </c>
    </row>
    <row r="47" spans="1:23" x14ac:dyDescent="0.25">
      <c r="A47" s="320" t="str">
        <f>IF('Item Purchases'!$B23="","",'Item Purchases'!$B23)</f>
        <v>Oolong Tea 300ml</v>
      </c>
      <c r="B47" s="321">
        <f>IF($A47="","",COUNTIFS('Daily Data'!$E$2:$E$1000,$A47,'Daily Data'!$L$2:$L$1000,1))</f>
        <v>22</v>
      </c>
      <c r="C47" s="323">
        <f>IF($A47="","",N('Item Purchases'!$C23))</f>
        <v>23.642857142857142</v>
      </c>
      <c r="D47" s="323">
        <f>IF($A47="","",N('Item Purchases'!$AD23))</f>
        <v>10.209078054617603</v>
      </c>
      <c r="E47" s="323">
        <f t="shared" si="0"/>
        <v>17.748310966999455</v>
      </c>
      <c r="F47" s="323">
        <f t="shared" si="1"/>
        <v>29.53740331871483</v>
      </c>
      <c r="G47" s="324">
        <f t="shared" si="2"/>
        <v>0.24931615245319533</v>
      </c>
      <c r="H47" s="321">
        <f>IF(OR($A47="",$C47&lt;=0,$D47&lt;=0),"",SUMPRODUCT(('Daily Data'!$E$2:$E$1000=$A47)*('Daily Data'!$AJ$2:$AJ$1000=1)*(ABS('Daily Data'!$AI$2:$AI$1000-$C47)&gt;$B$20*$D47)))</f>
        <v>0</v>
      </c>
      <c r="I47" s="321">
        <f>IF($A47="","",COUNTIFS('Daily Data'!$E$2:$E$1000,$A47,'Daily Data'!$I$2:$I$1000,"&lt;0"))</f>
        <v>0</v>
      </c>
      <c r="J47" s="321">
        <f t="shared" si="3"/>
        <v>15</v>
      </c>
      <c r="K47" s="321">
        <f>IF($J47="","",COUNTIFS('Daily Data'!$E$2:$E$1000,$A47,'Daily Data'!$AH$2:$AH$1000,"&gt;"&amp;$J47,'Daily Data'!$AJ$2:$AJ$1000,1))</f>
        <v>7</v>
      </c>
      <c r="L47" s="323">
        <f>IF(OR($J47="",N($K47)=0),"",IFERROR(SUMIFS('Daily Data'!$AI$2:$AI$1000,'Daily Data'!$E$2:$E$1000,$A47,'Daily Data'!$AH$2:$AH$1000,"&lt;="&amp;$J47,'Daily Data'!$AH$2:$AH$1000,"&gt;0")/COUNTIFS('Daily Data'!$E$2:$E$1000,$A47,'Daily Data'!$AH$2:$AH$1000,"&lt;="&amp;$J47,'Daily Data'!$AH$2:$AH$1000,"&gt;0",'Daily Data'!$AJ$2:$AJ$1000,1),0))</f>
        <v>25.714285714285715</v>
      </c>
      <c r="M47" s="323">
        <f>IF(OR($J47="",N($K47)=0),"",SUMIFS('Daily Data'!$AI$2:$AI$1000,'Daily Data'!$E$2:$E$1000,$A47,'Daily Data'!$AH$2:$AH$1000,"&gt;"&amp;$J47,'Daily Data'!$AJ$2:$AJ$1000,1)/$K47)</f>
        <v>21.571428571428573</v>
      </c>
      <c r="N47" s="323">
        <f>IF(OR($J47="",N($K47)=0),"",SUMPRODUCT(('Daily Data'!$E$2:$E$1000=$A47)*('Daily Data'!$AH$2:$AH$1000&gt;$J47)*('Daily Data'!$AJ$2:$AJ$1000=1)*ABS('Daily Data'!$AI$2:$AI$1000-$L47))/$K47)</f>
        <v>5.6530612244897966</v>
      </c>
      <c r="O47" s="324">
        <f t="shared" si="4"/>
        <v>0.26206244087038788</v>
      </c>
      <c r="P47" s="323">
        <f t="shared" si="5"/>
        <v>4.1428571428571423</v>
      </c>
      <c r="Q47" s="322">
        <f t="shared" si="6"/>
        <v>-5.1299638989169658</v>
      </c>
      <c r="R47" s="324">
        <f t="shared" si="7"/>
        <v>0.63636363636363635</v>
      </c>
      <c r="S47" s="328" t="str">
        <f t="shared" si="8"/>
        <v>DRIFTING</v>
      </c>
      <c r="T47" s="328" t="str">
        <f t="shared" si="9"/>
        <v>BELOW TARGET</v>
      </c>
      <c r="U47" s="323">
        <f t="shared" si="10"/>
        <v>39.571428571428577</v>
      </c>
      <c r="V47" s="323">
        <f t="shared" si="11"/>
        <v>151</v>
      </c>
      <c r="W47" s="321">
        <f>IF($A47="","",SUMIFS('Daily Data'!$AJ$2:$AJ$1000,'Daily Data'!$E$2:$E$1000,$A47))</f>
        <v>14</v>
      </c>
    </row>
    <row r="48" spans="1:23" x14ac:dyDescent="0.25">
      <c r="A48" s="320" t="str">
        <f>IF('Item Purchases'!$B24="","",'Item Purchases'!$B24)</f>
        <v>Vsoy Soya Bean  250ml</v>
      </c>
      <c r="B48" s="321">
        <f>IF($A48="","",COUNTIFS('Daily Data'!$E$2:$E$1000,$A48,'Daily Data'!$L$2:$L$1000,1))</f>
        <v>22</v>
      </c>
      <c r="C48" s="323">
        <f>IF($A48="","",N('Item Purchases'!$C24))</f>
        <v>15.941176470588236</v>
      </c>
      <c r="D48" s="323">
        <f>IF($A48="","",N('Item Purchases'!$AD24))</f>
        <v>5.9464522294934037</v>
      </c>
      <c r="E48" s="323">
        <f t="shared" si="0"/>
        <v>12.88379285311647</v>
      </c>
      <c r="F48" s="323">
        <f t="shared" si="1"/>
        <v>18.998560088060003</v>
      </c>
      <c r="G48" s="324">
        <f t="shared" si="2"/>
        <v>0.19179159223992631</v>
      </c>
      <c r="H48" s="321">
        <f>IF(OR($A48="",$C48&lt;=0,$D48&lt;=0),"",SUMPRODUCT(('Daily Data'!$E$2:$E$1000=$A48)*('Daily Data'!$AJ$2:$AJ$1000=1)*(ABS('Daily Data'!$AI$2:$AI$1000-$C48)&gt;$B$20*$D48)))</f>
        <v>0</v>
      </c>
      <c r="I48" s="321">
        <f>IF($A48="","",COUNTIFS('Daily Data'!$E$2:$E$1000,$A48,'Daily Data'!$I$2:$I$1000,"&lt;0"))</f>
        <v>0</v>
      </c>
      <c r="J48" s="321">
        <f t="shared" si="3"/>
        <v>15</v>
      </c>
      <c r="K48" s="321">
        <f>IF($J48="","",COUNTIFS('Daily Data'!$E$2:$E$1000,$A48,'Daily Data'!$AH$2:$AH$1000,"&gt;"&amp;$J48,'Daily Data'!$AJ$2:$AJ$1000,1))</f>
        <v>7</v>
      </c>
      <c r="L48" s="323">
        <f>IF(OR($J48="",N($K48)=0),"",IFERROR(SUMIFS('Daily Data'!$AI$2:$AI$1000,'Daily Data'!$E$2:$E$1000,$A48,'Daily Data'!$AH$2:$AH$1000,"&lt;="&amp;$J48,'Daily Data'!$AH$2:$AH$1000,"&gt;0")/COUNTIFS('Daily Data'!$E$2:$E$1000,$A48,'Daily Data'!$AH$2:$AH$1000,"&lt;="&amp;$J48,'Daily Data'!$AH$2:$AH$1000,"&gt;0",'Daily Data'!$AJ$2:$AJ$1000,1),0))</f>
        <v>15.4</v>
      </c>
      <c r="M48" s="323">
        <f>IF(OR($J48="",N($K48)=0),"",SUMIFS('Daily Data'!$AI$2:$AI$1000,'Daily Data'!$E$2:$E$1000,$A48,'Daily Data'!$AH$2:$AH$1000,"&gt;"&amp;$J48,'Daily Data'!$AJ$2:$AJ$1000,1)/$K48)</f>
        <v>16.714285714285715</v>
      </c>
      <c r="N48" s="323">
        <f>IF(OR($J48="",N($K48)=0),"",SUMPRODUCT(('Daily Data'!$E$2:$E$1000=$A48)*('Daily Data'!$AH$2:$AH$1000&gt;$J48)*('Daily Data'!$AJ$2:$AJ$1000=1)*ABS('Daily Data'!$AI$2:$AI$1000-$L48))/$K48)</f>
        <v>3.7714285714285714</v>
      </c>
      <c r="O48" s="324">
        <f t="shared" si="4"/>
        <v>0.22564102564102562</v>
      </c>
      <c r="P48" s="323">
        <f t="shared" si="5"/>
        <v>-1.3142857142857149</v>
      </c>
      <c r="Q48" s="322">
        <f t="shared" si="6"/>
        <v>2.4393939393939408</v>
      </c>
      <c r="R48" s="324">
        <f t="shared" si="7"/>
        <v>0.77272727272727271</v>
      </c>
      <c r="S48" s="328" t="str">
        <f t="shared" si="8"/>
        <v>ACCEPTABLE</v>
      </c>
      <c r="T48" s="328" t="str">
        <f t="shared" si="9"/>
        <v>BELOW TARGET</v>
      </c>
      <c r="U48" s="323">
        <f t="shared" si="10"/>
        <v>26.4</v>
      </c>
      <c r="V48" s="323">
        <f t="shared" si="11"/>
        <v>117</v>
      </c>
      <c r="W48" s="321">
        <f>IF($A48="","",SUMIFS('Daily Data'!$AJ$2:$AJ$1000,'Daily Data'!$E$2:$E$1000,$A48))</f>
        <v>17</v>
      </c>
    </row>
    <row r="49" spans="1:23" x14ac:dyDescent="0.25">
      <c r="A49" s="320" t="str">
        <f>IF('Item Purchases'!$B25="","",'Item Purchases'!$B25)</f>
        <v>BingRae Banana Milk 200ml</v>
      </c>
      <c r="B49" s="321">
        <f>IF($A49="","",COUNTIFS('Daily Data'!$E$2:$E$1000,$A49,'Daily Data'!$L$2:$L$1000,1))</f>
        <v>22</v>
      </c>
      <c r="C49" s="323">
        <f>IF($A49="","",N('Item Purchases'!$C25))</f>
        <v>7.6875</v>
      </c>
      <c r="D49" s="323">
        <f>IF($A49="","",N('Item Purchases'!$AD25))</f>
        <v>5.3025151264910759</v>
      </c>
      <c r="E49" s="323">
        <f t="shared" si="0"/>
        <v>4.8619891358291918</v>
      </c>
      <c r="F49" s="323">
        <f t="shared" si="1"/>
        <v>10.513010864170809</v>
      </c>
      <c r="G49" s="324">
        <f t="shared" si="2"/>
        <v>0.36754612867262548</v>
      </c>
      <c r="H49" s="321">
        <f>IF(OR($A49="",$C49&lt;=0,$D49&lt;=0),"",SUMPRODUCT(('Daily Data'!$E$2:$E$1000=$A49)*('Daily Data'!$AJ$2:$AJ$1000=1)*(ABS('Daily Data'!$AI$2:$AI$1000-$C49)&gt;$B$20*$D49)))</f>
        <v>0</v>
      </c>
      <c r="I49" s="321">
        <f>IF($A49="","",COUNTIFS('Daily Data'!$E$2:$E$1000,$A49,'Daily Data'!$I$2:$I$1000,"&lt;0"))</f>
        <v>0</v>
      </c>
      <c r="J49" s="321">
        <f t="shared" si="3"/>
        <v>15</v>
      </c>
      <c r="K49" s="321">
        <f>IF($J49="","",COUNTIFS('Daily Data'!$E$2:$E$1000,$A49,'Daily Data'!$AH$2:$AH$1000,"&gt;"&amp;$J49,'Daily Data'!$AJ$2:$AJ$1000,1))</f>
        <v>4</v>
      </c>
      <c r="L49" s="323">
        <f>IF(OR($J49="",N($K49)=0),"",IFERROR(SUMIFS('Daily Data'!$AI$2:$AI$1000,'Daily Data'!$E$2:$E$1000,$A49,'Daily Data'!$AH$2:$AH$1000,"&lt;="&amp;$J49,'Daily Data'!$AH$2:$AH$1000,"&gt;0")/COUNTIFS('Daily Data'!$E$2:$E$1000,$A49,'Daily Data'!$AH$2:$AH$1000,"&lt;="&amp;$J49,'Daily Data'!$AH$2:$AH$1000,"&gt;0",'Daily Data'!$AJ$2:$AJ$1000,1),0))</f>
        <v>7.083333333333333</v>
      </c>
      <c r="M49" s="323">
        <f>IF(OR($J49="",N($K49)=0),"",SUMIFS('Daily Data'!$AI$2:$AI$1000,'Daily Data'!$E$2:$E$1000,$A49,'Daily Data'!$AH$2:$AH$1000,"&gt;"&amp;$J49,'Daily Data'!$AJ$2:$AJ$1000,1)/$K49)</f>
        <v>8.75</v>
      </c>
      <c r="N49" s="323">
        <f>IF(OR($J49="",N($K49)=0),"",SUMPRODUCT(('Daily Data'!$E$2:$E$1000=$A49)*('Daily Data'!$AH$2:$AH$1000&gt;$J49)*('Daily Data'!$AJ$2:$AJ$1000=1)*ABS('Daily Data'!$AI$2:$AI$1000-$L49))/$K49)</f>
        <v>5.25</v>
      </c>
      <c r="O49" s="324">
        <f t="shared" si="4"/>
        <v>0.6</v>
      </c>
      <c r="P49" s="323">
        <f t="shared" si="5"/>
        <v>-1.666666666666667</v>
      </c>
      <c r="Q49" s="322">
        <f t="shared" si="6"/>
        <v>1.26984126984127</v>
      </c>
      <c r="R49" s="324">
        <f t="shared" si="7"/>
        <v>0.72727272727272729</v>
      </c>
      <c r="S49" s="328" t="str">
        <f t="shared" si="8"/>
        <v>POOR</v>
      </c>
      <c r="T49" s="328" t="str">
        <f t="shared" si="9"/>
        <v>BELOW TARGET</v>
      </c>
      <c r="U49" s="323">
        <f t="shared" si="10"/>
        <v>21</v>
      </c>
      <c r="V49" s="323">
        <f t="shared" si="11"/>
        <v>35</v>
      </c>
      <c r="W49" s="321">
        <f>IF($A49="","",SUMIFS('Daily Data'!$AJ$2:$AJ$1000,'Daily Data'!$E$2:$E$1000,$A49))</f>
        <v>16</v>
      </c>
    </row>
    <row r="50" spans="1:23" x14ac:dyDescent="0.25">
      <c r="A50" s="320" t="str">
        <f>IF('Item Purchases'!$B26="","",'Item Purchases'!$B26)</f>
        <v>Fuze Tea by Heaven and Earth Jasmine Tea</v>
      </c>
      <c r="B50" s="321">
        <f>IF($A50="","",COUNTIFS('Daily Data'!$E$2:$E$1000,$A50,'Daily Data'!$L$2:$L$1000,1))</f>
        <v>22</v>
      </c>
      <c r="C50" s="323">
        <f>IF($A50="","",N('Item Purchases'!$C26))</f>
        <v>0</v>
      </c>
      <c r="D50" s="323">
        <f>IF($A50="","",N('Item Purchases'!$AD26))</f>
        <v>0</v>
      </c>
      <c r="E50" s="323" t="str">
        <f t="shared" si="0"/>
        <v/>
      </c>
      <c r="F50" s="323" t="str">
        <f t="shared" si="1"/>
        <v/>
      </c>
      <c r="G50" s="324" t="str">
        <f t="shared" si="2"/>
        <v/>
      </c>
      <c r="H50" s="321" t="str">
        <f>IF(OR($A50="",$C50&lt;=0,$D50&lt;=0),"",SUMPRODUCT(('Daily Data'!$E$2:$E$1000=$A50)*('Daily Data'!$AJ$2:$AJ$1000=1)*(ABS('Daily Data'!$AI$2:$AI$1000-$C50)&gt;$B$20*$D50)))</f>
        <v/>
      </c>
      <c r="I50" s="321">
        <f>IF($A50="","",COUNTIFS('Daily Data'!$E$2:$E$1000,$A50,'Daily Data'!$I$2:$I$1000,"&lt;0"))</f>
        <v>0</v>
      </c>
      <c r="J50" s="321">
        <f t="shared" si="3"/>
        <v>15</v>
      </c>
      <c r="K50" s="321">
        <f>IF($J50="","",COUNTIFS('Daily Data'!$E$2:$E$1000,$A50,'Daily Data'!$AH$2:$AH$1000,"&gt;"&amp;$J50,'Daily Data'!$AJ$2:$AJ$1000,1))</f>
        <v>0</v>
      </c>
      <c r="L50" s="323" t="str">
        <f>IF(OR($J50="",N($K50)=0),"",IFERROR(SUMIFS('Daily Data'!$AI$2:$AI$1000,'Daily Data'!$E$2:$E$1000,$A50,'Daily Data'!$AH$2:$AH$1000,"&lt;="&amp;$J50,'Daily Data'!$AH$2:$AH$1000,"&gt;0")/COUNTIFS('Daily Data'!$E$2:$E$1000,$A50,'Daily Data'!$AH$2:$AH$1000,"&lt;="&amp;$J50,'Daily Data'!$AH$2:$AH$1000,"&gt;0",'Daily Data'!$AJ$2:$AJ$1000,1),0))</f>
        <v/>
      </c>
      <c r="M50" s="323" t="str">
        <f>IF(OR($J50="",N($K50)=0),"",SUMIFS('Daily Data'!$AI$2:$AI$1000,'Daily Data'!$E$2:$E$1000,$A50,'Daily Data'!$AH$2:$AH$1000,"&gt;"&amp;$J50,'Daily Data'!$AJ$2:$AJ$1000,1)/$K50)</f>
        <v/>
      </c>
      <c r="N50" s="323" t="str">
        <f>IF(OR($J50="",N($K50)=0),"",SUMPRODUCT(('Daily Data'!$E$2:$E$1000=$A50)*('Daily Data'!$AH$2:$AH$1000&gt;$J50)*('Daily Data'!$AJ$2:$AJ$1000=1)*ABS('Daily Data'!$AI$2:$AI$1000-$L50))/$K50)</f>
        <v/>
      </c>
      <c r="O50" s="324" t="str">
        <f t="shared" si="4"/>
        <v/>
      </c>
      <c r="P50" s="323" t="str">
        <f t="shared" si="5"/>
        <v/>
      </c>
      <c r="Q50" s="322" t="str">
        <f t="shared" si="6"/>
        <v/>
      </c>
      <c r="R50" s="324">
        <f t="shared" si="7"/>
        <v>0</v>
      </c>
      <c r="S50" s="328" t="str">
        <f t="shared" si="8"/>
        <v>NO USAGE</v>
      </c>
      <c r="T50" s="328" t="str">
        <f t="shared" si="9"/>
        <v>-</v>
      </c>
      <c r="U50" s="323" t="str">
        <f t="shared" si="10"/>
        <v/>
      </c>
      <c r="V50" s="323" t="str">
        <f t="shared" si="11"/>
        <v/>
      </c>
      <c r="W50" s="321">
        <f>IF($A50="","",SUMIFS('Daily Data'!$AJ$2:$AJ$1000,'Daily Data'!$E$2:$E$1000,$A50))</f>
        <v>0</v>
      </c>
    </row>
    <row r="51" spans="1:23" x14ac:dyDescent="0.25">
      <c r="A51" s="320" t="str">
        <f>IF('Item Purchases'!$B27="","",'Item Purchases'!$B27)</f>
        <v>FN 100 plus (original) 325ml</v>
      </c>
      <c r="B51" s="321">
        <f>IF($A51="","",COUNTIFS('Daily Data'!$E$2:$E$1000,$A51,'Daily Data'!$L$2:$L$1000,1))</f>
        <v>22</v>
      </c>
      <c r="C51" s="323">
        <f>IF($A51="","",N('Item Purchases'!$C27))</f>
        <v>9.3181818181818183</v>
      </c>
      <c r="D51" s="323">
        <f>IF($A51="","",N('Item Purchases'!$AD27))</f>
        <v>4.8832694320834218</v>
      </c>
      <c r="E51" s="323">
        <f t="shared" si="0"/>
        <v>7.1530614453817627</v>
      </c>
      <c r="F51" s="323">
        <f t="shared" si="1"/>
        <v>11.483302190981874</v>
      </c>
      <c r="G51" s="324">
        <f t="shared" si="2"/>
        <v>0.23235438147122545</v>
      </c>
      <c r="H51" s="321">
        <f>IF(OR($A51="",$C51&lt;=0,$D51&lt;=0),"",SUMPRODUCT(('Daily Data'!$E$2:$E$1000=$A51)*('Daily Data'!$AJ$2:$AJ$1000=1)*(ABS('Daily Data'!$AI$2:$AI$1000-$C51)&gt;$B$20*$D51)))</f>
        <v>0</v>
      </c>
      <c r="I51" s="321">
        <f>IF($A51="","",COUNTIFS('Daily Data'!$E$2:$E$1000,$A51,'Daily Data'!$I$2:$I$1000,"&lt;0"))</f>
        <v>0</v>
      </c>
      <c r="J51" s="321">
        <f t="shared" si="3"/>
        <v>15</v>
      </c>
      <c r="K51" s="321">
        <f>IF($J51="","",COUNTIFS('Daily Data'!$E$2:$E$1000,$A51,'Daily Data'!$AH$2:$AH$1000,"&gt;"&amp;$J51,'Daily Data'!$AJ$2:$AJ$1000,1))</f>
        <v>7</v>
      </c>
      <c r="L51" s="323">
        <f>IF(OR($J51="",N($K51)=0),"",IFERROR(SUMIFS('Daily Data'!$AI$2:$AI$1000,'Daily Data'!$E$2:$E$1000,$A51,'Daily Data'!$AH$2:$AH$1000,"&lt;="&amp;$J51,'Daily Data'!$AH$2:$AH$1000,"&gt;0")/COUNTIFS('Daily Data'!$E$2:$E$1000,$A51,'Daily Data'!$AH$2:$AH$1000,"&lt;="&amp;$J51,'Daily Data'!$AH$2:$AH$1000,"&gt;0",'Daily Data'!$AJ$2:$AJ$1000,1),0))</f>
        <v>9.1999999999999993</v>
      </c>
      <c r="M51" s="323">
        <f>IF(OR($J51="",N($K51)=0),"",SUMIFS('Daily Data'!$AI$2:$AI$1000,'Daily Data'!$E$2:$E$1000,$A51,'Daily Data'!$AH$2:$AH$1000,"&gt;"&amp;$J51,'Daily Data'!$AJ$2:$AJ$1000,1)/$K51)</f>
        <v>9.5714285714285712</v>
      </c>
      <c r="N51" s="323">
        <f>IF(OR($J51="",N($K51)=0),"",SUMPRODUCT(('Daily Data'!$E$2:$E$1000=$A51)*('Daily Data'!$AH$2:$AH$1000&gt;$J51)*('Daily Data'!$AJ$2:$AJ$1000=1)*ABS('Daily Data'!$AI$2:$AI$1000-$L51))/$K51)</f>
        <v>3.5142857142857138</v>
      </c>
      <c r="O51" s="324">
        <f t="shared" si="4"/>
        <v>0.36716417910447757</v>
      </c>
      <c r="P51" s="323">
        <f t="shared" si="5"/>
        <v>-0.37142857142857189</v>
      </c>
      <c r="Q51" s="322">
        <f t="shared" si="6"/>
        <v>0.73983739837398477</v>
      </c>
      <c r="R51" s="324">
        <f t="shared" si="7"/>
        <v>1</v>
      </c>
      <c r="S51" s="328" t="str">
        <f t="shared" si="8"/>
        <v>ACCEPTABLE</v>
      </c>
      <c r="T51" s="328" t="str">
        <f t="shared" si="9"/>
        <v>OK</v>
      </c>
      <c r="U51" s="323">
        <f t="shared" si="10"/>
        <v>24.599999999999998</v>
      </c>
      <c r="V51" s="323">
        <f t="shared" si="11"/>
        <v>67</v>
      </c>
      <c r="W51" s="321">
        <f>IF($A51="","",SUMIFS('Daily Data'!$AJ$2:$AJ$1000,'Daily Data'!$E$2:$E$1000,$A51))</f>
        <v>22</v>
      </c>
    </row>
    <row r="52" spans="1:23" x14ac:dyDescent="0.25">
      <c r="A52" s="320" t="str">
        <f>IF('Item Purchases'!$B28="","",'Item Purchases'!$B28)</f>
        <v>Spritzer sparkling water (original) 400ml</v>
      </c>
      <c r="B52" s="321">
        <f>IF($A52="","",COUNTIFS('Daily Data'!$E$2:$E$1000,$A52,'Daily Data'!$L$2:$L$1000,1))</f>
        <v>22</v>
      </c>
      <c r="C52" s="323">
        <f>IF($A52="","",N('Item Purchases'!$C28))</f>
        <v>24</v>
      </c>
      <c r="D52" s="323">
        <f>IF($A52="","",N('Item Purchases'!$AD28))</f>
        <v>13.430597618161016</v>
      </c>
      <c r="E52" s="323">
        <f t="shared" si="0"/>
        <v>18.04520661282579</v>
      </c>
      <c r="F52" s="323">
        <f t="shared" si="1"/>
        <v>29.95479338717421</v>
      </c>
      <c r="G52" s="324">
        <f t="shared" si="2"/>
        <v>0.2481163911322587</v>
      </c>
      <c r="H52" s="321">
        <f>IF(OR($A52="",$C52&lt;=0,$D52&lt;=0),"",SUMPRODUCT(('Daily Data'!$E$2:$E$1000=$A52)*('Daily Data'!$AJ$2:$AJ$1000=1)*(ABS('Daily Data'!$AI$2:$AI$1000-$C52)&gt;$B$20*$D52)))</f>
        <v>0</v>
      </c>
      <c r="I52" s="321">
        <f>IF($A52="","",COUNTIFS('Daily Data'!$E$2:$E$1000,$A52,'Daily Data'!$I$2:$I$1000,"&lt;0"))</f>
        <v>0</v>
      </c>
      <c r="J52" s="321">
        <f t="shared" si="3"/>
        <v>15</v>
      </c>
      <c r="K52" s="321">
        <f>IF($J52="","",COUNTIFS('Daily Data'!$E$2:$E$1000,$A52,'Daily Data'!$AH$2:$AH$1000,"&gt;"&amp;$J52,'Daily Data'!$AJ$2:$AJ$1000,1))</f>
        <v>7</v>
      </c>
      <c r="L52" s="323">
        <f>IF(OR($J52="",N($K52)=0),"",IFERROR(SUMIFS('Daily Data'!$AI$2:$AI$1000,'Daily Data'!$E$2:$E$1000,$A52,'Daily Data'!$AH$2:$AH$1000,"&lt;="&amp;$J52,'Daily Data'!$AH$2:$AH$1000,"&gt;0")/COUNTIFS('Daily Data'!$E$2:$E$1000,$A52,'Daily Data'!$AH$2:$AH$1000,"&lt;="&amp;$J52,'Daily Data'!$AH$2:$AH$1000,"&gt;0",'Daily Data'!$AJ$2:$AJ$1000,1),0))</f>
        <v>23.6</v>
      </c>
      <c r="M52" s="323">
        <f>IF(OR($J52="",N($K52)=0),"",SUMIFS('Daily Data'!$AI$2:$AI$1000,'Daily Data'!$E$2:$E$1000,$A52,'Daily Data'!$AH$2:$AH$1000,"&gt;"&amp;$J52,'Daily Data'!$AJ$2:$AJ$1000,1)/$K52)</f>
        <v>24.857142857142858</v>
      </c>
      <c r="N52" s="323">
        <f>IF(OR($J52="",N($K52)=0),"",SUMPRODUCT(('Daily Data'!$E$2:$E$1000=$A52)*('Daily Data'!$AH$2:$AH$1000&gt;$J52)*('Daily Data'!$AJ$2:$AJ$1000=1)*ABS('Daily Data'!$AI$2:$AI$1000-$L52))/$K52)</f>
        <v>13.028571428571427</v>
      </c>
      <c r="O52" s="324">
        <f t="shared" si="4"/>
        <v>0.5241379310344827</v>
      </c>
      <c r="P52" s="323">
        <f t="shared" si="5"/>
        <v>-1.2571428571428562</v>
      </c>
      <c r="Q52" s="322">
        <f t="shared" si="6"/>
        <v>0.67543859649122773</v>
      </c>
      <c r="R52" s="324">
        <f t="shared" si="7"/>
        <v>1</v>
      </c>
      <c r="S52" s="328" t="str">
        <f t="shared" si="8"/>
        <v>POOR</v>
      </c>
      <c r="T52" s="328" t="str">
        <f t="shared" si="9"/>
        <v>OK</v>
      </c>
      <c r="U52" s="323">
        <f t="shared" si="10"/>
        <v>91.199999999999989</v>
      </c>
      <c r="V52" s="323">
        <f t="shared" si="11"/>
        <v>174</v>
      </c>
      <c r="W52" s="321">
        <f>IF($A52="","",SUMIFS('Daily Data'!$AJ$2:$AJ$1000,'Daily Data'!$E$2:$E$1000,$A52))</f>
        <v>22</v>
      </c>
    </row>
    <row r="53" spans="1:23" x14ac:dyDescent="0.25">
      <c r="A53" s="320" t="str">
        <f>IF('Item Purchases'!$B29="","",'Item Purchases'!$B29)</f>
        <v>Oat Side Original 200ml</v>
      </c>
      <c r="B53" s="321">
        <f>IF($A53="","",COUNTIFS('Daily Data'!$E$2:$E$1000,$A53,'Daily Data'!$L$2:$L$1000,1))</f>
        <v>22</v>
      </c>
      <c r="C53" s="323">
        <f>IF($A53="","",N('Item Purchases'!$C29))</f>
        <v>13.5</v>
      </c>
      <c r="D53" s="323">
        <f>IF($A53="","",N('Item Purchases'!$AD29))</f>
        <v>5.6799564049299498</v>
      </c>
      <c r="E53" s="323">
        <f t="shared" si="0"/>
        <v>10.981648411997778</v>
      </c>
      <c r="F53" s="323">
        <f t="shared" si="1"/>
        <v>16.018351588002222</v>
      </c>
      <c r="G53" s="324">
        <f t="shared" si="2"/>
        <v>0.18654456207423867</v>
      </c>
      <c r="H53" s="321">
        <f>IF(OR($A53="",$C53&lt;=0,$D53&lt;=0),"",SUMPRODUCT(('Daily Data'!$E$2:$E$1000=$A53)*('Daily Data'!$AJ$2:$AJ$1000=1)*(ABS('Daily Data'!$AI$2:$AI$1000-$C53)&gt;$B$20*$D53)))</f>
        <v>0</v>
      </c>
      <c r="I53" s="321">
        <f>IF($A53="","",COUNTIFS('Daily Data'!$E$2:$E$1000,$A53,'Daily Data'!$I$2:$I$1000,"&lt;0"))</f>
        <v>0</v>
      </c>
      <c r="J53" s="321">
        <f t="shared" si="3"/>
        <v>15</v>
      </c>
      <c r="K53" s="321">
        <f>IF($J53="","",COUNTIFS('Daily Data'!$E$2:$E$1000,$A53,'Daily Data'!$AH$2:$AH$1000,"&gt;"&amp;$J53,'Daily Data'!$AJ$2:$AJ$1000,1))</f>
        <v>7</v>
      </c>
      <c r="L53" s="323">
        <f>IF(OR($J53="",N($K53)=0),"",IFERROR(SUMIFS('Daily Data'!$AI$2:$AI$1000,'Daily Data'!$E$2:$E$1000,$A53,'Daily Data'!$AH$2:$AH$1000,"&lt;="&amp;$J53,'Daily Data'!$AH$2:$AH$1000,"&gt;0")/COUNTIFS('Daily Data'!$E$2:$E$1000,$A53,'Daily Data'!$AH$2:$AH$1000,"&lt;="&amp;$J53,'Daily Data'!$AH$2:$AH$1000,"&gt;0",'Daily Data'!$AJ$2:$AJ$1000,1),0))</f>
        <v>12.2</v>
      </c>
      <c r="M53" s="323">
        <f>IF(OR($J53="",N($K53)=0),"",SUMIFS('Daily Data'!$AI$2:$AI$1000,'Daily Data'!$E$2:$E$1000,$A53,'Daily Data'!$AH$2:$AH$1000,"&gt;"&amp;$J53,'Daily Data'!$AJ$2:$AJ$1000,1)/$K53)</f>
        <v>16.285714285714285</v>
      </c>
      <c r="N53" s="323">
        <f>IF(OR($J53="",N($K53)=0),"",SUMPRODUCT(('Daily Data'!$E$2:$E$1000=$A53)*('Daily Data'!$AH$2:$AH$1000&gt;$J53)*('Daily Data'!$AJ$2:$AJ$1000=1)*ABS('Daily Data'!$AI$2:$AI$1000-$L53))/$K53)</f>
        <v>4.1428571428571432</v>
      </c>
      <c r="O53" s="324">
        <f t="shared" si="4"/>
        <v>0.25438596491228072</v>
      </c>
      <c r="P53" s="323">
        <f t="shared" si="5"/>
        <v>-4.0857142857142854</v>
      </c>
      <c r="Q53" s="322">
        <f t="shared" si="6"/>
        <v>6.9034482758620674</v>
      </c>
      <c r="R53" s="324">
        <f t="shared" si="7"/>
        <v>1</v>
      </c>
      <c r="S53" s="328" t="str">
        <f t="shared" si="8"/>
        <v>DRIFTING</v>
      </c>
      <c r="T53" s="328" t="str">
        <f t="shared" si="9"/>
        <v>OK</v>
      </c>
      <c r="U53" s="323">
        <f t="shared" si="10"/>
        <v>29.000000000000004</v>
      </c>
      <c r="V53" s="323">
        <f t="shared" si="11"/>
        <v>114</v>
      </c>
      <c r="W53" s="321">
        <f>IF($A53="","",SUMIFS('Daily Data'!$AJ$2:$AJ$1000,'Daily Data'!$E$2:$E$1000,$A53))</f>
        <v>22</v>
      </c>
    </row>
    <row r="54" spans="1:23" x14ac:dyDescent="0.25">
      <c r="A54" s="320" t="str">
        <f>IF('Item Purchases'!$B30="","",'Item Purchases'!$B30)</f>
        <v>Oat Side Chocolate 200ml</v>
      </c>
      <c r="B54" s="321">
        <f>IF($A54="","",COUNTIFS('Daily Data'!$E$2:$E$1000,$A54,'Daily Data'!$L$2:$L$1000,1))</f>
        <v>22</v>
      </c>
      <c r="C54" s="323">
        <f>IF($A54="","",N('Item Purchases'!$C30))</f>
        <v>20.157894736842106</v>
      </c>
      <c r="D54" s="323">
        <f>IF($A54="","",N('Item Purchases'!$AD30))</f>
        <v>11.807916860513345</v>
      </c>
      <c r="E54" s="323">
        <f t="shared" si="0"/>
        <v>14.466660986551156</v>
      </c>
      <c r="F54" s="323">
        <f t="shared" si="1"/>
        <v>25.849128487133058</v>
      </c>
      <c r="G54" s="324">
        <f t="shared" si="2"/>
        <v>0.28233274479250142</v>
      </c>
      <c r="H54" s="321">
        <f>IF(OR($A54="",$C54&lt;=0,$D54&lt;=0),"",SUMPRODUCT(('Daily Data'!$E$2:$E$1000=$A54)*('Daily Data'!$AJ$2:$AJ$1000=1)*(ABS('Daily Data'!$AI$2:$AI$1000-$C54)&gt;$B$20*$D54)))</f>
        <v>0</v>
      </c>
      <c r="I54" s="321">
        <f>IF($A54="","",COUNTIFS('Daily Data'!$E$2:$E$1000,$A54,'Daily Data'!$I$2:$I$1000,"&lt;0"))</f>
        <v>0</v>
      </c>
      <c r="J54" s="321">
        <f t="shared" si="3"/>
        <v>15</v>
      </c>
      <c r="K54" s="321">
        <f>IF($J54="","",COUNTIFS('Daily Data'!$E$2:$E$1000,$A54,'Daily Data'!$AH$2:$AH$1000,"&gt;"&amp;$J54,'Daily Data'!$AJ$2:$AJ$1000,1))</f>
        <v>7</v>
      </c>
      <c r="L54" s="323">
        <f>IF(OR($J54="",N($K54)=0),"",IFERROR(SUMIFS('Daily Data'!$AI$2:$AI$1000,'Daily Data'!$E$2:$E$1000,$A54,'Daily Data'!$AH$2:$AH$1000,"&lt;="&amp;$J54,'Daily Data'!$AH$2:$AH$1000,"&gt;0")/COUNTIFS('Daily Data'!$E$2:$E$1000,$A54,'Daily Data'!$AH$2:$AH$1000,"&lt;="&amp;$J54,'Daily Data'!$AH$2:$AH$1000,"&gt;0",'Daily Data'!$AJ$2:$AJ$1000,1),0))</f>
        <v>21.5</v>
      </c>
      <c r="M54" s="323">
        <f>IF(OR($J54="",N($K54)=0),"",SUMIFS('Daily Data'!$AI$2:$AI$1000,'Daily Data'!$E$2:$E$1000,$A54,'Daily Data'!$AH$2:$AH$1000,"&gt;"&amp;$J54,'Daily Data'!$AJ$2:$AJ$1000,1)/$K54)</f>
        <v>17.857142857142858</v>
      </c>
      <c r="N54" s="323">
        <f>IF(OR($J54="",N($K54)=0),"",SUMPRODUCT(('Daily Data'!$E$2:$E$1000=$A54)*('Daily Data'!$AH$2:$AH$1000&gt;$J54)*('Daily Data'!$AJ$2:$AJ$1000=1)*ABS('Daily Data'!$AI$2:$AI$1000-$L54))/$K54)</f>
        <v>6.5</v>
      </c>
      <c r="O54" s="324">
        <f t="shared" si="4"/>
        <v>0.36399999999999999</v>
      </c>
      <c r="P54" s="323">
        <f t="shared" si="5"/>
        <v>3.6428571428571423</v>
      </c>
      <c r="Q54" s="322">
        <f t="shared" si="6"/>
        <v>-3.9230769230769225</v>
      </c>
      <c r="R54" s="324">
        <f t="shared" si="7"/>
        <v>0.86363636363636365</v>
      </c>
      <c r="S54" s="328" t="str">
        <f t="shared" si="8"/>
        <v>ACCEPTABLE</v>
      </c>
      <c r="T54" s="328" t="str">
        <f t="shared" si="9"/>
        <v>BELOW TARGET</v>
      </c>
      <c r="U54" s="323">
        <f t="shared" si="10"/>
        <v>45.5</v>
      </c>
      <c r="V54" s="323">
        <f t="shared" si="11"/>
        <v>125</v>
      </c>
      <c r="W54" s="321">
        <f>IF($A54="","",SUMIFS('Daily Data'!$AJ$2:$AJ$1000,'Daily Data'!$E$2:$E$1000,$A54))</f>
        <v>19</v>
      </c>
    </row>
    <row r="55" spans="1:23" x14ac:dyDescent="0.25">
      <c r="A55" s="329" t="s">
        <v>473</v>
      </c>
      <c r="B55" s="321">
        <f>SUM(B28:B54)</f>
        <v>556</v>
      </c>
      <c r="C55" s="320" t="s">
        <v>417</v>
      </c>
      <c r="D55" s="320" t="s">
        <v>417</v>
      </c>
      <c r="E55" s="320" t="s">
        <v>417</v>
      </c>
      <c r="F55" s="320" t="s">
        <v>417</v>
      </c>
      <c r="G55" s="320" t="s">
        <v>417</v>
      </c>
      <c r="H55" s="321">
        <f>SUM(H28:H54)</f>
        <v>0</v>
      </c>
      <c r="I55" s="321">
        <f>SUM(I28:I54)</f>
        <v>0</v>
      </c>
      <c r="J55" s="320" t="s">
        <v>417</v>
      </c>
      <c r="K55" s="320" t="s">
        <v>417</v>
      </c>
      <c r="L55" s="320" t="s">
        <v>417</v>
      </c>
      <c r="M55" s="320" t="s">
        <v>417</v>
      </c>
      <c r="N55" s="320" t="s">
        <v>417</v>
      </c>
      <c r="O55" s="324">
        <f>IFERROR(SUM(U28:U54)/SUM(V28:V54),"")</f>
        <v>0.41271837070375689</v>
      </c>
      <c r="P55" s="320" t="s">
        <v>417</v>
      </c>
      <c r="Q55" s="320" t="s">
        <v>417</v>
      </c>
      <c r="R55" s="320" t="s">
        <v>417</v>
      </c>
      <c r="S55" s="328" t="str">
        <f>COUNTIF(S28:S54,"GOOD")&amp;" good, "&amp;COUNTIF(S28:S54,"ACCEPTABLE")&amp;" ok, "&amp;(COUNTIF(S28:S54,"POOR")+COUNTIF(S28:S54,"DRIFTING"))&amp;" to review"</f>
        <v>0 good, 8 ok, 14 to review</v>
      </c>
      <c r="T55" s="320" t="s">
        <v>417</v>
      </c>
      <c r="U55" s="323">
        <f>SUM(U28:U54)</f>
        <v>790.76839826839819</v>
      </c>
      <c r="V55" s="323">
        <f>SUM(V28:V54)</f>
        <v>1916</v>
      </c>
      <c r="W55" s="321">
        <f>SUM(W28:W54)</f>
        <v>410</v>
      </c>
    </row>
    <row r="57" spans="1:23" x14ac:dyDescent="0.25">
      <c r="A57" s="329" t="s">
        <v>474</v>
      </c>
    </row>
    <row r="58" spans="1:23" x14ac:dyDescent="0.25">
      <c r="A58" s="327" t="s">
        <v>475</v>
      </c>
    </row>
    <row r="59" spans="1:23" x14ac:dyDescent="0.25">
      <c r="A59" s="327" t="s">
        <v>476</v>
      </c>
    </row>
    <row r="60" spans="1:23" x14ac:dyDescent="0.25">
      <c r="A60" s="327" t="s">
        <v>477</v>
      </c>
    </row>
    <row r="61" spans="1:23" x14ac:dyDescent="0.25">
      <c r="A61" s="327" t="s">
        <v>478</v>
      </c>
    </row>
    <row r="62" spans="1:23" x14ac:dyDescent="0.25">
      <c r="A62" s="327" t="s">
        <v>479</v>
      </c>
    </row>
    <row r="63" spans="1:23" x14ac:dyDescent="0.25">
      <c r="A63" s="327" t="s">
        <v>480</v>
      </c>
    </row>
    <row r="64" spans="1:23" x14ac:dyDescent="0.25">
      <c r="A64" s="327" t="s">
        <v>481</v>
      </c>
    </row>
    <row r="65" spans="1:1" x14ac:dyDescent="0.25">
      <c r="A65" s="327" t="s">
        <v>482</v>
      </c>
    </row>
    <row r="66" spans="1:1" x14ac:dyDescent="0.25">
      <c r="A66" s="327" t="s">
        <v>483</v>
      </c>
    </row>
  </sheetData>
  <conditionalFormatting sqref="D6:D15">
    <cfRule type="expression" dxfId="11" priority="1">
      <formula>OR($D6="PASS",$D6="ALL CLEAR")</formula>
    </cfRule>
    <cfRule type="expression" dxfId="10" priority="2">
      <formula>OR($D6="FAIL",ISNUMBER(SEARCH("REVIEW",$D6)))</formula>
    </cfRule>
    <cfRule type="expression" dxfId="9" priority="3">
      <formula>$D6="N/A"</formula>
    </cfRule>
  </conditionalFormatting>
  <conditionalFormatting sqref="H28:H54">
    <cfRule type="expression" dxfId="8" priority="11">
      <formula>AND(ISNUMBER($H28),$H28&gt;0)</formula>
    </cfRule>
  </conditionalFormatting>
  <conditionalFormatting sqref="I28:I54">
    <cfRule type="expression" dxfId="7" priority="12">
      <formula>AND(ISNUMBER($I28),$I28&gt;0)</formula>
    </cfRule>
  </conditionalFormatting>
  <conditionalFormatting sqref="Q28:Q54">
    <cfRule type="expression" dxfId="6" priority="10">
      <formula>AND(ISNUMBER($Q28),ABS($Q28)&gt;$B$21)</formula>
    </cfRule>
  </conditionalFormatting>
  <conditionalFormatting sqref="S28:S54">
    <cfRule type="expression" dxfId="5" priority="4">
      <formula>$S28="GOOD"</formula>
    </cfRule>
    <cfRule type="expression" dxfId="4" priority="5">
      <formula>$S28="ACCEPTABLE"</formula>
    </cfRule>
    <cfRule type="expression" dxfId="3" priority="6">
      <formula>OR($S28="POOR",$S28="DRIFTING")</formula>
    </cfRule>
    <cfRule type="expression" dxfId="2" priority="7">
      <formula>OR($S28="NEED MORE DATA",$S28="NO USAGE")</formula>
    </cfRule>
  </conditionalFormatting>
  <conditionalFormatting sqref="T28:T54">
    <cfRule type="expression" dxfId="1" priority="8">
      <formula>$T28="OK"</formula>
    </cfRule>
    <cfRule type="expression" dxfId="0" priority="9">
      <formula>$T28="BELOW TARGET"</formula>
    </cfRule>
  </conditionalFormatting>
  <dataValidations count="2">
    <dataValidation type="decimal" showErrorMessage="1" errorTitle="Setting" error="Enter a value between 0.3 and 0.9." sqref="B18" xr:uid="{00000000-0002-0000-0600-000000000000}">
      <formula1>0.3</formula1>
      <formula2>0.9</formula2>
    </dataValidation>
    <dataValidation type="decimal" operator="greaterThan" showErrorMessage="1" errorTitle="Setting" error="Enter a number above 0." sqref="B19:B23" xr:uid="{00000000-0002-0000-0600-000001000000}">
      <formula1>0</formula1>
    </dataValidation>
  </dataValidations>
  <pageMargins left="0.5" right="0.5"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Dashboard</vt:lpstr>
      <vt:lpstr>Pantry Inventory</vt:lpstr>
      <vt:lpstr>Storehouse Replenishment Schedu</vt:lpstr>
      <vt:lpstr>Daily Data</vt:lpstr>
      <vt:lpstr>Item Purchases</vt:lpstr>
      <vt:lpstr>Purchase Order</vt:lpstr>
      <vt:lpstr>Accuracy Check</vt:lpstr>
      <vt:lpstr>lstCategory</vt:lpstr>
      <vt:lpstr>lstDay</vt:lpstr>
      <vt:lpstr>lstFlavor</vt:lpstr>
      <vt:lpstr>lstWeek</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liya</dc:creator>
  <cp:lastModifiedBy>Nur Alyaa Binti Jamal</cp:lastModifiedBy>
  <dcterms:created xsi:type="dcterms:W3CDTF">2026-04-30T08:20:34Z</dcterms:created>
  <dcterms:modified xsi:type="dcterms:W3CDTF">2026-10-07T16:34:36Z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0x01010093613DD8308A5B438D74C3D20D5FCE12</vt:lpwstr>
  </property>
  <property fmtid="{D5CDD505-2E9C-101B-9397-08002B2CF9AE}" pid="3" name="MediaServiceImageTags">
    <vt:lpwstr/>
  </property>
</Properties>
</file>